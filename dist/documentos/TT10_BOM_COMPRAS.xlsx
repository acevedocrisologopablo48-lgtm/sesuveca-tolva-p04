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45ccc8035f4b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mpras" sheetId="1" r:id="R0bfa7d0ec51d445c"/>
    <x:sheet xmlns:r="http://schemas.openxmlformats.org/officeDocument/2006/relationships" name="Fabricación" sheetId="2" r:id="R56cb3527ae8945df"/>
    <x:sheet xmlns:r="http://schemas.openxmlformats.org/officeDocument/2006/relationships" name="Por conjunto" sheetId="3" r:id="R3356876e20954938"/>
    <x:sheet xmlns:r="http://schemas.openxmlformats.org/officeDocument/2006/relationships" name="BOM CAD" sheetId="4" r:id="R1b31da84119c4feb"/>
    <x:sheet xmlns:r="http://schemas.openxmlformats.org/officeDocument/2006/relationships" name="Chapas cajones" sheetId="5" r:id="R944b9e64d146465c"/>
  </x:sheets>
</x:workbook>
</file>

<file path=xl/sharedStrings.xml><?xml version="1.0" encoding="utf-8"?>
<x:sst xmlns:x="http://schemas.openxmlformats.org/spreadsheetml/2006/main">
  <x:si>
    <x:t xml:space="preserve">TOLVA TROMPO - COMPRAS</x:t>
  </x:si>
  <x:si>
    <x:t xml:space="preserve">Pos.</x:t>
  </x:si>
  <x:si>
    <x:t xml:space="preserve">Código</x:t>
  </x:si>
  <x:si>
    <x:t xml:space="preserve">Piezas</x:t>
  </x:si>
  <x:si>
    <x:t xml:space="preserve">Forma</x:t>
  </x:si>
  <x:si>
    <x:t xml:space="preserve">Material</x:t>
  </x:si>
  <x:si>
    <x:t xml:space="preserve">Descripción / corte</x:t>
  </x:si>
  <x:si>
    <x:t xml:space="preserve">Espesor</x:t>
  </x:si>
  <x:si>
    <x:t xml:space="preserve">Ancho</x:t>
  </x:si>
  <x:si>
    <x:t xml:space="preserve">Alto</x:t>
  </x:si>
  <x:si>
    <x:t xml:space="preserve">Largo</x:t>
  </x:si>
  <x:si>
    <x:t xml:space="preserve">Cantidad material</x:t>
  </x:si>
  <x:si>
    <x:t xml:space="preserve">Unidad</x:t>
  </x:si>
  <x:si>
    <x:t xml:space="preserve">Plano</x:t>
  </x:si>
  <x:si>
    <x:t xml:space="preserve">Dato para pedido</x:t>
  </x:si>
  <x:si>
    <x:t xml:space="preserve">Conjunto</x:t>
  </x:si>
  <x:si>
    <x:t xml:space="preserve">Cant. conjunto</x:t>
  </x:si>
  <x:si>
    <x:t xml:space="preserve">Cant. total</x:t>
  </x:si>
  <x:si>
    <x:t xml:space="preserve">Tipo</x:t>
  </x:si>
</x:sst>
</file>

<file path=xl/styles.xml><?xml version="1.0" encoding="utf-8"?>
<x:styleSheet xmlns:x="http://schemas.openxmlformats.org/spreadsheetml/2006/main">
  <x:numFmts count="3">
    <x:numFmt numFmtId="164" formatCode="0.000"/>
    <x:numFmt numFmtId="200" formatCode="#,##0.000"/>
    <x:numFmt numFmtId="201" formatCode="0.000000"/>
  </x:numFmts>
  <x:fonts count="8">
    <x:font>
      <x:sz val="11"/>
      <x:name val="Carlito"/>
    </x:font>
    <x:font>
      <x:sz val="10"/>
      <x:color rgb="FF23384A"/>
      <x:name val="Arial"/>
      <x:family val="2"/>
    </x:font>
    <x:font>
      <x:b/>
      <x:sz val="15"/>
      <x:color rgb="FF123E67"/>
      <x:name val="Arial"/>
      <x:family val="2"/>
    </x:font>
    <x:font>
      <x:b/>
      <x:sz val="10"/>
      <x:color rgb="FFFFFFFF"/>
      <x:name val="Arial"/>
      <x:family val="2"/>
    </x:font>
    <x:font>
      <x:sz val="10"/>
      <x:name val="Arial"/>
    </x:font>
    <x:font>
      <x:b/>
      <x:sz val="14"/>
      <x:color rgb="FF153E60"/>
      <x:name val="Arial"/>
    </x:font>
    <x:font>
      <x:b/>
      <x:sz val="10"/>
      <x:color rgb="FFFFFFFF"/>
      <x:name val="Arial"/>
    </x:font>
    <x:font>
      <x:b/>
      <x:sz val="11"/>
      <x:color rgb="FFA52B22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23E67"/>
      </x:patternFill>
    </x:fill>
    <x:fill>
      <x:patternFill patternType="solid">
        <x:fgColor rgb="FFF0F4F8"/>
      </x:patternFill>
    </x:fill>
    <x:fill>
      <x:patternFill patternType="solid">
        <x:fgColor rgb="FF173F61"/>
      </x:patternFill>
    </x:fill>
    <x:fill>
      <x:patternFill patternType="solid">
        <x:fgColor rgb="FF173F61"/>
      </x:patternFill>
    </x:fill>
    <x:fill>
      <x:patternFill patternType="solid">
        <x:fgColor rgb="FF173F61"/>
      </x:patternFill>
    </x:fill>
    <x:fill>
      <x:patternFill patternType="solid">
        <x:fgColor rgb="FF173F61"/>
      </x:patternFill>
    </x:fill>
    <x:fill>
      <x:patternFill patternType="solid">
        <x:fgColor rgb="FF173F61"/>
      </x:patternFill>
    </x:fill>
    <x:fill>
      <x:patternFill patternType="solid">
        <x:fgColor rgb="FF173F61"/>
      </x:patternFill>
    </x:fill>
  </x:fills>
  <x:borders count="2">
    <x:border>
      <x:left/>
      <x:right/>
      <x:top/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1" fontId="1" fillId="0" borderId="0" xfId="0" applyNumberFormat="1" applyFont="1" applyFill="1" applyBorder="1" applyAlignment="1">
      <x:alignment vertical="top" wrapText="1"/>
    </x:xf>
    <x:xf numFmtId="1" fontId="1" fillId="3" borderId="0" xfId="0" applyNumberFormat="1" applyFont="1" applyFill="1" applyBorder="1" applyAlignment="1">
      <x:alignment vertical="top" wrapText="1"/>
    </x:xf>
    <x:xf numFmtId="1" fontId="1" fillId="0" borderId="0" xfId="0" applyNumberFormat="1" applyFont="1" applyFill="1" applyBorder="1" applyAlignment="1">
      <x:alignment horizontal="right" vertical="top" wrapText="1"/>
    </x:xf>
    <x:xf numFmtId="1" fontId="1" fillId="3" borderId="0" xfId="0" applyNumberFormat="1" applyFont="1" applyFill="1" applyBorder="1" applyAlignment="1">
      <x:alignment horizontal="right" vertical="top" wrapText="1"/>
    </x:xf>
    <x:xf numFmtId="1" fontId="0" fillId="0" borderId="0" xfId="0" applyNumberFormat="1" applyFont="1" applyFill="1" applyBorder="1" applyAlignment="1">
      <x:alignment horizontal="right"/>
    </x:xf>
    <x:xf numFmtId="164" fontId="1" fillId="0" borderId="0" xfId="0" applyNumberFormat="1" applyFont="1" applyFill="1" applyBorder="1" applyAlignment="1">
      <x:alignment horizontal="right" vertical="top" wrapText="1"/>
    </x:xf>
    <x:xf numFmtId="164" fontId="1" fillId="3" borderId="0" xfId="0" applyNumberFormat="1" applyFont="1" applyFill="1" applyBorder="1" applyAlignment="1">
      <x:alignment horizontal="right" vertical="top" wrapText="1"/>
    </x:xf>
    <x:xf numFmtId="0" fontId="1" fillId="0" borderId="1" xfId="0" applyNumberFormat="1" applyFont="1" applyFill="1" applyBorder="1" applyAlignment="1">
      <x:alignment horizontal="center" vertical="center" wrapText="1"/>
    </x:xf>
    <x:xf numFmtId="1" fontId="1" fillId="0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1" fontId="1" fillId="3" borderId="1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1" fontId="1" fillId="0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1" fontId="1" fillId="3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4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200" fontId="0" fillId="0" borderId="0" xfId="0" applyNumberFormat="1" applyFont="1" applyFill="1" applyBorder="1"/>
    <x:xf numFmtId="0" fontId="7" fillId="0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200" fontId="4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</x:cellXfs>
  <x:cellStyles count="1">
    <x:cellStyle name="Normal" xfId="0"/>
  </x:cellStyles>
  <x:dxfs count="8">
    <x:dxf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/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bd272814fc4ee0" /><Relationship Type="http://schemas.openxmlformats.org/officeDocument/2006/relationships/theme" Target="/xl/theme/theme1.xml" Id="R4fa3921ee6b844ca" /><Relationship Type="http://schemas.openxmlformats.org/officeDocument/2006/relationships/sharedStrings" Target="/xl/sharedStrings.xml" Id="Rdb05c5f767384f0c" /><Relationship Type="http://schemas.openxmlformats.org/officeDocument/2006/relationships/worksheet" Target="/xl/worksheets/sheet1.xml" Id="R0bfa7d0ec51d445c" /><Relationship Type="http://schemas.openxmlformats.org/officeDocument/2006/relationships/worksheet" Target="/xl/worksheets/sheet2.xml" Id="R56cb3527ae8945df" /><Relationship Type="http://schemas.openxmlformats.org/officeDocument/2006/relationships/worksheet" Target="/xl/worksheets/sheet3.xml" Id="R3356876e20954938" /><Relationship Type="http://schemas.openxmlformats.org/officeDocument/2006/relationships/worksheet" Target="/xl/worksheets/sheet4.xml" Id="R1b31da84119c4feb" /><Relationship Type="http://schemas.openxmlformats.org/officeDocument/2006/relationships/worksheet" Target="/xl/worksheets/sheet5.xml" Id="R944b9e64d146465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13fcb0249650462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01cde2581748429d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4eb5d84d2f044953" /></Relationships>
</file>

<file path=xl/drawings/drawing1.xml><?xml version="1.0" encoding="utf-8"?>
<xdr:wsDr xmlns:xdr="http://schemas.openxmlformats.org/drawingml/2006/spreadsheetDrawing">
  <xdr:oneCellAnchor>
    <xdr:from>
      <xdr:col>4</xdr:col>
      <xdr:colOff>914400</xdr:colOff>
      <xdr:row>0</xdr:row>
      <xdr:rowOff>38100</xdr:rowOff>
    </xdr:from>
    <xdr:ext cx="1476375" cy="4572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fcb024965046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12</xdr:col>
      <xdr:colOff>0</xdr:colOff>
      <xdr:row>0</xdr:row>
      <xdr:rowOff>0</xdr:rowOff>
    </xdr:from>
    <xdr:ext cx="1476375" cy="457200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cde258174842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9</xdr:col>
      <xdr:colOff>1774372</xdr:colOff>
      <xdr:row>0</xdr:row>
      <xdr:rowOff>152401</xdr:rowOff>
    </xdr:from>
    <xdr:ext cx="1476375" cy="457200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b5d84d2f0449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ComprasTabla" displayName="ComprasTabla" ref="A3:G121" totalsRowShown="0" dataDxfId="7">
  <x:autoFilter ref="A3:G121"/>
  <x:tableColumns count="7">
    <x:tableColumn id="1" name="Ítem" dataDxfId="6"/>
    <x:tableColumn id="2" name="Cantidad" dataDxfId="5"/>
    <x:tableColumn id="3" name="Unidad" dataDxfId="4"/>
    <x:tableColumn id="4" name="Descripción y especificación" dataDxfId="3"/>
    <x:tableColumn id="5" name="Material / clase" dataDxfId="2"/>
    <x:tableColumn id="6" name="Suministro" dataDxfId="1"/>
    <x:tableColumn id="8" name="Planos" dataDxfId="0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FabricacinTabla" displayName="FabricacinTabla" ref="A2:N278" totalsRowShown="0">
  <x:autoFilter ref="A2:N278"/>
  <x:tableColumns count="14">
    <x:tableColumn id="1" name="Pos."/>
    <x:tableColumn id="2" name="Código"/>
    <x:tableColumn id="3" name="Piezas"/>
    <x:tableColumn id="4" name="Forma"/>
    <x:tableColumn id="5" name="Material"/>
    <x:tableColumn id="6" name="Descripción / corte"/>
    <x:tableColumn id="7" name="Espesor"/>
    <x:tableColumn id="8" name="Ancho"/>
    <x:tableColumn id="9" name="Alto"/>
    <x:tableColumn id="10" name="Largo"/>
    <x:tableColumn id="11" name="Cantidad material"/>
    <x:tableColumn id="12" name="Unidad"/>
    <x:tableColumn id="13" name="Plano"/>
    <x:tableColumn id="14" name="Dato para pedido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PorconjuntoTabla" displayName="PorconjuntoTabla" ref="A3:J742" totalsRowShown="0">
  <x:autoFilter ref="A3:J742"/>
  <x:tableColumns count="10">
    <x:tableColumn id="1" name="Plano"/>
    <x:tableColumn id="2" name="Conjunto"/>
    <x:tableColumn id="3" name="Pos."/>
    <x:tableColumn id="4" name="Código"/>
    <x:tableColumn id="5" name="Cant. conjunto"/>
    <x:tableColumn id="6" name="Cant. total"/>
    <x:tableColumn id="7" name="Tipo"/>
    <x:tableColumn id="8" name="Descripción / corte"/>
    <x:tableColumn id="9" name="Material"/>
    <x:tableColumn id="10" name="Dato para pedido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BOM_CAD_Activa" displayName="BOM_CAD_Activa" ref="A8:K500" headerRowCount="1" totalsRowCount="0" totalsRowShown="0">
  <x:tableColumns count="11">
    <x:tableColumn id="1" name="Pos."/>
    <x:tableColumn id="2" name="Código"/>
    <x:tableColumn id="3" name="Cantidad"/>
    <x:tableColumn id="4" name="Descripción de la geometría vigente"/>
    <x:tableColumn id="5" name="Material / especificación"/>
    <x:tableColumn id="6" name="Masa unitaria kg"/>
    <x:tableColumn id="7" name="Masa disponible kg"/>
    <x:tableColumn id="8" name="Suministro"/>
    <x:tableColumn id="9" name="Volumen nativo m³"/>
    <x:tableColumn id="10" name="Archivo nativo"/>
    <x:tableColumn id="11" name="Base de mas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b7ce27d44fc46b4" /><Relationship Type="http://schemas.openxmlformats.org/officeDocument/2006/relationships/table" Target="/xl/tables/table1.xml" Id="Rd2b308936e1b44b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aae14bcfebff43dc" /><Relationship Type="http://schemas.openxmlformats.org/officeDocument/2006/relationships/table" Target="/xl/tables/table2.xml" Id="Rc4f79539bd87448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2f251621a5a24597" /><Relationship Type="http://schemas.openxmlformats.org/officeDocument/2006/relationships/table" Target="/xl/tables/table3.xml" Id="R0014becc870c472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fac6a009f8d4032" /></Relationships>
</file>

<file path=xl/worksheets/sheet1.xml><?xml version="1.0" encoding="utf-8"?>
<x:worksheet xmlns:x="http://schemas.openxmlformats.org/spreadsheetml/2006/main">
  <x:sheetPr>
    <x:tabColor rgb="FF123E67"/>
  </x:sheetPr>
  <x:sheetViews>
    <x:sheetView showGridLines="0" workbookViewId="0">
      <x:pane xSplit="2" ySplit="3" topLeftCell="C4" activePane="bottomRight" state="frozen"/>
    </x:sheetView>
  </x:sheetViews>
  <x:sheetFormatPr baseColWidth="10" defaultColWidth="8.796875" defaultRowHeight="13.800000190734863"/>
  <x:cols>
    <x:col min="1" max="1" width="38" hidden="0" customWidth="1"/>
    <x:col min="2" max="2" width="10" customWidth="1"/>
    <x:col min="3" max="3" width="9" customWidth="1"/>
    <x:col min="4" max="4" width="72" hidden="0" customWidth="1"/>
    <x:col min="5" max="5" width="48" hidden="0" customWidth="1"/>
    <x:col min="6" max="6" width="22" hidden="1" customWidth="1"/>
    <x:col min="7" max="7" width="26" hidden="0" customWidth="1"/>
  </x:cols>
  <x:sheetData>
    <x:row r="1" ht="25.950000762939453" customHeight="1">
      <x:c r="A1" s="2" t="s">
        <x:v>0</x:v>
      </x:c>
      <x:c r="B1" s="1"/>
      <x:c r="C1" s="1"/>
      <x:c r="D1" s="1"/>
      <x:c r="E1" s="1"/>
      <x:c r="F1" s="1"/>
      <x:c r="G1" s="1"/>
    </x:row>
    <x:row r="2" ht="21" customHeight="1">
      <x:c r="A2" s="1" t="str">
        <x:v>Cantidades del ensamblaje activo; sin cotización ni autorización de compra.</x:v>
      </x:c>
      <x:c r="B2" s="1"/>
      <x:c r="C2" s="1"/>
      <x:c r="D2" s="1"/>
      <x:c r="E2" s="1"/>
      <x:c r="F2" s="1"/>
      <x:c r="G2" s="1"/>
    </x:row>
    <x:row r="3" ht="31.950000762939453" customHeight="1">
      <x:c r="A3" s="3" t="str">
        <x:v>Código</x:v>
      </x:c>
      <x:c r="B3" s="3" t="str">
        <x:v>Cantidad</x:v>
      </x:c>
      <x:c r="C3" s="3" t="str">
        <x:v>Unidad</x:v>
      </x:c>
      <x:c r="D3" s="3" t="str">
        <x:v>Descripción y especificación</x:v>
      </x:c>
      <x:c r="E3" s="3" t="str">
        <x:v>Material / clase</x:v>
      </x:c>
      <x:c r="F3" s="3" t="str">
        <x:v>Suministro</x:v>
      </x:c>
      <x:c r="G3" s="3" t="str">
        <x:v>Plano de conjunto</x:v>
      </x:c>
    </x:row>
    <x:row r="4" ht="34" customHeight="1">
      <x:c r="A4" s="13" t="str">
        <x:v>TT10_22240_N</x:v>
      </x:c>
      <x:c r="B4" s="14" t="n">
        <x:v>1</x:v>
      </x:c>
      <x:c r="C4" s="13" t="str">
        <x:v>ud</x:v>
      </x:c>
      <x:c r="D4" s="13" t="str">
        <x:v>SKF22240CC/W33 200x360x98; envolvente sin rodillos</x:v>
      </x:c>
      <x:c r="E4" s="13" t="str">
        <x:v>Conjunto comprado; acero/ fundición según OEM</x:v>
      </x:c>
      <x:c r="F4" s="13" t="str">
        <x:v>Comprar</x:v>
      </x:c>
      <x:c r="G4" s="13" t="str">
        <x:v>TT10_C05_PC_09</x:v>
      </x:c>
    </x:row>
    <x:row r="5" ht="34" customHeight="1">
      <x:c r="A5" s="15" t="str">
        <x:v>TT10_22240_P</x:v>
      </x:c>
      <x:c r="B5" s="16" t="n">
        <x:v>1</x:v>
      </x:c>
      <x:c r="C5" s="15" t="str">
        <x:v>ud</x:v>
      </x:c>
      <x:c r="D5" s="15" t="str">
        <x:v>SKF22240CC/W33 200x360x98; envolvente sin rodillos</x:v>
      </x:c>
      <x:c r="E5" s="15" t="str">
        <x:v>Conjunto comprado; acero/ fundición según OEM</x:v>
      </x:c>
      <x:c r="F5" s="15" t="str">
        <x:v>Comprar</x:v>
      </x:c>
      <x:c r="G5" s="15" t="str">
        <x:v>TT10_C05_PC_09</x:v>
      </x:c>
    </x:row>
    <x:row r="6" ht="34" customHeight="1">
      <x:c r="A6" s="13" t="str">
        <x:v>TT10_BAP_P0</x:v>
      </x:c>
      <x:c r="B6" s="14" t="n">
        <x:v>32</x:v>
      </x:c>
      <x:c r="C6" s="13" t="str">
        <x:v>ud</x:v>
      </x:c>
      <x:c r="D6" s="13" t="str">
        <x:v>Perno ISO4014 M30x140 clase8.8; rosca nominal</x:v>
      </x:c>
      <x:c r="E6" s="13" t="str">
        <x:v>Clase 8.8 / ISO 898-1</x:v>
      </x:c>
      <x:c r="F6" s="13" t="str">
        <x:v>Comprar</x:v>
      </x:c>
      <x:c r="G6" s="13" t="str">
        <x:v>TT10_C05_PC_01</x:v>
      </x:c>
    </x:row>
    <x:row r="7" ht="34" customHeight="1">
      <x:c r="A7" s="15" t="str">
        <x:v>TT10_C03_CADENA_ESLABON</x:v>
      </x:c>
      <x:c r="B7" s="16" t="n">
        <x:v>122</x:v>
      </x:c>
      <x:c r="C7" s="15" t="str">
        <x:v>ud</x:v>
      </x:c>
      <x:c r="D7" s="15" t="str">
        <x:v>Renold16B1: referencia visual de eslabon; no fabricar. Rodillos compartidos representados dos veces</x:v>
      </x:c>
      <x:c r="E7" s="15" t="str">
        <x:v>Equipo comprado Renold</x:v>
      </x:c>
      <x:c r="F7" s="15" t="str">
        <x:v>Comprar</x:v>
      </x:c>
      <x:c r="G7" s="15" t="str">
        <x:v>TT10_C05_PC_18</x:v>
      </x:c>
    </x:row>
    <x:row r="8" ht="34" customHeight="1">
      <x:c r="A8" s="13" t="str">
        <x:v>TT10_C03_HK4020_E1</x:v>
      </x:c>
      <x:c r="B8" s="14" t="n">
        <x:v>1</x:v>
      </x:c>
      <x:c r="C8" s="13" t="str">
        <x:v>ud</x:v>
      </x:c>
      <x:c r="D8" s="13" t="str">
        <x:v>SKF HK4020; 40x47x20; rodillos y jaula omitidos</x:v>
      </x:c>
      <x:c r="E8" s="13" t="str">
        <x:v>Conjunto comprado; acero/ fundición según OEM</x:v>
      </x:c>
      <x:c r="F8" s="13" t="str">
        <x:v>Comprar</x:v>
      </x:c>
      <x:c r="G8" s="13" t="str">
        <x:v>TT10_C05_PC_20</x:v>
      </x:c>
    </x:row>
    <x:row r="9" ht="34" customHeight="1">
      <x:c r="A9" s="15" t="str">
        <x:v>TT10_C03_HK4020_E2</x:v>
      </x:c>
      <x:c r="B9" s="16" t="n">
        <x:v>1</x:v>
      </x:c>
      <x:c r="C9" s="15" t="str">
        <x:v>ud</x:v>
      </x:c>
      <x:c r="D9" s="15" t="str">
        <x:v>SKF HK4020; 40x47x20; rodillos y jaula omitidos</x:v>
      </x:c>
      <x:c r="E9" s="15" t="str">
        <x:v>Conjunto comprado; acero/ fundición según OEM</x:v>
      </x:c>
      <x:c r="F9" s="15" t="str">
        <x:v>Comprar</x:v>
      </x:c>
      <x:c r="G9" s="15" t="str">
        <x:v>TT10_C05_PC_20</x:v>
      </x:c>
    </x:row>
    <x:row r="10" ht="34" customHeight="1">
      <x:c r="A10" s="13" t="str">
        <x:v>TT10_C03_HK4020_M1</x:v>
      </x:c>
      <x:c r="B10" s="14" t="n">
        <x:v>1</x:v>
      </x:c>
      <x:c r="C10" s="13" t="str">
        <x:v>ud</x:v>
      </x:c>
      <x:c r="D10" s="13" t="str">
        <x:v>SKF HK4020; 40x47x20; rodillos y jaula omitidos</x:v>
      </x:c>
      <x:c r="E10" s="13" t="str">
        <x:v>Conjunto comprado; acero/ fundición según OEM</x:v>
      </x:c>
      <x:c r="F10" s="13" t="str">
        <x:v>Comprar</x:v>
      </x:c>
      <x:c r="G10" s="13" t="str">
        <x:v>TT10_C05_PC_20</x:v>
      </x:c>
    </x:row>
    <x:row r="11" ht="34" customHeight="1">
      <x:c r="A11" s="15" t="str">
        <x:v>TT10_C03_HK4020_M2</x:v>
      </x:c>
      <x:c r="B11" s="16" t="n">
        <x:v>1</x:v>
      </x:c>
      <x:c r="C11" s="15" t="str">
        <x:v>ud</x:v>
      </x:c>
      <x:c r="D11" s="15" t="str">
        <x:v>SKF HK4020; 40x47x20; rodillos y jaula omitidos</x:v>
      </x:c>
      <x:c r="E11" s="15" t="str">
        <x:v>Conjunto comprado; acero/ fundición según OEM</x:v>
      </x:c>
      <x:c r="F11" s="15" t="str">
        <x:v>Comprar</x:v>
      </x:c>
      <x:c r="G11" s="15" t="str">
        <x:v>TT10_C05_PC_20</x:v>
      </x:c>
    </x:row>
    <x:row r="12" ht="34" customHeight="1">
      <x:c r="A12" s="13" t="str">
        <x:v>TT10_C03_SELECTOR_6008_1</x:v>
      </x:c>
      <x:c r="B12" s="14" t="n">
        <x:v>1</x:v>
      </x:c>
      <x:c r="C12" s="13" t="str">
        <x:v>ud</x:v>
      </x:c>
      <x:c r="D12" s="13" t="str">
        <x:v>SKF6008 40x68x15; contorno de interfaz</x:v>
      </x:c>
      <x:c r="E12" s="13" t="str">
        <x:v>Conjunto comprado; acero/ fundición según OEM</x:v>
      </x:c>
      <x:c r="F12" s="13" t="str">
        <x:v>Comprar</x:v>
      </x:c>
      <x:c r="G12" s="13" t="str">
        <x:v>TT10_C05_PC_20</x:v>
      </x:c>
    </x:row>
    <x:row r="13" ht="34" customHeight="1">
      <x:c r="A13" s="15" t="str">
        <x:v>TT10_C03_SELECTOR_6008_2</x:v>
      </x:c>
      <x:c r="B13" s="16" t="n">
        <x:v>1</x:v>
      </x:c>
      <x:c r="C13" s="15" t="str">
        <x:v>ud</x:v>
      </x:c>
      <x:c r="D13" s="15" t="str">
        <x:v>SKF6008 40x68x15; contorno de interfaz</x:v>
      </x:c>
      <x:c r="E13" s="15" t="str">
        <x:v>Conjunto comprado; acero/ fundición según OEM</x:v>
      </x:c>
      <x:c r="F13" s="15" t="str">
        <x:v>Comprar</x:v>
      </x:c>
      <x:c r="G13" s="15" t="str">
        <x:v>TT10_C05_PC_20</x:v>
      </x:c>
    </x:row>
    <x:row r="14" ht="34" customHeight="1">
      <x:c r="A14" s="13" t="str">
        <x:v>TT10_C04_ACOPLE_B8_0</x:v>
      </x:c>
      <x:c r="B14" s="14" t="n">
        <x:v>4</x:v>
      </x:c>
      <x:c r="C14" s="13" t="str">
        <x:v>ud</x:v>
      </x:c>
      <x:c r="D14" s="13" t="str">
        <x:v>M8x25,8.8; cabeza exterior; apriete por plano</x:v>
      </x:c>
      <x:c r="E14" s="13" t="str">
        <x:v>Clase 10.9 / ISO 898-1</x:v>
      </x:c>
      <x:c r="F14" s="13" t="str">
        <x:v>Comprar</x:v>
      </x:c>
      <x:c r="G14" s="13" t="str">
        <x:v>TT10_C05_PC_18</x:v>
      </x:c>
    </x:row>
    <x:row r="15" ht="34" customHeight="1">
      <x:c r="A15" s="15" t="str">
        <x:v>TT10_C04_ACOPLE_B8_4</x:v>
      </x:c>
      <x:c r="B15" s="16" t="n">
        <x:v>2</x:v>
      </x:c>
      <x:c r="C15" s="15" t="str">
        <x:v>ud</x:v>
      </x:c>
      <x:c r="D15" s="15" t="str">
        <x:v>M8x25,8.8; cabeza exterior; apriete por plano</x:v>
      </x:c>
      <x:c r="E15" s="15" t="str">
        <x:v>Clase 10.9 / ISO 898-1</x:v>
      </x:c>
      <x:c r="F15" s="15" t="str">
        <x:v>Comprar</x:v>
      </x:c>
      <x:c r="G15" s="15" t="str">
        <x:v>TT10_C05_PC_18</x:v>
      </x:c>
    </x:row>
    <x:row r="16" ht="34" customHeight="1">
      <x:c r="A16" s="13" t="str">
        <x:v>TT10_C04_ACOPLE_N8_0</x:v>
      </x:c>
      <x:c r="B16" s="14" t="n">
        <x:v>4</x:v>
      </x:c>
      <x:c r="C16" s="13" t="str">
        <x:v>ud</x:v>
      </x:c>
      <x:c r="D16" s="13" t="str">
        <x:v>TuercaM8 clase8, autoblocante nominal</x:v>
      </x:c>
      <x:c r="E16" s="13" t="str">
        <x:v>Tuerca clase 10 / ISO 898-2</x:v>
      </x:c>
      <x:c r="F16" s="13" t="str">
        <x:v>Comprar</x:v>
      </x:c>
      <x:c r="G16" s="13" t="str">
        <x:v>TT10_C05_PC_18</x:v>
      </x:c>
    </x:row>
    <x:row r="17" ht="34" customHeight="1">
      <x:c r="A17" s="15" t="str">
        <x:v>TT10_C04_ACOPLE_N8_2</x:v>
      </x:c>
      <x:c r="B17" s="16" t="n">
        <x:v>2</x:v>
      </x:c>
      <x:c r="C17" s="15" t="str">
        <x:v>ud</x:v>
      </x:c>
      <x:c r="D17" s="15" t="str">
        <x:v>TuercaM8 clase8, autoblocante nominal</x:v>
      </x:c>
      <x:c r="E17" s="15" t="str">
        <x:v>Tuerca clase 10 / ISO 898-2</x:v>
      </x:c>
      <x:c r="F17" s="15" t="str">
        <x:v>Comprar</x:v>
      </x:c>
      <x:c r="G17" s="15" t="str">
        <x:v>TT10_C05_PC_18</x:v>
      </x:c>
    </x:row>
    <x:row r="18" ht="34" customHeight="1">
      <x:c r="A18" s="13" t="str">
        <x:v>TT10_C04_ASIENTO_CHUMACERAS</x:v>
      </x:c>
      <x:c r="B18" s="14" t="n">
        <x:v>1</x:v>
      </x:c>
      <x:c r="C18" s="13" t="str">
        <x:v>ud</x:v>
      </x:c>
      <x:c r="D18" s="13" t="str">
        <x:v>Bloque90x180x52.1; cara superior mecanizada y4M12 ciegas28</x:v>
      </x:c>
      <x:c r="E18" s="13" t="str">
        <x:v>Conjunto comprado; acero/ fundición según OEM</x:v>
      </x:c>
      <x:c r="F18" s="13" t="str">
        <x:v>Comprar</x:v>
      </x:c>
      <x:c r="G18" s="13" t="str">
        <x:v>TT10_C05_PC_18</x:v>
      </x:c>
    </x:row>
    <x:row r="19" ht="34" customHeight="1">
      <x:c r="A19" s="15" t="str">
        <x:v>TT10_C04_B6008_M6_1_0</x:v>
      </x:c>
      <x:c r="B19" s="16" t="n">
        <x:v>2</x:v>
      </x:c>
      <x:c r="C19" s="15" t="str">
        <x:v>ud</x:v>
      </x:c>
      <x:c r="D19" s="15" t="str">
        <x:v>M6x20 ISO7380-1,10.9; contorno nominal</x:v>
      </x:c>
      <x:c r="E19" s="15" t="str">
        <x:v>Clase 10.9 / ISO 898-1</x:v>
      </x:c>
      <x:c r="F19" s="15" t="str">
        <x:v>Comprar</x:v>
      </x:c>
      <x:c r="G19" s="15" t="str">
        <x:v>TT10_C05_PC_20</x:v>
      </x:c>
    </x:row>
    <x:row r="20" ht="34" customHeight="1">
      <x:c r="A20" s="13" t="str">
        <x:v>TT10_C04_B6008_M6_1_2</x:v>
      </x:c>
      <x:c r="B20" s="14" t="n">
        <x:v>1</x:v>
      </x:c>
      <x:c r="C20" s="13" t="str">
        <x:v>ud</x:v>
      </x:c>
      <x:c r="D20" s="13" t="str">
        <x:v>M6x20 ISO7380-1,10.9; contorno nominal</x:v>
      </x:c>
      <x:c r="E20" s="13" t="str">
        <x:v>Clase 10.9 / ISO 898-1</x:v>
      </x:c>
      <x:c r="F20" s="13" t="str">
        <x:v>Comprar</x:v>
      </x:c>
      <x:c r="G20" s="13" t="str">
        <x:v>TT10_C05_PC_20</x:v>
      </x:c>
    </x:row>
    <x:row r="21" ht="34" customHeight="1">
      <x:c r="A21" s="15" t="str">
        <x:v>TT10_C04_B6008_M6_1_3</x:v>
      </x:c>
      <x:c r="B21" s="16" t="n">
        <x:v>1</x:v>
      </x:c>
      <x:c r="C21" s="15" t="str">
        <x:v>ud</x:v>
      </x:c>
      <x:c r="D21" s="15" t="str">
        <x:v>M6x20 ISO7380-1,10.9; contorno nominal</x:v>
      </x:c>
      <x:c r="E21" s="15" t="str">
        <x:v>Clase 10.9 / ISO 898-1</x:v>
      </x:c>
      <x:c r="F21" s="15" t="str">
        <x:v>Comprar</x:v>
      </x:c>
      <x:c r="G21" s="15" t="str">
        <x:v>TT10_C05_PC_20</x:v>
      </x:c>
    </x:row>
    <x:row r="22" ht="34" customHeight="1">
      <x:c r="A22" s="13" t="str">
        <x:v>TT10_C04_B6008_M6_2_0</x:v>
      </x:c>
      <x:c r="B22" s="14" t="n">
        <x:v>2</x:v>
      </x:c>
      <x:c r="C22" s="13" t="str">
        <x:v>ud</x:v>
      </x:c>
      <x:c r="D22" s="13" t="str">
        <x:v>M6x20 ISO7380-1,10.9; contorno nominal</x:v>
      </x:c>
      <x:c r="E22" s="13" t="str">
        <x:v>Clase 10.9 / ISO 898-1</x:v>
      </x:c>
      <x:c r="F22" s="13" t="str">
        <x:v>Comprar</x:v>
      </x:c>
      <x:c r="G22" s="13" t="str">
        <x:v>TT10_C05_PC_20</x:v>
      </x:c>
    </x:row>
    <x:row r="23" ht="34" customHeight="1">
      <x:c r="A23" s="15" t="str">
        <x:v>TT10_C04_B6008_M6_2_1</x:v>
      </x:c>
      <x:c r="B23" s="16" t="n">
        <x:v>2</x:v>
      </x:c>
      <x:c r="C23" s="15" t="str">
        <x:v>ud</x:v>
      </x:c>
      <x:c r="D23" s="15" t="str">
        <x:v>M6x20 ISO7380-1,10.9; contorno nominal</x:v>
      </x:c>
      <x:c r="E23" s="15" t="str">
        <x:v>Clase 10.9 / ISO 898-1</x:v>
      </x:c>
      <x:c r="F23" s="15" t="str">
        <x:v>Comprar</x:v>
      </x:c>
      <x:c r="G23" s="15" t="str">
        <x:v>TT10_C05_PC_20</x:v>
      </x:c>
    </x:row>
    <x:row r="24" ht="34" customHeight="1">
      <x:c r="A24" s="13" t="str">
        <x:v>TT10_C04_CHAVETA_ACOPLE_0</x:v>
      </x:c>
      <x:c r="B24" s="14" t="n">
        <x:v>1</x:v>
      </x:c>
      <x:c r="C24" s="13" t="str">
        <x:v>ud</x:v>
      </x:c>
      <x:c r="D24" s="13" t="str">
        <x:v>Chaveta8x7x25</x:v>
      </x:c>
      <x:c r="E24" s="13" t="str">
        <x:v>AISI 4140 bonificado</x:v>
      </x:c>
      <x:c r="F24" s="13" t="str">
        <x:v>Comprar</x:v>
      </x:c>
      <x:c r="G24" s="13" t="str">
        <x:v>TT10_C05_PC_18</x:v>
      </x:c>
    </x:row>
    <x:row r="25" ht="34" customHeight="1">
      <x:c r="A25" s="15" t="str">
        <x:v>TT10_C04_CHAVETA_ACOPLE_1</x:v>
      </x:c>
      <x:c r="B25" s="16" t="n">
        <x:v>1</x:v>
      </x:c>
      <x:c r="C25" s="15" t="str">
        <x:v>ud</x:v>
      </x:c>
      <x:c r="D25" s="15" t="str">
        <x:v>Chaveta8x7x30</x:v>
      </x:c>
      <x:c r="E25" s="15" t="str">
        <x:v>AISI 4140 bonificado</x:v>
      </x:c>
      <x:c r="F25" s="15" t="str">
        <x:v>Comprar</x:v>
      </x:c>
      <x:c r="G25" s="15" t="str">
        <x:v>TT10_C05_PC_18</x:v>
      </x:c>
    </x:row>
    <x:row r="26" ht="34" customHeight="1">
      <x:c r="A26" s="13" t="str">
        <x:v>TT10_C04_CHAVETA_CORONA</x:v>
      </x:c>
      <x:c r="B26" s="14" t="n">
        <x:v>1</x:v>
      </x:c>
      <x:c r="C26" s="13" t="str">
        <x:v>ud</x:v>
      </x:c>
      <x:c r="D26" s="13" t="str">
        <x:v>Chaveta8x7x40 de corona</x:v>
      </x:c>
      <x:c r="E26" s="13" t="str">
        <x:v>AISI 4140 bonificado</x:v>
      </x:c>
      <x:c r="F26" s="13" t="str">
        <x:v>Comprar</x:v>
      </x:c>
      <x:c r="G26" s="13" t="str">
        <x:v>TT10_C05_PC_18</x:v>
      </x:c>
    </x:row>
    <x:row r="27" ht="34" customHeight="1">
      <x:c r="A27" s="15" t="str">
        <x:v>TT10_C04_CHAVETA_MOTOR</x:v>
      </x:c>
      <x:c r="B27" s="16" t="n">
        <x:v>1</x:v>
      </x:c>
      <x:c r="C27" s="15" t="str">
        <x:v>ud</x:v>
      </x:c>
      <x:c r="D27" s="15" t="str">
        <x:v>Chaveta12x8x35, extremos planos; interfaz propia, no ejeOEM aprobado</x:v>
      </x:c>
      <x:c r="E27" s="15" t="str">
        <x:v>Equipo comprado; materiales y masa según ficha OEM</x:v>
      </x:c>
      <x:c r="F27" s="15" t="str">
        <x:v>Comprar</x:v>
      </x:c>
      <x:c r="G27" s="15" t="str">
        <x:v>TT10_C05_PC_01</x:v>
      </x:c>
    </x:row>
    <x:row r="28" ht="34" customHeight="1">
      <x:c r="A28" s="13" t="str">
        <x:v>TT10_C04_CORONA_20D</x:v>
      </x:c>
      <x:c r="B28" s="14" t="n">
        <x:v>1</x:v>
      </x:c>
      <x:c r="C28" s="13" t="str">
        <x:v>ud</x:v>
      </x:c>
      <x:c r="D28" s="13" t="str">
        <x:v>Corona10888120; bore30H7 y chavetero8JS9 abierto al bore en todo su ancho; dentado comprado simplificado</x:v>
      </x:c>
      <x:c r="E28" s="13" t="str">
        <x:v>C45E</x:v>
      </x:c>
      <x:c r="F28" s="13" t="str">
        <x:v>Comprar</x:v>
      </x:c>
      <x:c r="G28" s="13" t="str">
        <x:v>TT10_C05_PC_18</x:v>
      </x:c>
    </x:row>
    <x:row r="29" ht="34" customHeight="1">
      <x:c r="A29" s="15" t="str">
        <x:v>TT10_C04_DIN471_40</x:v>
      </x:c>
      <x:c r="B29" s="16" t="n">
        <x:v>1</x:v>
      </x:c>
      <x:c r="C29" s="15" t="str">
        <x:v>ud</x:v>
      </x:c>
      <x:c r="D29" s="15" t="str">
        <x:v>ComprarDIN471-40,1.75; contorno instalado simplificado, no fabricar</x:v>
      </x:c>
      <x:c r="E29" s="15" t="str">
        <x:v>Acero resorte DIN471</x:v>
      </x:c>
      <x:c r="F29" s="15" t="str">
        <x:v>Comprar</x:v>
      </x:c>
      <x:c r="G29" s="15" t="str">
        <x:v>TT10_C05_PC_20</x:v>
      </x:c>
    </x:row>
    <x:row r="30" ht="34" customHeight="1">
      <x:c r="A30" s="13" t="str">
        <x:v>TT10_C04_ENTRADA_MOTOR</x:v>
      </x:c>
      <x:c r="B30" s="14" t="n">
        <x:v>1</x:v>
      </x:c>
      <x:c r="C30" s="13" t="str">
        <x:v>ud</x:v>
      </x:c>
      <x:c r="D30" s="13" t="str">
        <x:v>Interfaz nominal de entradaD40, separacion2mm del ejecomun; motor comercial aun nominal</x:v>
      </x:c>
      <x:c r="E30" s="13" t="str">
        <x:v>Equipo comprado; materiales y masa según ficha OEM</x:v>
      </x:c>
      <x:c r="F30" s="13" t="str">
        <x:v>Comprar</x:v>
      </x:c>
      <x:c r="G30" s="13" t="str">
        <x:v>TT10_C05_PC_01</x:v>
      </x:c>
    </x:row>
    <x:row r="31" ht="34" customHeight="1">
      <x:c r="A31" s="15" t="str">
        <x:v>TT10_C04_ESPACIADOR6008</x:v>
      </x:c>
      <x:c r="B31" s="16" t="n">
        <x:v>1</x:v>
      </x:c>
      <x:c r="C31" s="15" t="str">
        <x:v>ud</x:v>
      </x:c>
      <x:c r="D31" s="15" t="str">
        <x:v>Separador7 entre tapa izquierda y anillo exterior6008</x:v>
      </x:c>
      <x:c r="E31" s="15" t="str">
        <x:v>Conjunto comprado; acero/ fundición según OEM</x:v>
      </x:c>
      <x:c r="F31" s="15" t="str">
        <x:v>Comprar</x:v>
      </x:c>
      <x:c r="G31" s="15" t="str">
        <x:v>TT10_C05_PC_20</x:v>
      </x:c>
    </x:row>
    <x:row r="32" ht="34" customHeight="1">
      <x:c r="A32" s="13" t="str">
        <x:v>TT10_C04_GUARDA_ANCLA6_4470</x:v>
      </x:c>
      <x:c r="B32" s="14" t="n">
        <x:v>1</x:v>
      </x:c>
      <x:c r="C32" s="13" t="str">
        <x:v>ud</x:v>
      </x:c>
      <x:c r="D32" s="13" t="str">
        <x:v>M6x16,8.8 a bancada; no anclaje a losa</x:v>
      </x:c>
      <x:c r="E32" s="13" t="str">
        <x:v>Tornilleria8.8</x:v>
      </x:c>
      <x:c r="F32" s="13" t="str">
        <x:v>Comprar</x:v>
      </x:c>
      <x:c r="G32" s="13" t="str">
        <x:v>TT10_C05_PC_18</x:v>
      </x:c>
    </x:row>
    <x:row r="33" ht="34" customHeight="1">
      <x:c r="A33" s="15" t="str">
        <x:v>TT10_C04_GUARDA_ANCLA6_4630</x:v>
      </x:c>
      <x:c r="B33" s="16" t="n">
        <x:v>1</x:v>
      </x:c>
      <x:c r="C33" s="15" t="str">
        <x:v>ud</x:v>
      </x:c>
      <x:c r="D33" s="15" t="str">
        <x:v>M6x16,8.8 a bancada; no anclaje a losa</x:v>
      </x:c>
      <x:c r="E33" s="15" t="str">
        <x:v>Tornilleria8.8</x:v>
      </x:c>
      <x:c r="F33" s="15" t="str">
        <x:v>Comprar</x:v>
      </x:c>
      <x:c r="G33" s="15" t="str">
        <x:v>TT10_C05_PC_18</x:v>
      </x:c>
    </x:row>
    <x:row r="34" ht="34" customHeight="1">
      <x:c r="A34" s="13" t="str">
        <x:v>TT10_C04_GUARDA_B6_0</x:v>
      </x:c>
      <x:c r="B34" s="14" t="n">
        <x:v>4</x:v>
      </x:c>
      <x:c r="C34" s="13" t="str">
        <x:v>ud</x:v>
      </x:c>
      <x:c r="D34" s="13" t="str">
        <x:v>M6x50,8.8 para tapa frontal</x:v>
      </x:c>
      <x:c r="E34" s="13" t="str">
        <x:v>Clase 8.8 / ISO 898-1</x:v>
      </x:c>
      <x:c r="F34" s="13" t="str">
        <x:v>Comprar</x:v>
      </x:c>
      <x:c r="G34" s="13" t="str">
        <x:v>TT10_C05_PC_18</x:v>
      </x:c>
    </x:row>
    <x:row r="35" ht="34" customHeight="1">
      <x:c r="A35" s="15" t="str">
        <x:v>TT10_C04_GUARDA_BASEW6_4470</x:v>
      </x:c>
      <x:c r="B35" s="16" t="n">
        <x:v>1</x:v>
      </x:c>
      <x:c r="C35" s="15" t="str">
        <x:v>ud</x:v>
      </x:c>
      <x:c r="D35" s="15" t="str">
        <x:v>Arandela6,12x6.6x2</x:v>
      </x:c>
      <x:c r="E35" s="15" t="str">
        <x:v>Arandela endurecida 300 HV / ISO 7089</x:v>
      </x:c>
      <x:c r="F35" s="15" t="str">
        <x:v>Comprar</x:v>
      </x:c>
      <x:c r="G35" s="15" t="str">
        <x:v>TT10_C05_PC_18</x:v>
      </x:c>
    </x:row>
    <x:row r="36" ht="34" customHeight="1">
      <x:c r="A36" s="13" t="str">
        <x:v>TT10_C04_GUARDA_BASEW6_4630</x:v>
      </x:c>
      <x:c r="B36" s="14" t="n">
        <x:v>1</x:v>
      </x:c>
      <x:c r="C36" s="13" t="str">
        <x:v>ud</x:v>
      </x:c>
      <x:c r="D36" s="13" t="str">
        <x:v>Arandela6,12x6.6x2</x:v>
      </x:c>
      <x:c r="E36" s="13" t="str">
        <x:v>Arandela endurecida 300 HV / ISO 7089</x:v>
      </x:c>
      <x:c r="F36" s="13" t="str">
        <x:v>Comprar</x:v>
      </x:c>
      <x:c r="G36" s="13" t="str">
        <x:v>TT10_C05_PC_18</x:v>
      </x:c>
    </x:row>
    <x:row r="37" ht="34" customHeight="1">
      <x:c r="A37" s="15" t="str">
        <x:v>TT10_C04_GUARDA_N6_0</x:v>
      </x:c>
      <x:c r="B37" s="16" t="n">
        <x:v>3</x:v>
      </x:c>
      <x:c r="C37" s="15" t="str">
        <x:v>ud</x:v>
      </x:c>
      <x:c r="D37" s="15" t="str">
        <x:v>TuercaM6 autoblocante metalica; contorno nominal</x:v>
      </x:c>
      <x:c r="E37" s="15" t="str">
        <x:v>Tornilleria8</x:v>
      </x:c>
      <x:c r="F37" s="15" t="str">
        <x:v>Comprar</x:v>
      </x:c>
      <x:c r="G37" s="15" t="str">
        <x:v>TT10_C05_PC_18</x:v>
      </x:c>
    </x:row>
    <x:row r="38" ht="34" customHeight="1">
      <x:c r="A38" s="13" t="str">
        <x:v>TT10_C04_GUARDA_N6_2</x:v>
      </x:c>
      <x:c r="B38" s="14" t="n">
        <x:v>1</x:v>
      </x:c>
      <x:c r="C38" s="13" t="str">
        <x:v>ud</x:v>
      </x:c>
      <x:c r="D38" s="13" t="str">
        <x:v>TuercaM6 autoblocante metalica; contorno nominal</x:v>
      </x:c>
      <x:c r="E38" s="13" t="str">
        <x:v>Tornilleria8</x:v>
      </x:c>
      <x:c r="F38" s="13" t="str">
        <x:v>Comprar</x:v>
      </x:c>
      <x:c r="G38" s="13" t="str">
        <x:v>TT10_C05_PC_18</x:v>
      </x:c>
    </x:row>
    <x:row r="39" ht="34" customHeight="1">
      <x:c r="A39" s="15" t="str">
        <x:v>TT10_C04_GUARDA_W6_0</x:v>
      </x:c>
      <x:c r="B39" s="16" t="n">
        <x:v>3</x:v>
      </x:c>
      <x:c r="C39" s="15" t="str">
        <x:v>ud</x:v>
      </x:c>
      <x:c r="D39" s="15" t="str">
        <x:v>ArandelaM6,12x6.6x1.6</x:v>
      </x:c>
      <x:c r="E39" s="15" t="str">
        <x:v>Arandela endurecida 300 HV / ISO 7089</x:v>
      </x:c>
      <x:c r="F39" s="15" t="str">
        <x:v>Comprar</x:v>
      </x:c>
      <x:c r="G39" s="15" t="str">
        <x:v>TT10_C05_PC_18</x:v>
      </x:c>
    </x:row>
    <x:row r="40" ht="34" customHeight="1">
      <x:c r="A40" s="13" t="str">
        <x:v>TT10_C04_GUARDA_W6_2</x:v>
      </x:c>
      <x:c r="B40" s="14" t="n">
        <x:v>1</x:v>
      </x:c>
      <x:c r="C40" s="13" t="str">
        <x:v>ud</x:v>
      </x:c>
      <x:c r="D40" s="13" t="str">
        <x:v>ArandelaM6,12x6.6x1.6</x:v>
      </x:c>
      <x:c r="E40" s="13" t="str">
        <x:v>Arandela endurecida 300 HV / ISO 7089</x:v>
      </x:c>
      <x:c r="F40" s="13" t="str">
        <x:v>Comprar</x:v>
      </x:c>
      <x:c r="G40" s="13" t="str">
        <x:v>TT10_C05_PC_18</x:v>
      </x:c>
    </x:row>
    <x:row r="41" ht="34" customHeight="1">
      <x:c r="A41" s="15" t="str">
        <x:v>TT10_C04_SELECTOR_APOYO_1</x:v>
      </x:c>
      <x:c r="B41" s="16" t="n">
        <x:v>1</x:v>
      </x:c>
      <x:c r="C41" s="15" t="str">
        <x:v>ud</x:v>
      </x:c>
      <x:c r="D41" s="15" t="str">
        <x:v>Asiento6008 abierto; montaje axial y4M6PCD84; no cavidad inaccesible</x:v>
      </x:c>
      <x:c r="E41" s="15" t="str">
        <x:v>Conjunto comprado; acero/ fundición según OEM</x:v>
      </x:c>
      <x:c r="F41" s="15" t="str">
        <x:v>Comprar</x:v>
      </x:c>
      <x:c r="G41" s="15" t="str">
        <x:v>TT10_C05_PC_20</x:v>
      </x:c>
    </x:row>
    <x:row r="42" ht="34" customHeight="1">
      <x:c r="A42" s="13" t="str">
        <x:v>TT10_C04_SELECTOR_APOYO_2</x:v>
      </x:c>
      <x:c r="B42" s="14" t="n">
        <x:v>1</x:v>
      </x:c>
      <x:c r="C42" s="13" t="str">
        <x:v>ud</x:v>
      </x:c>
      <x:c r="D42" s="13" t="str">
        <x:v>Asiento6008 abierto; montaje axial y4M6PCD84; no cavidad inaccesible</x:v>
      </x:c>
      <x:c r="E42" s="13" t="str">
        <x:v>Conjunto comprado; acero/ fundición según OEM</x:v>
      </x:c>
      <x:c r="F42" s="13" t="str">
        <x:v>Comprar</x:v>
      </x:c>
      <x:c r="G42" s="13" t="str">
        <x:v>TT10_C05_PC_20</x:v>
      </x:c>
    </x:row>
    <x:row r="43" ht="34" customHeight="1">
      <x:c r="A43" s="15" t="str">
        <x:v>TT10_C04_SY30_B12_930_4491.25</x:v>
      </x:c>
      <x:c r="B43" s="16" t="n">
        <x:v>2</x:v>
      </x:c>
      <x:c r="C43" s="15" t="str">
        <x:v>ud</x:v>
      </x:c>
      <x:c r="D43" s="15" t="str">
        <x:v>M12x45,8.8;25.5mm nominales de rosca util</x:v>
      </x:c>
      <x:c r="E43" s="15" t="str">
        <x:v>Clase 8.8 / ISO 898-1</x:v>
      </x:c>
      <x:c r="F43" s="15" t="str">
        <x:v>Comprar</x:v>
      </x:c>
      <x:c r="G43" s="15" t="str">
        <x:v>TT10_C05_PC_18</x:v>
      </x:c>
    </x:row>
    <x:row r="44" ht="34" customHeight="1">
      <x:c r="A44" s="13" t="str">
        <x:v>TT10_C04_SY30_B12_972_4491.25</x:v>
      </x:c>
      <x:c r="B44" s="14" t="n">
        <x:v>2</x:v>
      </x:c>
      <x:c r="C44" s="13" t="str">
        <x:v>ud</x:v>
      </x:c>
      <x:c r="D44" s="13" t="str">
        <x:v>M12x45,8.8;25.5mm nominales de rosca util</x:v>
      </x:c>
      <x:c r="E44" s="13" t="str">
        <x:v>Clase 8.8 / ISO 898-1</x:v>
      </x:c>
      <x:c r="F44" s="13" t="str">
        <x:v>Comprar</x:v>
      </x:c>
      <x:c r="G44" s="13" t="str">
        <x:v>TT10_C05_PC_18</x:v>
      </x:c>
    </x:row>
    <x:row r="45" ht="34" customHeight="1">
      <x:c r="A45" s="15" t="str">
        <x:v>TT10_C04_SY30_W12_930_4491.25</x:v>
      </x:c>
      <x:c r="B45" s="16" t="n">
        <x:v>2</x:v>
      </x:c>
      <x:c r="C45" s="15" t="str">
        <x:v>ud</x:v>
      </x:c>
      <x:c r="D45" s="15" t="str">
        <x:v>ArandelaM12,24x13x2.5</x:v>
      </x:c>
      <x:c r="E45" s="15" t="str">
        <x:v>Arandela endurecida 300 HV / ISO 7089</x:v>
      </x:c>
      <x:c r="F45" s="15" t="str">
        <x:v>Comprar</x:v>
      </x:c>
      <x:c r="G45" s="15" t="str">
        <x:v>TT10_C05_PC_18</x:v>
      </x:c>
    </x:row>
    <x:row r="46" ht="34" customHeight="1">
      <x:c r="A46" s="13" t="str">
        <x:v>TT10_C04_SY30_W12_930_4608.75</x:v>
      </x:c>
      <x:c r="B46" s="14" t="n">
        <x:v>2</x:v>
      </x:c>
      <x:c r="C46" s="13" t="str">
        <x:v>ud</x:v>
      </x:c>
      <x:c r="D46" s="13" t="str">
        <x:v>ArandelaM12,24x13x2.5</x:v>
      </x:c>
      <x:c r="E46" s="13" t="str">
        <x:v>Arandela endurecida 300 HV / ISO 7089</x:v>
      </x:c>
      <x:c r="F46" s="13" t="str">
        <x:v>Comprar</x:v>
      </x:c>
      <x:c r="G46" s="13" t="str">
        <x:v>TT10_C05_PC_18</x:v>
      </x:c>
    </x:row>
    <x:row r="47" ht="34" customHeight="1">
      <x:c r="A47" s="15" t="str">
        <x:v>TT10_C05_ARANDELA_TENSOR_0</x:v>
      </x:c>
      <x:c r="B47" s="16" t="n">
        <x:v>1</x:v>
      </x:c>
      <x:c r="C47" s="15" t="str">
        <x:v>ud</x:v>
      </x:c>
      <x:c r="D47" s="15" t="str">
        <x:v>Arandela puente44x21x4, endurecida, cubre ranura22</x:v>
      </x:c>
      <x:c r="E47" s="15" t="str">
        <x:v>Arandela endurecida 300 HV / ISO 7089</x:v>
      </x:c>
      <x:c r="F47" s="15" t="str">
        <x:v>Comprar</x:v>
      </x:c>
      <x:c r="G47" s="15" t="str">
        <x:v>TT10_C05_PC_16</x:v>
      </x:c>
    </x:row>
    <x:row r="48" ht="34" customHeight="1">
      <x:c r="A48" s="13" t="str">
        <x:v>TT10_C05_ARANDELA_TENSOR_1</x:v>
      </x:c>
      <x:c r="B48" s="14" t="n">
        <x:v>1</x:v>
      </x:c>
      <x:c r="C48" s="13" t="str">
        <x:v>ud</x:v>
      </x:c>
      <x:c r="D48" s="13" t="str">
        <x:v>Arandela puente44x21x4, endurecida, cubre ranura22</x:v>
      </x:c>
      <x:c r="E48" s="13" t="str">
        <x:v>Arandela endurecida 300 HV / ISO 7089</x:v>
      </x:c>
      <x:c r="F48" s="13" t="str">
        <x:v>Comprar</x:v>
      </x:c>
      <x:c r="G48" s="13" t="str">
        <x:v>TT10_C05_PC_16</x:v>
      </x:c>
    </x:row>
    <x:row r="49" ht="34" customHeight="1">
      <x:c r="A49" s="15" t="str">
        <x:v>TT10_C05_ARANDELA_TENSOR_2</x:v>
      </x:c>
      <x:c r="B49" s="16" t="n">
        <x:v>1</x:v>
      </x:c>
      <x:c r="C49" s="15" t="str">
        <x:v>ud</x:v>
      </x:c>
      <x:c r="D49" s="15" t="str">
        <x:v>Arandela puente44x21x4, endurecida, cubre ranura22</x:v>
      </x:c>
      <x:c r="E49" s="15" t="str">
        <x:v>Arandela endurecida 300 HV / ISO 7089</x:v>
      </x:c>
      <x:c r="F49" s="15" t="str">
        <x:v>Comprar</x:v>
      </x:c>
      <x:c r="G49" s="15" t="str">
        <x:v>TT10_C05_PC_16</x:v>
      </x:c>
    </x:row>
    <x:row r="50" ht="34" customHeight="1">
      <x:c r="A50" s="13" t="str">
        <x:v>TT10_C05_ARANDELA_TENSOR_3</x:v>
      </x:c>
      <x:c r="B50" s="14" t="n">
        <x:v>1</x:v>
      </x:c>
      <x:c r="C50" s="13" t="str">
        <x:v>ud</x:v>
      </x:c>
      <x:c r="D50" s="13" t="str">
        <x:v>Arandela puente44x21x4, endurecida, cubre ranura22</x:v>
      </x:c>
      <x:c r="E50" s="13" t="str">
        <x:v>Arandela endurecida 300 HV / ISO 7089</x:v>
      </x:c>
      <x:c r="F50" s="13" t="str">
        <x:v>Comprar</x:v>
      </x:c>
      <x:c r="G50" s="13" t="str">
        <x:v>TT10_C05_PC_16</x:v>
      </x:c>
    </x:row>
    <x:row r="51" ht="34" customHeight="1">
      <x:c r="A51" s="15" t="str">
        <x:v>TT10_C05_B20_TENSOR_0</x:v>
      </x:c>
      <x:c r="B51" s="16" t="n">
        <x:v>1</x:v>
      </x:c>
      <x:c r="C51" s="15" t="str">
        <x:v>ud</x:v>
      </x:c>
      <x:c r="D51" s="15" t="str">
        <x:v>Tornillo M20x45,ISO4017 8.8; geometria nominal</x:v>
      </x:c>
      <x:c r="E51" s="15" t="str">
        <x:v>Clase 8.8 / ISO 898-1</x:v>
      </x:c>
      <x:c r="F51" s="15" t="str">
        <x:v>Comprar</x:v>
      </x:c>
      <x:c r="G51" s="15" t="str">
        <x:v>TT10_C05_PC_16</x:v>
      </x:c>
    </x:row>
    <x:row r="52" ht="34" customHeight="1">
      <x:c r="A52" s="13" t="str">
        <x:v>TT10_C05_B20_TENSOR_1</x:v>
      </x:c>
      <x:c r="B52" s="14" t="n">
        <x:v>1</x:v>
      </x:c>
      <x:c r="C52" s="13" t="str">
        <x:v>ud</x:v>
      </x:c>
      <x:c r="D52" s="13" t="str">
        <x:v>Tornillo M20x45,ISO4017 8.8; geometria nominal</x:v>
      </x:c>
      <x:c r="E52" s="13" t="str">
        <x:v>Clase 8.8 / ISO 898-1</x:v>
      </x:c>
      <x:c r="F52" s="13" t="str">
        <x:v>Comprar</x:v>
      </x:c>
      <x:c r="G52" s="13" t="str">
        <x:v>TT10_C05_PC_16</x:v>
      </x:c>
    </x:row>
    <x:row r="53" ht="34" customHeight="1">
      <x:c r="A53" s="15" t="str">
        <x:v>TT10_C05_B20_TENSOR_2</x:v>
      </x:c>
      <x:c r="B53" s="16" t="n">
        <x:v>1</x:v>
      </x:c>
      <x:c r="C53" s="15" t="str">
        <x:v>ud</x:v>
      </x:c>
      <x:c r="D53" s="15" t="str">
        <x:v>Tornillo M20x45,ISO4017 8.8; geometria nominal</x:v>
      </x:c>
      <x:c r="E53" s="15" t="str">
        <x:v>Clase 8.8 / ISO 898-1</x:v>
      </x:c>
      <x:c r="F53" s="15" t="str">
        <x:v>Comprar</x:v>
      </x:c>
      <x:c r="G53" s="15" t="str">
        <x:v>TT10_C05_PC_16</x:v>
      </x:c>
    </x:row>
    <x:row r="54" ht="34" customHeight="1">
      <x:c r="A54" s="13" t="str">
        <x:v>TT10_C05_B20_TENSOR_3</x:v>
      </x:c>
      <x:c r="B54" s="14" t="n">
        <x:v>1</x:v>
      </x:c>
      <x:c r="C54" s="13" t="str">
        <x:v>ud</x:v>
      </x:c>
      <x:c r="D54" s="13" t="str">
        <x:v>Tornillo M20x45,ISO4017 8.8; geometria nominal</x:v>
      </x:c>
      <x:c r="E54" s="13" t="str">
        <x:v>Clase 8.8 / ISO 898-1</x:v>
      </x:c>
      <x:c r="F54" s="13" t="str">
        <x:v>Comprar</x:v>
      </x:c>
      <x:c r="G54" s="13" t="str">
        <x:v>TT10_C05_PC_16</x:v>
      </x:c>
    </x:row>
    <x:row r="55" ht="34" customHeight="1">
      <x:c r="A55" s="15" t="str">
        <x:v>TT10_C05_B4_RETEN_0_0</x:v>
      </x:c>
      <x:c r="B55" s="16" t="n">
        <x:v>1</x:v>
      </x:c>
      <x:c r="C55" s="15" t="str">
        <x:v>ud</x:v>
      </x:c>
      <x:c r="D55" s="15" t="str">
        <x:v>M4x9,8.8; tornillo del puente cautivo; fijador desmontable</x:v>
      </x:c>
      <x:c r="E55" s="15" t="str">
        <x:v>Clase 10.9 / ISO 898-1</x:v>
      </x:c>
      <x:c r="F55" s="15" t="str">
        <x:v>Comprar</x:v>
      </x:c>
      <x:c r="G55" s="15" t="str">
        <x:v>TT10_C05_PC_20</x:v>
      </x:c>
    </x:row>
    <x:row r="56" ht="34" customHeight="1">
      <x:c r="A56" s="13" t="str">
        <x:v>TT10_C05_B4_RETEN_0_1</x:v>
      </x:c>
      <x:c r="B56" s="14" t="n">
        <x:v>1</x:v>
      </x:c>
      <x:c r="C56" s="13" t="str">
        <x:v>ud</x:v>
      </x:c>
      <x:c r="D56" s="13" t="str">
        <x:v>M4x9,8.8; tornillo del puente cautivo; fijador desmontable</x:v>
      </x:c>
      <x:c r="E56" s="13" t="str">
        <x:v>Clase 10.9 / ISO 898-1</x:v>
      </x:c>
      <x:c r="F56" s="13" t="str">
        <x:v>Comprar</x:v>
      </x:c>
      <x:c r="G56" s="13" t="str">
        <x:v>TT10_C05_PC_20</x:v>
      </x:c>
    </x:row>
    <x:row r="57" ht="34" customHeight="1">
      <x:c r="A57" s="15" t="str">
        <x:v>TT10_C05_B4_RETEN_1_0</x:v>
      </x:c>
      <x:c r="B57" s="16" t="n">
        <x:v>1</x:v>
      </x:c>
      <x:c r="C57" s="15" t="str">
        <x:v>ud</x:v>
      </x:c>
      <x:c r="D57" s="15" t="str">
        <x:v>M4x9,8.8; tornillo del puente cautivo; fijador desmontable</x:v>
      </x:c>
      <x:c r="E57" s="15" t="str">
        <x:v>Clase 10.9 / ISO 898-1</x:v>
      </x:c>
      <x:c r="F57" s="15" t="str">
        <x:v>Comprar</x:v>
      </x:c>
      <x:c r="G57" s="15" t="str">
        <x:v>TT10_C05_PC_20</x:v>
      </x:c>
    </x:row>
    <x:row r="58" ht="34" customHeight="1">
      <x:c r="A58" s="13" t="str">
        <x:v>TT10_C05_B4_RETEN_1_1</x:v>
      </x:c>
      <x:c r="B58" s="14" t="n">
        <x:v>1</x:v>
      </x:c>
      <x:c r="C58" s="13" t="str">
        <x:v>ud</x:v>
      </x:c>
      <x:c r="D58" s="13" t="str">
        <x:v>M4x9,8.8; tornillo del puente cautivo; fijador desmontable</x:v>
      </x:c>
      <x:c r="E58" s="13" t="str">
        <x:v>Clase 10.9 / ISO 898-1</x:v>
      </x:c>
      <x:c r="F58" s="13" t="str">
        <x:v>Comprar</x:v>
      </x:c>
      <x:c r="G58" s="13" t="str">
        <x:v>TT10_C05_PC_20</x:v>
      </x:c>
    </x:row>
    <x:row r="59" ht="34" customHeight="1">
      <x:c r="A59" s="15" t="str">
        <x:v>TT10_C05_BDNB_28_23</x:v>
      </x:c>
      <x:c r="B59" s="16" t="n">
        <x:v>1</x:v>
      </x:c>
      <x:c r="C59" s="15" t="str">
        <x:v>ud</x:v>
      </x:c>
      <x:c r="D59" s="15" t="str">
        <x:v>Warner BDNB 28.23Nm, brida lado entrada, exterior reconstruido según MCC-P-1310 03/25 p69; cotas nominales medias</x:v>
      </x:c>
      <x:c r="E59" s="15" t="str">
        <x:v>Equipo comprado</x:v>
      </x:c>
      <x:c r="F59" s="15" t="str">
        <x:v>Comprar</x:v>
      </x:c>
      <x:c r="G59" s="15" t="str">
        <x:v>TT10_C05_PC_22</x:v>
      </x:c>
    </x:row>
    <x:row r="60" ht="34" customHeight="1">
      <x:c r="A60" s="13" t="str">
        <x:v>TT10_C05_BDNB_CHAVETA_ENTRADA</x:v>
      </x:c>
      <x:c r="B60" s="14" t="n">
        <x:v>1</x:v>
      </x:c>
      <x:c r="C60" s="13" t="str">
        <x:v>ud</x:v>
      </x:c>
      <x:c r="D60" s="13" t="str">
        <x:v>ChavetaDIN6885A8x7, longitud según código</x:v>
      </x:c>
      <x:c r="E60" s="13" t="str">
        <x:v>C45E</x:v>
      </x:c>
      <x:c r="F60" s="13" t="str">
        <x:v>Comprar</x:v>
      </x:c>
      <x:c r="G60" s="13" t="str">
        <x:v>TT10_C05_PC_22</x:v>
      </x:c>
    </x:row>
    <x:row r="61" ht="34" customHeight="1">
      <x:c r="A61" s="15" t="str">
        <x:v>TT10_C05_BDNB_CHAVETA_SALIDA</x:v>
      </x:c>
      <x:c r="B61" s="16" t="n">
        <x:v>1</x:v>
      </x:c>
      <x:c r="C61" s="15" t="str">
        <x:v>ud</x:v>
      </x:c>
      <x:c r="D61" s="15" t="str">
        <x:v>ChavetaDIN6885A8x7, longitud según código</x:v>
      </x:c>
      <x:c r="E61" s="15" t="str">
        <x:v>C45E</x:v>
      </x:c>
      <x:c r="F61" s="15" t="str">
        <x:v>Comprar</x:v>
      </x:c>
      <x:c r="G61" s="15" t="str">
        <x:v>TT10_C05_PC_22</x:v>
      </x:c>
    </x:row>
    <x:row r="62" ht="34" customHeight="1">
      <x:c r="A62" s="13" t="str">
        <x:v>TT10_C05_BDNB_CORONA_20D</x:v>
      </x:c>
      <x:c r="B62" s="14" t="n">
        <x:v>1</x:v>
      </x:c>
      <x:c r="C62" s="13" t="str">
        <x:v>ud</x:v>
      </x:c>
      <x:c r="D62" s="13" t="str">
        <x:v>Mädler10888120: interfaz modificada30H7/8JS9; dentado visual simplificado</x:v>
      </x:c>
      <x:c r="E62" s="13" t="str">
        <x:v>Equipo comprado</x:v>
      </x:c>
      <x:c r="F62" s="13" t="str">
        <x:v>Comprar</x:v>
      </x:c>
      <x:c r="G62" s="13" t="str">
        <x:v>TT10_C05_PC_22</x:v>
      </x:c>
    </x:row>
    <x:row r="63" ht="34" customHeight="1">
      <x:c r="A63" s="15" t="str">
        <x:v>TT10_C05_BDNB_M10</x:v>
      </x:c>
      <x:c r="B63" s="16" t="n">
        <x:v>4</x:v>
      </x:c>
      <x:c r="C63" s="15" t="str">
        <x:v>ud</x:v>
      </x:c>
      <x:c r="D63" s="15" t="str">
        <x:v>TornilloISO4017 M10x35-8.8; rosca nominal</x:v>
      </x:c>
      <x:c r="E63" s="15" t="str">
        <x:v>Clase 8.8 / ISO 898-1</x:v>
      </x:c>
      <x:c r="F63" s="15" t="str">
        <x:v>Comprar</x:v>
      </x:c>
      <x:c r="G63" s="15" t="str">
        <x:v>TT10_C05_PC_22</x:v>
      </x:c>
    </x:row>
    <x:row r="64" ht="34" customHeight="1">
      <x:c r="A64" s="13" t="str">
        <x:v>TT10_C05_BDNB_M5</x:v>
      </x:c>
      <x:c r="B64" s="14" t="n">
        <x:v>4</x:v>
      </x:c>
      <x:c r="C64" s="13" t="str">
        <x:v>ud</x:v>
      </x:c>
      <x:c r="D64" s="13" t="str">
        <x:v>ISO4017 M5x20-8.8, rosca nominal</x:v>
      </x:c>
      <x:c r="E64" s="13" t="str">
        <x:v>Clase 8.8 / ISO 898-1</x:v>
      </x:c>
      <x:c r="F64" s="13" t="str">
        <x:v>Comprar</x:v>
      </x:c>
      <x:c r="G64" s="13" t="str">
        <x:v>TT10_C05_PC_22</x:v>
      </x:c>
    </x:row>
    <x:row r="65" ht="34" customHeight="1">
      <x:c r="A65" s="15" t="str">
        <x:v>TT10_C05_BDNB_M6</x:v>
      </x:c>
      <x:c r="B65" s="16" t="n">
        <x:v>8</x:v>
      </x:c>
      <x:c r="C65" s="15" t="str">
        <x:v>ud</x:v>
      </x:c>
      <x:c r="D65" s="15" t="str">
        <x:v>TornilloISO4017 M6x60-8.8; rosca nominal</x:v>
      </x:c>
      <x:c r="E65" s="15" t="str">
        <x:v>Clase 8.8 / ISO 898-1</x:v>
      </x:c>
      <x:c r="F65" s="15" t="str">
        <x:v>Comprar</x:v>
      </x:c>
      <x:c r="G65" s="15" t="str">
        <x:v>TT10_C05_PC_22</x:v>
      </x:c>
    </x:row>
    <x:row r="66" ht="34" customHeight="1">
      <x:c r="A66" s="13" t="str">
        <x:v>TT10_C05_BDNB_N3_ENTRADA</x:v>
      </x:c>
      <x:c r="B66" s="14" t="n">
        <x:v>1</x:v>
      </x:c>
      <x:c r="C66" s="13" t="str">
        <x:v>ud</x:v>
      </x:c>
      <x:c r="D66" s="13" t="str">
        <x:v>TuercaISO7042 M3 autoblocante metálica, rosca nominal</x:v>
      </x:c>
      <x:c r="E66" s="13" t="str">
        <x:v>Tuerca clase 8 / ISO 898-2</x:v>
      </x:c>
      <x:c r="F66" s="13" t="str">
        <x:v>Comprar</x:v>
      </x:c>
      <x:c r="G66" s="13" t="str">
        <x:v>TT10_C05_PC_22</x:v>
      </x:c>
    </x:row>
    <x:row r="67" ht="34" customHeight="1">
      <x:c r="A67" s="15" t="str">
        <x:v>TT10_C05_BDNB_N3_SALIDA</x:v>
      </x:c>
      <x:c r="B67" s="16" t="n">
        <x:v>1</x:v>
      </x:c>
      <x:c r="C67" s="15" t="str">
        <x:v>ud</x:v>
      </x:c>
      <x:c r="D67" s="15" t="str">
        <x:v>TuercaISO7042 M3 autoblocante metálica, rosca nominal</x:v>
      </x:c>
      <x:c r="E67" s="15" t="str">
        <x:v>Tuerca clase 8 / ISO 898-2</x:v>
      </x:c>
      <x:c r="F67" s="15" t="str">
        <x:v>Comprar</x:v>
      </x:c>
      <x:c r="G67" s="15" t="str">
        <x:v>TT10_C05_PC_22</x:v>
      </x:c>
    </x:row>
    <x:row r="68" ht="34" customHeight="1">
      <x:c r="A68" s="13" t="str">
        <x:v>TT10_C05_BDNB_N5</x:v>
      </x:c>
      <x:c r="B68" s="14" t="n">
        <x:v>4</x:v>
      </x:c>
      <x:c r="C68" s="13" t="str">
        <x:v>ud</x:v>
      </x:c>
      <x:c r="D68" s="13" t="str">
        <x:v>TuercaISO4032 M5-8; rosca nominal</x:v>
      </x:c>
      <x:c r="E68" s="13" t="str">
        <x:v>Tuerca clase 8 / ISO 898-2</x:v>
      </x:c>
      <x:c r="F68" s="13" t="str">
        <x:v>Comprar</x:v>
      </x:c>
      <x:c r="G68" s="13" t="str">
        <x:v>TT10_C05_PC_22</x:v>
      </x:c>
    </x:row>
    <x:row r="69" ht="34" customHeight="1">
      <x:c r="A69" s="15" t="str">
        <x:v>TT10_C05_BDNB_RODAMIENTO_0</x:v>
      </x:c>
      <x:c r="B69" s="16" t="n">
        <x:v>1</x:v>
      </x:c>
      <x:c r="C69" s="15" t="str">
        <x:v>ud</x:v>
      </x:c>
      <x:c r="D69" s="15" t="str">
        <x:v>RodamientoSKF6006; envolvente de montaje; selección de vida separada</x:v>
      </x:c>
      <x:c r="E69" s="15" t="str">
        <x:v>Equipo comprado</x:v>
      </x:c>
      <x:c r="F69" s="15" t="str">
        <x:v>Comprar</x:v>
      </x:c>
      <x:c r="G69" s="15" t="str">
        <x:v>TT10_C05_PC_22</x:v>
      </x:c>
    </x:row>
    <x:row r="70" ht="34" customHeight="1">
      <x:c r="A70" s="13" t="str">
        <x:v>TT10_C05_BDNB_RODAMIENTO_1</x:v>
      </x:c>
      <x:c r="B70" s="14" t="n">
        <x:v>1</x:v>
      </x:c>
      <x:c r="C70" s="13" t="str">
        <x:v>ud</x:v>
      </x:c>
      <x:c r="D70" s="13" t="str">
        <x:v>RodamientoSKF6006; envolvente de montaje; selección de vida separada</x:v>
      </x:c>
      <x:c r="E70" s="13" t="str">
        <x:v>Equipo comprado</x:v>
      </x:c>
      <x:c r="F70" s="13" t="str">
        <x:v>Comprar</x:v>
      </x:c>
      <x:c r="G70" s="13" t="str">
        <x:v>TT10_C05_PC_22</x:v>
      </x:c>
    </x:row>
    <x:row r="71" ht="34" customHeight="1">
      <x:c r="A71" s="15" t="str">
        <x:v>TT10_C05_BDNB_RODAMIENTO_2</x:v>
      </x:c>
      <x:c r="B71" s="16" t="n">
        <x:v>1</x:v>
      </x:c>
      <x:c r="C71" s="15" t="str">
        <x:v>ud</x:v>
      </x:c>
      <x:c r="D71" s="15" t="str">
        <x:v>RodamientoSKF6906; envolvente de montaje; selección de vida separada</x:v>
      </x:c>
      <x:c r="E71" s="15" t="str">
        <x:v>Equipo comprado</x:v>
      </x:c>
      <x:c r="F71" s="15" t="str">
        <x:v>Comprar</x:v>
      </x:c>
      <x:c r="G71" s="15" t="str">
        <x:v>TT10_C05_PC_22</x:v>
      </x:c>
    </x:row>
    <x:row r="72" ht="34" customHeight="1">
      <x:c r="A72" s="13" t="str">
        <x:v>TT10_C05_BDNB_RODAMIENTO_3</x:v>
      </x:c>
      <x:c r="B72" s="14" t="n">
        <x:v>1</x:v>
      </x:c>
      <x:c r="C72" s="13" t="str">
        <x:v>ud</x:v>
      </x:c>
      <x:c r="D72" s="13" t="str">
        <x:v>RodamientoSKF6906; envolvente de montaje; selección de vida separada</x:v>
      </x:c>
      <x:c r="E72" s="13" t="str">
        <x:v>Equipo comprado</x:v>
      </x:c>
      <x:c r="F72" s="13" t="str">
        <x:v>Comprar</x:v>
      </x:c>
      <x:c r="G72" s="13" t="str">
        <x:v>TT10_C05_PC_22</x:v>
      </x:c>
    </x:row>
    <x:row r="73" ht="34" customHeight="1">
      <x:c r="A73" s="15" t="str">
        <x:v>TT10_C05_BDNB_W10</x:v>
      </x:c>
      <x:c r="B73" s="16" t="n">
        <x:v>4</x:v>
      </x:c>
      <x:c r="C73" s="15" t="str">
        <x:v>ud</x:v>
      </x:c>
      <x:c r="D73" s="15" t="str">
        <x:v>ArandelaISO7089 M10</x:v>
      </x:c>
      <x:c r="E73" s="15" t="str">
        <x:v>Arandela endurecida 300 HV / ISO 7089</x:v>
      </x:c>
      <x:c r="F73" s="15" t="str">
        <x:v>Comprar</x:v>
      </x:c>
      <x:c r="G73" s="15" t="str">
        <x:v>TT10_C05_PC_22</x:v>
      </x:c>
    </x:row>
    <x:row r="74" ht="34" customHeight="1">
      <x:c r="A74" s="13" t="str">
        <x:v>TT10_C05_BDNB_W5</x:v>
      </x:c>
      <x:c r="B74" s="14" t="n">
        <x:v>4</x:v>
      </x:c>
      <x:c r="C74" s="13" t="str">
        <x:v>ud</x:v>
      </x:c>
      <x:c r="D74" s="13" t="str">
        <x:v>ArandelaDIN433 M5,9x5.3x1</x:v>
      </x:c>
      <x:c r="E74" s="13" t="str">
        <x:v>Arandela endurecida 300 HV / ISO 7089</x:v>
      </x:c>
      <x:c r="F74" s="13" t="str">
        <x:v>Comprar</x:v>
      </x:c>
      <x:c r="G74" s="13" t="str">
        <x:v>TT10_C05_PC_22</x:v>
      </x:c>
    </x:row>
    <x:row r="75" ht="34" customHeight="1">
      <x:c r="A75" s="15" t="str">
        <x:v>TT10_C05_BDNB_W6</x:v>
      </x:c>
      <x:c r="B75" s="16" t="n">
        <x:v>8</x:v>
      </x:c>
      <x:c r="C75" s="15" t="str">
        <x:v>ud</x:v>
      </x:c>
      <x:c r="D75" s="15" t="str">
        <x:v>ArandelaISO7089 M6</x:v>
      </x:c>
      <x:c r="E75" s="15" t="str">
        <x:v>Arandela endurecida 300 HV / ISO 7089</x:v>
      </x:c>
      <x:c r="F75" s="15" t="str">
        <x:v>Comprar</x:v>
      </x:c>
      <x:c r="G75" s="15" t="str">
        <x:v>TT10_C05_PC_22</x:v>
      </x:c>
    </x:row>
    <x:row r="76" ht="34" customHeight="1">
      <x:c r="A76" s="13" t="str">
        <x:v>TT10_C05_JACK_M16_0_0</x:v>
      </x:c>
      <x:c r="B76" s="14" t="n">
        <x:v>1</x:v>
      </x:c>
      <x:c r="C76" s="13" t="str">
        <x:v>ud</x:v>
      </x:c>
      <x:c r="D76" s="13" t="str">
        <x:v>M16x80,8.8 de regulacion; rosca total; punta plana; bloquear con contratuerca</x:v>
      </x:c>
      <x:c r="E76" s="13" t="str">
        <x:v>8.8</x:v>
      </x:c>
      <x:c r="F76" s="13" t="str">
        <x:v>Comprar</x:v>
      </x:c>
      <x:c r="G76" s="13" t="str">
        <x:v>TT10_C05_PC_16</x:v>
      </x:c>
    </x:row>
    <x:row r="77" ht="34" customHeight="1">
      <x:c r="A77" s="15" t="str">
        <x:v>TT10_C05_JACK_M16_0_1</x:v>
      </x:c>
      <x:c r="B77" s="16" t="n">
        <x:v>1</x:v>
      </x:c>
      <x:c r="C77" s="15" t="str">
        <x:v>ud</x:v>
      </x:c>
      <x:c r="D77" s="15" t="str">
        <x:v>M16x80,8.8 de regulacion; rosca total; punta plana; bloquear con contratuerca</x:v>
      </x:c>
      <x:c r="E77" s="15" t="str">
        <x:v>8.8</x:v>
      </x:c>
      <x:c r="F77" s="15" t="str">
        <x:v>Comprar</x:v>
      </x:c>
      <x:c r="G77" s="15" t="str">
        <x:v>TT10_C05_PC_16</x:v>
      </x:c>
    </x:row>
    <x:row r="78" ht="34" customHeight="1">
      <x:c r="A78" s="13" t="str">
        <x:v>TT10_C05_JACK_M16_1_0</x:v>
      </x:c>
      <x:c r="B78" s="14" t="n">
        <x:v>1</x:v>
      </x:c>
      <x:c r="C78" s="13" t="str">
        <x:v>ud</x:v>
      </x:c>
      <x:c r="D78" s="13" t="str">
        <x:v>M16x80,8.8 de regulacion; rosca total; punta plana; bloquear con contratuerca</x:v>
      </x:c>
      <x:c r="E78" s="13" t="str">
        <x:v>8.8</x:v>
      </x:c>
      <x:c r="F78" s="13" t="str">
        <x:v>Comprar</x:v>
      </x:c>
      <x:c r="G78" s="13" t="str">
        <x:v>TT10_C05_PC_16</x:v>
      </x:c>
    </x:row>
    <x:row r="79" ht="34" customHeight="1">
      <x:c r="A79" s="15" t="str">
        <x:v>TT10_C05_JACK_M16_1_1</x:v>
      </x:c>
      <x:c r="B79" s="16" t="n">
        <x:v>1</x:v>
      </x:c>
      <x:c r="C79" s="15" t="str">
        <x:v>ud</x:v>
      </x:c>
      <x:c r="D79" s="15" t="str">
        <x:v>M16x80,8.8 de regulacion; rosca total; punta plana; bloquear con contratuerca</x:v>
      </x:c>
      <x:c r="E79" s="15" t="str">
        <x:v>8.8</x:v>
      </x:c>
      <x:c r="F79" s="15" t="str">
        <x:v>Comprar</x:v>
      </x:c>
      <x:c r="G79" s="15" t="str">
        <x:v>TT10_C05_PC_16</x:v>
      </x:c>
    </x:row>
    <x:row r="80" ht="34" customHeight="1">
      <x:c r="A80" s="13" t="str">
        <x:v>TT10_C05_JAM_M16_0_0</x:v>
      </x:c>
      <x:c r="B80" s="14" t="n">
        <x:v>1</x:v>
      </x:c>
      <x:c r="C80" s="13" t="str">
        <x:v>ud</x:v>
      </x:c>
      <x:c r="D80" s="13" t="str">
        <x:v>ContratuercaM16 clase8; mantener ajuste con cuatro M20 apretados</x:v>
      </x:c>
      <x:c r="E80" s="13" t="str">
        <x:v>Tuerca clase 8 / ISO 898-2</x:v>
      </x:c>
      <x:c r="F80" s="13" t="str">
        <x:v>Comprar</x:v>
      </x:c>
      <x:c r="G80" s="13" t="str">
        <x:v>TT10_C05_PC_16</x:v>
      </x:c>
    </x:row>
    <x:row r="81" ht="34" customHeight="1">
      <x:c r="A81" s="15" t="str">
        <x:v>TT10_C05_JAM_M16_0_1</x:v>
      </x:c>
      <x:c r="B81" s="16" t="n">
        <x:v>1</x:v>
      </x:c>
      <x:c r="C81" s="15" t="str">
        <x:v>ud</x:v>
      </x:c>
      <x:c r="D81" s="15" t="str">
        <x:v>ContratuercaM16 clase8; mantener ajuste con cuatro M20 apretados</x:v>
      </x:c>
      <x:c r="E81" s="15" t="str">
        <x:v>Tuerca clase 8 / ISO 898-2</x:v>
      </x:c>
      <x:c r="F81" s="15" t="str">
        <x:v>Comprar</x:v>
      </x:c>
      <x:c r="G81" s="15" t="str">
        <x:v>TT10_C05_PC_16</x:v>
      </x:c>
    </x:row>
    <x:row r="82" ht="34" customHeight="1">
      <x:c r="A82" s="13" t="str">
        <x:v>TT10_C05_JAM_M16_1_0</x:v>
      </x:c>
      <x:c r="B82" s="14" t="n">
        <x:v>1</x:v>
      </x:c>
      <x:c r="C82" s="13" t="str">
        <x:v>ud</x:v>
      </x:c>
      <x:c r="D82" s="13" t="str">
        <x:v>ContratuercaM16 clase8; mantener ajuste con cuatro M20 apretados</x:v>
      </x:c>
      <x:c r="E82" s="13" t="str">
        <x:v>Tuerca clase 8 / ISO 898-2</x:v>
      </x:c>
      <x:c r="F82" s="13" t="str">
        <x:v>Comprar</x:v>
      </x:c>
      <x:c r="G82" s="13" t="str">
        <x:v>TT10_C05_PC_16</x:v>
      </x:c>
    </x:row>
    <x:row r="83" ht="34" customHeight="1">
      <x:c r="A83" s="15" t="str">
        <x:v>TT10_C05_JAM_M16_1_1</x:v>
      </x:c>
      <x:c r="B83" s="16" t="n">
        <x:v>1</x:v>
      </x:c>
      <x:c r="C83" s="15" t="str">
        <x:v>ud</x:v>
      </x:c>
      <x:c r="D83" s="15" t="str">
        <x:v>ContratuercaM16 clase8; mantener ajuste con cuatro M20 apretados</x:v>
      </x:c>
      <x:c r="E83" s="15" t="str">
        <x:v>Tuerca clase 8 / ISO 898-2</x:v>
      </x:c>
      <x:c r="F83" s="15" t="str">
        <x:v>Comprar</x:v>
      </x:c>
      <x:c r="G83" s="15" t="str">
        <x:v>TT10_C05_PC_16</x:v>
      </x:c>
    </x:row>
    <x:row r="84" ht="34" customHeight="1">
      <x:c r="A84" s="13" t="str">
        <x:v>TT10_D_ACOPLE_SALIDA</x:v>
      </x:c>
      <x:c r="B84" s="14" t="n">
        <x:v>1</x:v>
      </x:c>
      <x:c r="C84" s="13" t="str">
        <x:v>ud</x:v>
      </x:c>
      <x:c r="D84" s="13" t="str">
        <x:v>Acoplamiento de salida entre cubo y reductor; dibujo nominal</x:v>
      </x:c>
      <x:c r="E84" s="13" t="str">
        <x:v>Equipo comprado</x:v>
      </x:c>
      <x:c r="F84" s="13" t="str">
        <x:v>Comprar</x:v>
      </x:c>
      <x:c r="G84" s="13" t="str">
        <x:v>TT10_C05_PC_01</x:v>
      </x:c>
    </x:row>
    <x:row r="85" ht="34" customHeight="1">
      <x:c r="A85" s="15" t="str">
        <x:v>TT10_D_ARMARIO</x:v>
      </x:c>
      <x:c r="B85" s="16" t="n">
        <x:v>1</x:v>
      </x:c>
      <x:c r="C85" s="15" t="str">
        <x:v>ud</x:v>
      </x:c>
      <x:c r="D85" s="15" t="str">
        <x:v>Armario de variador y control; representación de presentación</x:v>
      </x:c>
      <x:c r="E85" s="15" t="str">
        <x:v>Armario comercial; chapa y acabado según referencia de compra</x:v>
      </x:c>
      <x:c r="F85" s="15" t="str">
        <x:v>Comprar</x:v>
      </x:c>
      <x:c r="G85" s="15" t="str">
        <x:v>TT10_C05_PC_25</x:v>
      </x:c>
    </x:row>
    <x:row r="86" ht="34" customHeight="1">
      <x:c r="A86" s="13" t="str">
        <x:v>TT10_D_AUX_4_1</x:v>
      </x:c>
      <x:c r="B86" s="14" t="n">
        <x:v>1</x:v>
      </x:c>
      <x:c r="C86" s="13" t="str">
        <x:v>ud</x:v>
      </x:c>
      <x:c r="D86" s="13" t="str">
        <x:v>Reducción auxiliar 4:1; representación de arquitectura</x:v>
      </x:c>
      <x:c r="E86" s="13" t="str">
        <x:v>Equipo sustituido por PSN 142 i5; no comprar variante 4:1</x:v>
      </x:c>
      <x:c r="F86" s="13" t="str">
        <x:v>Comprar</x:v>
      </x:c>
      <x:c r="G86" s="13" t="str">
        <x:v>TT10_C05_PC_01</x:v>
      </x:c>
    </x:row>
    <x:row r="87" ht="34" customHeight="1">
      <x:c r="A87" s="15" t="str">
        <x:v>TT10_D_B16_0</x:v>
      </x:c>
      <x:c r="B87" s="16" t="n">
        <x:v>32</x:v>
      </x:c>
      <x:c r="C87" s="15" t="str">
        <x:v>ud</x:v>
      </x:c>
      <x:c r="D87" s="15" t="str">
        <x:v>Perno nominal M16x50</x:v>
      </x:c>
      <x:c r="E87" s="15" t="str">
        <x:v>Clase 10.9 / ISO 898-1</x:v>
      </x:c>
      <x:c r="F87" s="15" t="str">
        <x:v>Comprar</x:v>
      </x:c>
      <x:c r="G87" s="15" t="str">
        <x:v>TT10_C05_PC_01</x:v>
      </x:c>
    </x:row>
    <x:row r="88" ht="34" customHeight="1">
      <x:c r="A88" s="13" t="str">
        <x:v>TT10_D_BOTONERA</x:v>
      </x:c>
      <x:c r="B88" s="14" t="n">
        <x:v>1</x:v>
      </x:c>
      <x:c r="C88" s="13" t="str">
        <x:v>ud</x:v>
      </x:c>
      <x:c r="D88" s="13" t="str">
        <x:v>Botonera: subir, bajar, retorno y paro de emergencia</x:v>
      </x:c>
      <x:c r="E88" s="13" t="str">
        <x:v>Dispositivo de mando comercial; materiales según referencia OEM</x:v>
      </x:c>
      <x:c r="F88" s="13" t="str">
        <x:v>Comprar</x:v>
      </x:c>
      <x:c r="G88" s="13" t="str">
        <x:v>TT10_C05_PC_25</x:v>
      </x:c>
    </x:row>
    <x:row r="89" ht="34" customHeight="1">
      <x:c r="A89" s="15" t="str">
        <x:v>TT10_D_BOTON_0</x:v>
      </x:c>
      <x:c r="B89" s="16" t="n">
        <x:v>1</x:v>
      </x:c>
      <x:c r="C89" s="15" t="str">
        <x:v>ud</x:v>
      </x:c>
      <x:c r="D89" s="15" t="str">
        <x:v>Pulsador 0</x:v>
      </x:c>
      <x:c r="E89" s="15" t="str">
        <x:v>Dispositivo de mando comercial; materiales según referencia OEM</x:v>
      </x:c>
      <x:c r="F89" s="15" t="str">
        <x:v>Comprar</x:v>
      </x:c>
      <x:c r="G89" s="15" t="str">
        <x:v>TT10_C05_PC_01</x:v>
      </x:c>
    </x:row>
    <x:row r="90" ht="34" customHeight="1">
      <x:c r="A90" s="13" t="str">
        <x:v>TT10_D_BOTON_1</x:v>
      </x:c>
      <x:c r="B90" s="14" t="n">
        <x:v>1</x:v>
      </x:c>
      <x:c r="C90" s="13" t="str">
        <x:v>ud</x:v>
      </x:c>
      <x:c r="D90" s="13" t="str">
        <x:v>Pulsador 1</x:v>
      </x:c>
      <x:c r="E90" s="13" t="str">
        <x:v>Dispositivo de mando comercial; materiales según referencia OEM</x:v>
      </x:c>
      <x:c r="F90" s="13" t="str">
        <x:v>Comprar</x:v>
      </x:c>
      <x:c r="G90" s="13" t="str">
        <x:v>TT10_C05_PC_01</x:v>
      </x:c>
    </x:row>
    <x:row r="91" ht="34" customHeight="1">
      <x:c r="A91" s="15" t="str">
        <x:v>TT10_D_BOTON_2</x:v>
      </x:c>
      <x:c r="B91" s="16" t="n">
        <x:v>1</x:v>
      </x:c>
      <x:c r="C91" s="15" t="str">
        <x:v>ud</x:v>
      </x:c>
      <x:c r="D91" s="15" t="str">
        <x:v>Pulsador 2</x:v>
      </x:c>
      <x:c r="E91" s="15" t="str">
        <x:v>Dispositivo de mando comercial; materiales según referencia OEM</x:v>
      </x:c>
      <x:c r="F91" s="15" t="str">
        <x:v>Comprar</x:v>
      </x:c>
      <x:c r="G91" s="15" t="str">
        <x:v>TT10_C05_PC_01</x:v>
      </x:c>
    </x:row>
    <x:row r="92" ht="34" customHeight="1">
      <x:c r="A92" s="13" t="str">
        <x:v>TT10_D_CABLE_PESTILLO_FIN_N</x:v>
      </x:c>
      <x:c r="B92" s="14" t="n">
        <x:v>1</x:v>
      </x:c>
      <x:c r="C92" s="13" t="str">
        <x:v>ud</x:v>
      </x:c>
      <x:c r="D92" s="13" t="str">
        <x:v>Eje de conexión geométrica CABLE_PESTILLO_FIN_N</x:v>
      </x:c>
      <x:c r="E92" s="13" t="str">
        <x:v>Cable/conducción comercial; composición según ficha</x:v>
      </x:c>
      <x:c r="F92" s="13" t="str">
        <x:v>Comprar</x:v>
      </x:c>
      <x:c r="G92" s="13" t="str">
        <x:v>TT10_C05_PC_01</x:v>
      </x:c>
    </x:row>
    <x:row r="93" ht="34" customHeight="1">
      <x:c r="A93" s="15" t="str">
        <x:v>TT10_D_CABLE_PESTILLO_FIN_P</x:v>
      </x:c>
      <x:c r="B93" s="16" t="n">
        <x:v>1</x:v>
      </x:c>
      <x:c r="C93" s="15" t="str">
        <x:v>ud</x:v>
      </x:c>
      <x:c r="D93" s="15" t="str">
        <x:v>Eje de conexión geométrica CABLE_PESTILLO_FIN_P</x:v>
      </x:c>
      <x:c r="E93" s="15" t="str">
        <x:v>Cable/conducción comercial; composición según ficha</x:v>
      </x:c>
      <x:c r="F93" s="15" t="str">
        <x:v>Comprar</x:v>
      </x:c>
      <x:c r="G93" s="15" t="str">
        <x:v>TT10_C05_PC_01</x:v>
      </x:c>
    </x:row>
    <x:row r="94" ht="34" customHeight="1">
      <x:c r="A94" s="13" t="str">
        <x:v>TT10_D_CABLE_PESTILLO_N</x:v>
      </x:c>
      <x:c r="B94" s="14" t="n">
        <x:v>1</x:v>
      </x:c>
      <x:c r="C94" s="13" t="str">
        <x:v>ud</x:v>
      </x:c>
      <x:c r="D94" s="13" t="str">
        <x:v>Eje de conexión geométrica CABLE_PESTILLO_N</x:v>
      </x:c>
      <x:c r="E94" s="13" t="str">
        <x:v>Cable/conducción comercial; composición según ficha</x:v>
      </x:c>
      <x:c r="F94" s="13" t="str">
        <x:v>Comprar</x:v>
      </x:c>
      <x:c r="G94" s="13" t="str">
        <x:v>TT10_C05_PC_01</x:v>
      </x:c>
    </x:row>
    <x:row r="95" ht="34" customHeight="1">
      <x:c r="A95" s="15" t="str">
        <x:v>TT10_D_CABLE_PESTILLO_P</x:v>
      </x:c>
      <x:c r="B95" s="16" t="n">
        <x:v>1</x:v>
      </x:c>
      <x:c r="C95" s="15" t="str">
        <x:v>ud</x:v>
      </x:c>
      <x:c r="D95" s="15" t="str">
        <x:v>Eje de conexión geométrica CABLE_PESTILLO_P</x:v>
      </x:c>
      <x:c r="E95" s="15" t="str">
        <x:v>Cable/conducción comercial; composición según ficha</x:v>
      </x:c>
      <x:c r="F95" s="15" t="str">
        <x:v>Comprar</x:v>
      </x:c>
      <x:c r="G95" s="15" t="str">
        <x:v>TT10_C05_PC_01</x:v>
      </x:c>
    </x:row>
    <x:row r="96" ht="34" customHeight="1">
      <x:c r="A96" s="13" t="str">
        <x:v>TT10_D_CABLE_PESTILLO_SUP_N</x:v>
      </x:c>
      <x:c r="B96" s="14" t="n">
        <x:v>1</x:v>
      </x:c>
      <x:c r="C96" s="13" t="str">
        <x:v>ud</x:v>
      </x:c>
      <x:c r="D96" s="13" t="str">
        <x:v>Eje de conexión geométrica CABLE_PESTILLO_SUP_N</x:v>
      </x:c>
      <x:c r="E96" s="13" t="str">
        <x:v>Cable/conducción comercial; composición según ficha</x:v>
      </x:c>
      <x:c r="F96" s="13" t="str">
        <x:v>Comprar</x:v>
      </x:c>
      <x:c r="G96" s="13" t="str">
        <x:v>TT10_C05_PC_01</x:v>
      </x:c>
    </x:row>
    <x:row r="97" ht="34" customHeight="1">
      <x:c r="A97" s="15" t="str">
        <x:v>TT10_D_CABLE_PESTILLO_SUP_P</x:v>
      </x:c>
      <x:c r="B97" s="16" t="n">
        <x:v>1</x:v>
      </x:c>
      <x:c r="C97" s="15" t="str">
        <x:v>ud</x:v>
      </x:c>
      <x:c r="D97" s="15" t="str">
        <x:v>Eje de conexión geométrica CABLE_PESTILLO_SUP_P</x:v>
      </x:c>
      <x:c r="E97" s="15" t="str">
        <x:v>Cable/conducción comercial; composición según ficha</x:v>
      </x:c>
      <x:c r="F97" s="15" t="str">
        <x:v>Comprar</x:v>
      </x:c>
      <x:c r="G97" s="15" t="str">
        <x:v>TT10_C05_PC_01</x:v>
      </x:c>
    </x:row>
    <x:row r="98" ht="34" customHeight="1">
      <x:c r="A98" s="13" t="str">
        <x:v>TT10_D_CABLE_PRESENTE</x:v>
      </x:c>
      <x:c r="B98" s="14" t="n">
        <x:v>1</x:v>
      </x:c>
      <x:c r="C98" s="13" t="str">
        <x:v>ud</x:v>
      </x:c>
      <x:c r="D98" s="13" t="str">
        <x:v>Eje de conexión geométrica CABLE_PRESENTE</x:v>
      </x:c>
      <x:c r="E98" s="13" t="str">
        <x:v>Cable/conducción comercial; composición según ficha</x:v>
      </x:c>
      <x:c r="F98" s="13" t="str">
        <x:v>Comprar</x:v>
      </x:c>
      <x:c r="G98" s="13" t="str">
        <x:v>TT10_C05_PC_25</x:v>
      </x:c>
    </x:row>
    <x:row r="99" ht="34" customHeight="1">
      <x:c r="A99" s="15" t="str">
        <x:v>TT10_D_DISCO_N</x:v>
      </x:c>
      <x:c r="B99" s="16" t="n">
        <x:v>1</x:v>
      </x:c>
      <x:c r="C99" s="15" t="str">
        <x:v>ud</x:v>
      </x:c>
      <x:c r="D99" s="15" t="str">
        <x:v>Disco de freno de salida N; diámetro nominal de dibujo</x:v>
      </x:c>
      <x:c r="E99" s="15" t="str">
        <x:v>Equipo comprado</x:v>
      </x:c>
      <x:c r="F99" s="15" t="str">
        <x:v>Comprar</x:v>
      </x:c>
      <x:c r="G99" s="15" t="str">
        <x:v>TT10_C05_PC_09</x:v>
      </x:c>
    </x:row>
    <x:row r="100" ht="34" customHeight="1">
      <x:c r="A100" s="13" t="str">
        <x:v>TT10_D_DISCO_P</x:v>
      </x:c>
      <x:c r="B100" s="14" t="n">
        <x:v>1</x:v>
      </x:c>
      <x:c r="C100" s="13" t="str">
        <x:v>ud</x:v>
      </x:c>
      <x:c r="D100" s="13" t="str">
        <x:v>Disco de freno de salida P; diámetro nominal de dibujo</x:v>
      </x:c>
      <x:c r="E100" s="13" t="str">
        <x:v>Equipo comprado</x:v>
      </x:c>
      <x:c r="F100" s="13" t="str">
        <x:v>Comprar</x:v>
      </x:c>
      <x:c r="G100" s="13" t="str">
        <x:v>TT10_C05_PC_09</x:v>
      </x:c>
    </x:row>
    <x:row r="101" ht="34" customHeight="1">
      <x:c r="A101" s="15" t="str">
        <x:v>TT10_D_ENCODER</x:v>
      </x:c>
      <x:c r="B101" s="16" t="n">
        <x:v>1</x:v>
      </x:c>
      <x:c r="C101" s="15" t="str">
        <x:v>ud</x:v>
      </x:c>
      <x:c r="D101" s="15" t="str">
        <x:v>Encoder de velocidad en eje motor</x:v>
      </x:c>
      <x:c r="E101" s="15" t="str">
        <x:v>Equipo comprado</x:v>
      </x:c>
      <x:c r="F101" s="15" t="str">
        <x:v>Comprar</x:v>
      </x:c>
      <x:c r="G101" s="15" t="str">
        <x:v>TT10_C05_PC_01</x:v>
      </x:c>
    </x:row>
    <x:row r="102" ht="34" customHeight="1">
      <x:c r="A102" s="13" t="str">
        <x:v>TT10_D_ENTRADA_REDUCTOR</x:v>
      </x:c>
      <x:c r="B102" s="14" t="n">
        <x:v>1</x:v>
      </x:c>
      <x:c r="C102" s="13" t="str">
        <x:v>ud</x:v>
      </x:c>
      <x:c r="D102" s="13" t="str">
        <x:v>Eje de conexión geométrica ENTRADA_REDUCTOR</x:v>
      </x:c>
      <x:c r="E102" s="13" t="str">
        <x:v>Equipo comprado; materiales y masa según ficha OEM</x:v>
      </x:c>
      <x:c r="F102" s="13" t="str">
        <x:v>Comprar</x:v>
      </x:c>
      <x:c r="G102" s="13" t="str">
        <x:v>TT10_C05_PC_01</x:v>
      </x:c>
    </x:row>
    <x:row r="103" ht="34" customHeight="1">
      <x:c r="A103" s="15" t="str">
        <x:v>TT10_D_LIBERACION_FRENO_N</x:v>
      </x:c>
      <x:c r="B103" s="16" t="n">
        <x:v>1</x:v>
      </x:c>
      <x:c r="C103" s="15" t="str">
        <x:v>ud</x:v>
      </x:c>
      <x:c r="D103" s="15" t="str">
        <x:v>Eje de conexión geométrica LIBERACION_FRENO_N</x:v>
      </x:c>
      <x:c r="E103" s="15" t="str">
        <x:v>Mecanismo OEM Svendborg; incluido en pinza</x:v>
      </x:c>
      <x:c r="F103" s="15" t="str">
        <x:v>Comprar</x:v>
      </x:c>
      <x:c r="G103" s="15" t="str">
        <x:v>TT10_C05_PC_01</x:v>
      </x:c>
    </x:row>
    <x:row r="104" ht="34" customHeight="1">
      <x:c r="A104" s="13" t="str">
        <x:v>TT10_D_LIBERACION_FRENO_P</x:v>
      </x:c>
      <x:c r="B104" s="14" t="n">
        <x:v>1</x:v>
      </x:c>
      <x:c r="C104" s="13" t="str">
        <x:v>ud</x:v>
      </x:c>
      <x:c r="D104" s="13" t="str">
        <x:v>Eje de conexión geométrica LIBERACION_FRENO_P</x:v>
      </x:c>
      <x:c r="E104" s="13" t="str">
        <x:v>Mecanismo OEM Svendborg; incluido en pinza</x:v>
      </x:c>
      <x:c r="F104" s="13" t="str">
        <x:v>Comprar</x:v>
      </x:c>
      <x:c r="G104" s="13" t="str">
        <x:v>TT10_C05_PC_01</x:v>
      </x:c>
    </x:row>
    <x:row r="105" ht="34" customHeight="1">
      <x:c r="A105" s="15" t="str">
        <x:v>TT10_D_MOTOR</x:v>
      </x:c>
      <x:c r="B105" s="16" t="n">
        <x:v>1</x:v>
      </x:c>
      <x:c r="C105" s="15" t="str">
        <x:v>ud</x:v>
      </x:c>
      <x:c r="D105" s="15" t="str">
        <x:v>Motor eléctrico con encoder; geometría nominal, potencia no seleccionada</x:v>
      </x:c>
      <x:c r="E105" s="15" t="str">
        <x:v>Equipo comprado; materiales y masa según ficha OEM</x:v>
      </x:c>
      <x:c r="F105" s="15" t="str">
        <x:v>Comprar</x:v>
      </x:c>
      <x:c r="G105" s="15" t="str">
        <x:v>TT10_C05_PC_10</x:v>
      </x:c>
    </x:row>
    <x:row r="106" ht="34" customHeight="1">
      <x:c r="A106" s="13" t="str">
        <x:v>TT10_D_PASTILLA_N0</x:v>
      </x:c>
      <x:c r="B106" s="14" t="n">
        <x:v>1</x:v>
      </x:c>
      <x:c r="C106" s="13" t="str">
        <x:v>ud</x:v>
      </x:c>
      <x:c r="D106" s="13" t="str">
        <x:v>Pastilla de freno; contacto nominal intencional</x:v>
      </x:c>
      <x:c r="E106" s="13" t="str">
        <x:v>Material de fricción OEM Svendborg; según suministro</x:v>
      </x:c>
      <x:c r="F106" s="13" t="str">
        <x:v>Comprar</x:v>
      </x:c>
      <x:c r="G106" s="13" t="str">
        <x:v>TT10_C05_PC_01</x:v>
      </x:c>
    </x:row>
    <x:row r="107" ht="34" customHeight="1">
      <x:c r="A107" s="15" t="str">
        <x:v>TT10_D_PASTILLA_N1</x:v>
      </x:c>
      <x:c r="B107" s="16" t="n">
        <x:v>1</x:v>
      </x:c>
      <x:c r="C107" s="15" t="str">
        <x:v>ud</x:v>
      </x:c>
      <x:c r="D107" s="15" t="str">
        <x:v>Pastilla de freno; contacto nominal intencional</x:v>
      </x:c>
      <x:c r="E107" s="15" t="str">
        <x:v>Material de fricción OEM Svendborg; según suministro</x:v>
      </x:c>
      <x:c r="F107" s="15" t="str">
        <x:v>Comprar</x:v>
      </x:c>
      <x:c r="G107" s="15" t="str">
        <x:v>TT10_C05_PC_01</x:v>
      </x:c>
    </x:row>
    <x:row r="108" ht="34" customHeight="1">
      <x:c r="A108" s="13" t="str">
        <x:v>TT10_D_PASTILLA_P0</x:v>
      </x:c>
      <x:c r="B108" s="14" t="n">
        <x:v>1</x:v>
      </x:c>
      <x:c r="C108" s="13" t="str">
        <x:v>ud</x:v>
      </x:c>
      <x:c r="D108" s="13" t="str">
        <x:v>Pastilla de freno; contacto nominal intencional</x:v>
      </x:c>
      <x:c r="E108" s="13" t="str">
        <x:v>Material de fricción OEM Svendborg; según suministro</x:v>
      </x:c>
      <x:c r="F108" s="13" t="str">
        <x:v>Comprar</x:v>
      </x:c>
      <x:c r="G108" s="13" t="str">
        <x:v>TT10_C05_PC_01</x:v>
      </x:c>
    </x:row>
    <x:row r="109" ht="34" customHeight="1">
      <x:c r="A109" s="15" t="str">
        <x:v>TT10_D_PASTILLA_P1</x:v>
      </x:c>
      <x:c r="B109" s="16" t="n">
        <x:v>1</x:v>
      </x:c>
      <x:c r="C109" s="15" t="str">
        <x:v>ud</x:v>
      </x:c>
      <x:c r="D109" s="15" t="str">
        <x:v>Pastilla de freno; contacto nominal intencional</x:v>
      </x:c>
      <x:c r="E109" s="15" t="str">
        <x:v>Material de fricción OEM Svendborg; según suministro</x:v>
      </x:c>
      <x:c r="F109" s="15" t="str">
        <x:v>Comprar</x:v>
      </x:c>
      <x:c r="G109" s="15" t="str">
        <x:v>TT10_C05_PC_01</x:v>
      </x:c>
    </x:row>
    <x:row r="110" ht="34" customHeight="1">
      <x:c r="A110" s="13" t="str">
        <x:v>TT10_D_PINZA_N</x:v>
      </x:c>
      <x:c r="B110" s="14" t="n">
        <x:v>1</x:v>
      </x:c>
      <x:c r="C110" s="13" t="str">
        <x:v>ud</x:v>
      </x:c>
      <x:c r="D110" s="13" t="str">
        <x:v>Pinza de freno por resorte, liberación eléctrica N; envolvente nominal</x:v>
      </x:c>
      <x:c r="E110" s="13" t="str">
        <x:v>Equipo comprado</x:v>
      </x:c>
      <x:c r="F110" s="13" t="str">
        <x:v>Comprar</x:v>
      </x:c>
      <x:c r="G110" s="13" t="str">
        <x:v>TT10_C05_PC_11</x:v>
      </x:c>
    </x:row>
    <x:row r="111" ht="34" customHeight="1">
      <x:c r="A111" s="15" t="str">
        <x:v>TT10_D_PINZA_P</x:v>
      </x:c>
      <x:c r="B111" s="16" t="n">
        <x:v>1</x:v>
      </x:c>
      <x:c r="C111" s="15" t="str">
        <x:v>ud</x:v>
      </x:c>
      <x:c r="D111" s="15" t="str">
        <x:v>Pinza de freno por resorte, liberación eléctrica P; envolvente nominal</x:v>
      </x:c>
      <x:c r="E111" s="15" t="str">
        <x:v>Equipo comprado</x:v>
      </x:c>
      <x:c r="F111" s="15" t="str">
        <x:v>Comprar</x:v>
      </x:c>
      <x:c r="G111" s="15" t="str">
        <x:v>TT10_C05_PC_11</x:v>
      </x:c>
    </x:row>
    <x:row r="112" ht="34" customHeight="1">
      <x:c r="A112" s="13" t="str">
        <x:v>TT10_D_REDUCTOR</x:v>
      </x:c>
      <x:c r="B112" s="14" t="n">
        <x:v>1</x:v>
      </x:c>
      <x:c r="C112" s="13" t="str">
        <x:v>ud</x:v>
      </x:c>
      <x:c r="D112" s="13" t="str">
        <x:v>Reductor principal angular: carcasa y conexiones nominales</x:v>
      </x:c>
      <x:c r="E112" s="13" t="str">
        <x:v>Equipo comprado; materiales y masa según ficha OEM</x:v>
      </x:c>
      <x:c r="F112" s="13" t="str">
        <x:v>Comprar</x:v>
      </x:c>
      <x:c r="G112" s="13" t="str">
        <x:v>TT10_C05_PC_10</x:v>
      </x:c>
    </x:row>
    <x:row r="113" ht="34" customHeight="1">
      <x:c r="A113" s="15" t="str">
        <x:v>TT10_D_RESORTE_FRENO_N</x:v>
      </x:c>
      <x:c r="B113" s="16" t="n">
        <x:v>1</x:v>
      </x:c>
      <x:c r="C113" s="15" t="str">
        <x:v>ud</x:v>
      </x:c>
      <x:c r="D113" s="15" t="str">
        <x:v>Paquete de resortes de aplicación del freno N</x:v>
      </x:c>
      <x:c r="E113" s="15" t="str">
        <x:v>Acero de resorte OEM Svendborg; según suministro</x:v>
      </x:c>
      <x:c r="F113" s="15" t="str">
        <x:v>Comprar</x:v>
      </x:c>
      <x:c r="G113" s="15" t="str">
        <x:v>TT10_C05_PC_01</x:v>
      </x:c>
    </x:row>
    <x:row r="114" ht="34" customHeight="1">
      <x:c r="A114" s="13" t="str">
        <x:v>TT10_D_RESORTE_FRENO_P</x:v>
      </x:c>
      <x:c r="B114" s="14" t="n">
        <x:v>1</x:v>
      </x:c>
      <x:c r="C114" s="13" t="str">
        <x:v>ud</x:v>
      </x:c>
      <x:c r="D114" s="13" t="str">
        <x:v>Paquete de resortes de aplicación del freno P</x:v>
      </x:c>
      <x:c r="E114" s="13" t="str">
        <x:v>Acero de resorte OEM Svendborg; según suministro</x:v>
      </x:c>
      <x:c r="F114" s="13" t="str">
        <x:v>Comprar</x:v>
      </x:c>
      <x:c r="G114" s="13" t="str">
        <x:v>TT10_C05_PC_01</x:v>
      </x:c>
    </x:row>
    <x:row r="115" ht="34" customHeight="1">
      <x:c r="A115" s="15" t="str">
        <x:v>TT10_D_SALIDA_REDUCTOR</x:v>
      </x:c>
      <x:c r="B115" s="16" t="n">
        <x:v>1</x:v>
      </x:c>
      <x:c r="C115" s="15" t="str">
        <x:v>ud</x:v>
      </x:c>
      <x:c r="D115" s="15" t="str">
        <x:v>Eje de conexión geométrica SALIDA_REDUCTOR</x:v>
      </x:c>
      <x:c r="E115" s="15" t="str">
        <x:v>Equipo comprado; materiales y masa según ficha OEM</x:v>
      </x:c>
      <x:c r="F115" s="15" t="str">
        <x:v>Comprar</x:v>
      </x:c>
      <x:c r="G115" s="15" t="str">
        <x:v>TT10_C05_PC_01</x:v>
      </x:c>
    </x:row>
    <x:row r="116" ht="34" customHeight="1">
      <x:c r="A116" s="13" t="str">
        <x:v>TT10_D_SENSOR_FRENO_N</x:v>
      </x:c>
      <x:c r="B116" s="14" t="n">
        <x:v>1</x:v>
      </x:c>
      <x:c r="C116" s="13" t="str">
        <x:v>ud</x:v>
      </x:c>
      <x:c r="D116" s="13" t="str">
        <x:v>Eje de conexión geométrica SENSOR_FRENO_N</x:v>
      </x:c>
      <x:c r="E116" s="13" t="str">
        <x:v>Sensor comercial; materiales según referencia OEM</x:v>
      </x:c>
      <x:c r="F116" s="13" t="str">
        <x:v>Comprar</x:v>
      </x:c>
      <x:c r="G116" s="13" t="str">
        <x:v>TT10_C05_PC_15</x:v>
      </x:c>
    </x:row>
    <x:row r="117" ht="34" customHeight="1">
      <x:c r="A117" s="15" t="str">
        <x:v>TT10_D_SENSOR_FRENO_P</x:v>
      </x:c>
      <x:c r="B117" s="16" t="n">
        <x:v>1</x:v>
      </x:c>
      <x:c r="C117" s="15" t="str">
        <x:v>ud</x:v>
      </x:c>
      <x:c r="D117" s="15" t="str">
        <x:v>Eje de conexión geométrica SENSOR_FRENO_P</x:v>
      </x:c>
      <x:c r="E117" s="15" t="str">
        <x:v>Sensor comercial; materiales según referencia OEM</x:v>
      </x:c>
      <x:c r="F117" s="15" t="str">
        <x:v>Comprar</x:v>
      </x:c>
      <x:c r="G117" s="15" t="str">
        <x:v>TT10_C05_PC_15</x:v>
      </x:c>
    </x:row>
    <x:row r="118" ht="34" customHeight="1">
      <x:c r="A118" s="13" t="str">
        <x:v>TT10_F456</x:v>
      </x:c>
      <x:c r="B118" s="14" t="n">
        <x:v>1</x:v>
      </x:c>
      <x:c r="C118" s="13" t="str">
        <x:v>ud</x:v>
      </x:c>
      <x:c r="D118" s="13" t="str">
        <x:v>SKF SNL3048: dimensiones de interfaz según catálogo; fundición simplificada</x:v>
      </x:c>
      <x:c r="E118" s="13" t="str">
        <x:v>Conjunto comprado; acero/ fundición según OEM</x:v>
      </x:c>
      <x:c r="F118" s="13" t="str">
        <x:v>Comprar</x:v>
      </x:c>
      <x:c r="G118" s="13" t="str">
        <x:v>TT10_C05_PC_02</x:v>
      </x:c>
    </x:row>
    <x:row r="119" ht="34" customHeight="1">
      <x:c r="A119" s="15" t="str">
        <x:v>TT10_F551</x:v>
      </x:c>
      <x:c r="B119" s="16" t="n">
        <x:v>1</x:v>
      </x:c>
      <x:c r="C119" s="15" t="str">
        <x:v>ud</x:v>
      </x:c>
      <x:c r="D119" s="15" t="str">
        <x:v>SKF SNL3048: dimensiones de interfaz según catálogo; fundición simplificada</x:v>
      </x:c>
      <x:c r="E119" s="15" t="str">
        <x:v>Conjunto comprado; acero/ fundición según OEM</x:v>
      </x:c>
      <x:c r="F119" s="15" t="str">
        <x:v>Comprar</x:v>
      </x:c>
      <x:c r="G119" s="15" t="str">
        <x:v>TT10_C05_PC_02</x:v>
      </x:c>
    </x:row>
    <x:row r="120" ht="34" customHeight="1">
      <x:c r="A120" s="13" t="str">
        <x:v>TT10_FRB_1</x:v>
      </x:c>
      <x:c r="B120" s="14" t="n">
        <x:v>1</x:v>
      </x:c>
      <x:c r="C120" s="13" t="str">
        <x:v>ud</x:v>
      </x:c>
      <x:c r="D120" s="13" t="str">
        <x:v>SKF FRB21/360; lado P localizador</x:v>
      </x:c>
      <x:c r="E120" s="13" t="str">
        <x:v>Conjunto comprado; acero/ fundición según OEM</x:v>
      </x:c>
      <x:c r="F120" s="13" t="str">
        <x:v>Comprar</x:v>
      </x:c>
      <x:c r="G120" s="13" t="str">
        <x:v>TT10_C05_PC_01</x:v>
      </x:c>
    </x:row>
    <x:row r="121" ht="34" customHeight="1">
      <x:c r="A121" s="15" t="str">
        <x:v>TT10_FRB_2</x:v>
      </x:c>
      <x:c r="B121" s="16" t="n">
        <x:v>1</x:v>
      </x:c>
      <x:c r="C121" s="15" t="str">
        <x:v>ud</x:v>
      </x:c>
      <x:c r="D121" s="15" t="str">
        <x:v>SKF FRB21/360; lado P localizador</x:v>
      </x:c>
      <x:c r="E121" s="15" t="str">
        <x:v>Conjunto comprado; acero/ fundición según OEM</x:v>
      </x:c>
      <x:c r="F121" s="15" t="str">
        <x:v>Comprar</x:v>
      </x:c>
      <x:c r="G121" s="15" t="str">
        <x:v>TT10_C05_PC_01</x:v>
      </x:c>
    </x:row>
    <x:row r="122" ht="34" customHeight="1">
      <x:c r="A122" t="str">
        <x:v>TT10_KM40_N</x:v>
      </x:c>
      <x:c r="B122" s="10" t="n">
        <x:v>1</x:v>
      </x:c>
      <x:c r="C122" t="str">
        <x:v>ud</x:v>
      </x:c>
      <x:c r="D122" s="37" t="str">
        <x:v>SKF KM40, M200x3, D250 B29; cuatro ranuras18x8</x:v>
      </x:c>
      <x:c r="E122" s="37" t="str">
        <x:v>Conjunto comprado; acero/ fundición según OEM</x:v>
      </x:c>
      <x:c r="F122" t="str">
        <x:v>Comprar</x:v>
      </x:c>
      <x:c r="G122" t="str">
        <x:v>TT10_C05_PC_09</x:v>
      </x:c>
    </x:row>
    <x:row r="123" ht="34" customHeight="1">
      <x:c r="A123" t="str">
        <x:v>TT10_KM40_P</x:v>
      </x:c>
      <x:c r="B123" s="10" t="n">
        <x:v>1</x:v>
      </x:c>
      <x:c r="C123" t="str">
        <x:v>ud</x:v>
      </x:c>
      <x:c r="D123" s="37" t="str">
        <x:v>SKF KM40, M200x3, D250 B29; cuatro ranuras18x8</x:v>
      </x:c>
      <x:c r="E123" s="37" t="str">
        <x:v>Conjunto comprado; acero/ fundición según OEM</x:v>
      </x:c>
      <x:c r="F123" t="str">
        <x:v>Comprar</x:v>
      </x:c>
      <x:c r="G123" t="str">
        <x:v>TT10_C05_PC_09</x:v>
      </x:c>
    </x:row>
    <x:row r="124" ht="34" customHeight="1">
      <x:c r="A124" t="str">
        <x:v>TT10_LIN_0_0_B</x:v>
      </x:c>
      <x:c r="B124" t="n">
        <x:v>32</x:v>
      </x:c>
      <x:c r="C124" t="str">
        <x:v>ud</x:v>
      </x:c>
      <x:c r="D124" s="37" t="str">
        <x:v>Tornillo avellanado M16x80, cabeza90 D31, hexágono10; geometría nominal</x:v>
      </x:c>
      <x:c r="E124" s="37" t="str">
        <x:v>Clase 10.9 / ISO 898-1</x:v>
      </x:c>
      <x:c r="F124" t="str">
        <x:v>Comprar</x:v>
      </x:c>
      <x:c r="G124" t="str">
        <x:v>TT10_C05_PC_08</x:v>
      </x:c>
    </x:row>
    <x:row r="125" ht="34" customHeight="1">
      <x:c r="A125" t="str">
        <x:v>TT10_LIN_0_0_N</x:v>
      </x:c>
      <x:c r="B125" t="n">
        <x:v>32</x:v>
      </x:c>
      <x:c r="C125" t="str">
        <x:v>ud</x:v>
      </x:c>
      <x:c r="D125" s="37" t="str">
        <x:v>Tuerca autoblocante metálica M16; rosca simplificada</x:v>
      </x:c>
      <x:c r="E125" s="37" t="str">
        <x:v>Tuerca clase 8 / ISO 898-2</x:v>
      </x:c>
      <x:c r="F125" t="str">
        <x:v>Comprar</x:v>
      </x:c>
      <x:c r="G125" t="str">
        <x:v>TT10_C05_PC_08</x:v>
      </x:c>
    </x:row>
    <x:row r="126" ht="34" customHeight="1">
      <x:c r="A126" t="str">
        <x:v>TT10_LIN_0_0_W</x:v>
      </x:c>
      <x:c r="B126" t="n">
        <x:v>32</x:v>
      </x:c>
      <x:c r="C126" t="str">
        <x:v>ud</x:v>
      </x:c>
      <x:c r="D126" s="37" t="str">
        <x:v>Arandela M16 200HV D30/d17/t3</x:v>
      </x:c>
      <x:c r="E126" s="37" t="str">
        <x:v>Arandela endurecida 200 HV / ISO 7089</x:v>
      </x:c>
      <x:c r="F126" t="str">
        <x:v>Comprar</x:v>
      </x:c>
      <x:c r="G126" t="str">
        <x:v>TT10_C05_PC_08</x:v>
      </x:c>
    </x:row>
    <x:row r="127" ht="34" customHeight="1">
      <x:c r="A127" t="str">
        <x:v>TT10_LK_BC0</x:v>
      </x:c>
      <x:c r="B127" t="n">
        <x:v>2</x:v>
      </x:c>
      <x:c r="C127" t="str">
        <x:v>ud</x:v>
      </x:c>
      <x:c r="D127" s="37" t="str">
        <x:v>TornilloM6x258.8; cabeza nominal, fijador de rosca y apriete por montaje</x:v>
      </x:c>
      <x:c r="E127" s="37" t="str">
        <x:v>Clase 8.8 / ISO 898-1</x:v>
      </x:c>
      <x:c r="F127" t="str">
        <x:v>Comprar</x:v>
      </x:c>
      <x:c r="G127" t="str">
        <x:v>TT10_C05_PC_14</x:v>
      </x:c>
    </x:row>
    <x:row r="128" ht="34" customHeight="1">
      <x:c r="A128" t="str">
        <x:v>TT10_LK_BC1</x:v>
      </x:c>
      <x:c r="B128" t="n">
        <x:v>2</x:v>
      </x:c>
      <x:c r="C128" t="str">
        <x:v>ud</x:v>
      </x:c>
      <x:c r="D128" s="37" t="str">
        <x:v>TornilloM6x258.8; cabeza nominal, fijador de rosca y apriete por montaje</x:v>
      </x:c>
      <x:c r="E128" s="37" t="str">
        <x:v>Clase 8.8 / ISO 898-1</x:v>
      </x:c>
      <x:c r="F128" t="str">
        <x:v>Comprar</x:v>
      </x:c>
      <x:c r="G128" t="str">
        <x:v>TT10_C05_PC_14</x:v>
      </x:c>
    </x:row>
    <x:row r="129" ht="34" customHeight="1">
      <x:c r="A129" t="str">
        <x:v>TT10_LK_BC2</x:v>
      </x:c>
      <x:c r="B129" t="n">
        <x:v>2</x:v>
      </x:c>
      <x:c r="C129" t="str">
        <x:v>ud</x:v>
      </x:c>
      <x:c r="D129" s="37" t="str">
        <x:v>TornilloM6x258.8; cabeza nominal, fijador de rosca y apriete por montaje</x:v>
      </x:c>
      <x:c r="E129" s="37" t="str">
        <x:v>Clase 8.8 / ISO 898-1</x:v>
      </x:c>
      <x:c r="F129" t="str">
        <x:v>Comprar</x:v>
      </x:c>
      <x:c r="G129" t="str">
        <x:v>TT10_C05_PC_14</x:v>
      </x:c>
    </x:row>
    <x:row r="130" ht="34" customHeight="1">
      <x:c r="A130" t="str">
        <x:v>TT10_LK_BC3</x:v>
      </x:c>
      <x:c r="B130" t="n">
        <x:v>2</x:v>
      </x:c>
      <x:c r="C130" t="str">
        <x:v>ud</x:v>
      </x:c>
      <x:c r="D130" s="37" t="str">
        <x:v>TornilloM6x258.8; cabeza nominal, fijador de rosca y apriete por montaje</x:v>
      </x:c>
      <x:c r="E130" s="37" t="str">
        <x:v>Clase 8.8 / ISO 898-1</x:v>
      </x:c>
      <x:c r="F130" t="str">
        <x:v>Comprar</x:v>
      </x:c>
      <x:c r="G130" t="str">
        <x:v>TT10_C05_PC_14</x:v>
      </x:c>
    </x:row>
    <x:row r="131" ht="34" customHeight="1">
      <x:c r="A131" t="str">
        <x:v>TT10_LK_BL0</x:v>
      </x:c>
      <x:c r="B131" t="n">
        <x:v>2</x:v>
      </x:c>
      <x:c r="C131" t="str">
        <x:v>ud</x:v>
      </x:c>
      <x:c r="D131" s="37" t="str">
        <x:v>TornilloM6x908.8; cabeza nominal, fijador de rosca y apriete por montaje</x:v>
      </x:c>
      <x:c r="E131" s="37" t="str">
        <x:v>Clase 8.8 / ISO 898-1</x:v>
      </x:c>
      <x:c r="F131" t="str">
        <x:v>Comprar</x:v>
      </x:c>
      <x:c r="G131" t="str">
        <x:v>TT10_C05_PC_14</x:v>
      </x:c>
    </x:row>
    <x:row r="132" ht="34" customHeight="1">
      <x:c r="A132" t="str">
        <x:v>TT10_LK_BS0</x:v>
      </x:c>
      <x:c r="B132" t="n">
        <x:v>2</x:v>
      </x:c>
      <x:c r="C132" t="str">
        <x:v>ud</x:v>
      </x:c>
      <x:c r="D132" s="37" t="str">
        <x:v>TornilloM10x258.8; cabeza nominal, fijador de rosca y apriete por montaje</x:v>
      </x:c>
      <x:c r="E132" s="37" t="str">
        <x:v>Clase 8.8 / ISO 898-1</x:v>
      </x:c>
      <x:c r="F132" t="str">
        <x:v>Comprar</x:v>
      </x:c>
      <x:c r="G132" t="str">
        <x:v>TT10_C05_PC_14</x:v>
      </x:c>
    </x:row>
    <x:row r="133" ht="34" customHeight="1">
      <x:c r="A133" t="str">
        <x:v>TT10_LK_BS1</x:v>
      </x:c>
      <x:c r="B133" t="n">
        <x:v>2</x:v>
      </x:c>
      <x:c r="C133" t="str">
        <x:v>ud</x:v>
      </x:c>
      <x:c r="D133" s="37" t="str">
        <x:v>TornilloM10x258.8; cabeza nominal, fijador de rosca y apriete por montaje</x:v>
      </x:c>
      <x:c r="E133" s="37" t="str">
        <x:v>Clase 8.8 / ISO 898-1</x:v>
      </x:c>
      <x:c r="F133" t="str">
        <x:v>Comprar</x:v>
      </x:c>
      <x:c r="G133" t="str">
        <x:v>TT10_C05_PC_14</x:v>
      </x:c>
    </x:row>
    <x:row r="134" ht="34" customHeight="1">
      <x:c r="A134" t="str">
        <x:v>TT10_LK_BS2</x:v>
      </x:c>
      <x:c r="B134" t="n">
        <x:v>2</x:v>
      </x:c>
      <x:c r="C134" t="str">
        <x:v>ud</x:v>
      </x:c>
      <x:c r="D134" s="37" t="str">
        <x:v>TornilloM10x258.8; cabeza nominal, fijador de rosca y apriete por montaje</x:v>
      </x:c>
      <x:c r="E134" s="37" t="str">
        <x:v>Clase 8.8 / ISO 898-1</x:v>
      </x:c>
      <x:c r="F134" t="str">
        <x:v>Comprar</x:v>
      </x:c>
      <x:c r="G134" t="str">
        <x:v>TT10_C05_PC_14</x:v>
      </x:c>
    </x:row>
    <x:row r="135" ht="34" customHeight="1">
      <x:c r="A135" t="str">
        <x:v>TT10_LK_BS3</x:v>
      </x:c>
      <x:c r="B135" t="n">
        <x:v>2</x:v>
      </x:c>
      <x:c r="C135" t="str">
        <x:v>ud</x:v>
      </x:c>
      <x:c r="D135" s="37" t="str">
        <x:v>TornilloM10x258.8; cabeza nominal, fijador de rosca y apriete por montaje</x:v>
      </x:c>
      <x:c r="E135" s="37" t="str">
        <x:v>Clase 8.8 / ISO 898-1</x:v>
      </x:c>
      <x:c r="F135" t="str">
        <x:v>Comprar</x:v>
      </x:c>
      <x:c r="G135" t="str">
        <x:v>TT10_C05_PC_14</x:v>
      </x:c>
    </x:row>
    <x:row r="136" ht="34" customHeight="1">
      <x:c r="A136" t="str">
        <x:v>TT10_LK_BSE0</x:v>
      </x:c>
      <x:c r="B136" t="n">
        <x:v>2</x:v>
      </x:c>
      <x:c r="C136" t="str">
        <x:v>ud</x:v>
      </x:c>
      <x:c r="D136" s="37" t="str">
        <x:v>TornilloISO4762 M6x20 8.8;5.4mm de rosca en guia, fijador y apriete4Nm</x:v>
      </x:c>
      <x:c r="E136" s="37" t="str">
        <x:v>Clase 8.8 / ISO 898-1</x:v>
      </x:c>
      <x:c r="F136" t="str">
        <x:v>Comprar</x:v>
      </x:c>
      <x:c r="G136" t="str">
        <x:v>TT10_C05_PC_14</x:v>
      </x:c>
    </x:row>
    <x:row r="137" ht="34" customHeight="1">
      <x:c r="A137" t="str">
        <x:v>TT10_LK_BSE1</x:v>
      </x:c>
      <x:c r="B137" t="n">
        <x:v>2</x:v>
      </x:c>
      <x:c r="C137" t="str">
        <x:v>ud</x:v>
      </x:c>
      <x:c r="D137" s="37" t="str">
        <x:v>TornilloISO4762 M6x20 8.8;5.4mm de rosca en guia, fijador y apriete4Nm</x:v>
      </x:c>
      <x:c r="E137" s="37" t="str">
        <x:v>Clase 8.8 / ISO 898-1</x:v>
      </x:c>
      <x:c r="F137" t="str">
        <x:v>Comprar</x:v>
      </x:c>
      <x:c r="G137" t="str">
        <x:v>TT10_C05_PC_14</x:v>
      </x:c>
    </x:row>
    <x:row r="138" ht="34" customHeight="1">
      <x:c r="A138" t="str">
        <x:v>TT10_LK_GTCA100</x:v>
      </x:c>
      <x:c r="B138" t="n">
        <x:v>2</x:v>
      </x:c>
      <x:c r="C138" t="str">
        <x:v>ud</x:v>
      </x:c>
      <x:c r="D138" s="37" t="str">
        <x:v>Magnet-Schultz GTCA100X43A02,24V,S1: envolvente e interfaces publicadas; no CAD oficial</x:v>
      </x:c>
      <x:c r="E138" s="37" t="str">
        <x:v>Equipo comercial condicional; polvo desconocido</x:v>
      </x:c>
      <x:c r="F138" t="str">
        <x:v>Comprar</x:v>
      </x:c>
      <x:c r="G138" t="str">
        <x:v>TT10_C05_PC_14</x:v>
      </x:c>
    </x:row>
    <x:row r="139" ht="34" customHeight="1">
      <x:c r="A139" t="str">
        <x:v>TT10_LK_NL0</x:v>
      </x:c>
      <x:c r="B139" t="n">
        <x:v>2</x:v>
      </x:c>
      <x:c r="C139" t="str">
        <x:v>ud</x:v>
      </x:c>
      <x:c r="D139" s="37" t="str">
        <x:v>TuercaM6clase8, retencion positiva segun montaje</x:v>
      </x:c>
      <x:c r="E139" s="37" t="str">
        <x:v>Tuerca clase 8 / ISO 898-2</x:v>
      </x:c>
      <x:c r="F139" t="str">
        <x:v>Comprar</x:v>
      </x:c>
      <x:c r="G139" t="str">
        <x:v>TT10_C05_PC_14</x:v>
      </x:c>
    </x:row>
    <x:row r="140" ht="34" customHeight="1">
      <x:c r="A140" t="str">
        <x:v>TT10_LK_NT</x:v>
      </x:c>
      <x:c r="B140" t="n">
        <x:v>2</x:v>
      </x:c>
      <x:c r="C140" t="str">
        <x:v>ud</x:v>
      </x:c>
      <x:c r="D140" s="37" t="str">
        <x:v>TuercaM6clase8, retencion positiva segun montaje</x:v>
      </x:c>
      <x:c r="E140" s="37" t="str">
        <x:v>Tuerca clase 8 / ISO 898-2</x:v>
      </x:c>
      <x:c r="F140" t="str">
        <x:v>Comprar</x:v>
      </x:c>
      <x:c r="G140" t="str">
        <x:v>TT10_C05_PC_14</x:v>
      </x:c>
    </x:row>
    <x:row r="141" ht="34" customHeight="1">
      <x:c r="A141" t="str">
        <x:v>TT10_LK_SENSOR</x:v>
      </x:c>
      <x:c r="B141" t="n">
        <x:v>2</x:v>
      </x:c>
      <x:c r="C141" t="str">
        <x:v>ud</x:v>
      </x:c>
      <x:c r="D141" s="37" t="str">
        <x:v>ifmIE5338: sensor ordinarioPNP de enganche; M8x1, cara Y22, entrehierro nominal1mm</x:v>
      </x:c>
      <x:c r="E141" s="37" t="str">
        <x:v>Sensor comercial; materiales según referencia OEM</x:v>
      </x:c>
      <x:c r="F141" t="str">
        <x:v>Comprar</x:v>
      </x:c>
      <x:c r="G141" t="str">
        <x:v>TT10_C05_PC_14</x:v>
      </x:c>
    </x:row>
    <x:row r="142" ht="34" customHeight="1">
      <x:c r="A142" t="str">
        <x:v>TT10_LK_TAPA</x:v>
      </x:c>
      <x:c r="B142" t="n">
        <x:v>2</x:v>
      </x:c>
      <x:c r="C142" t="str">
        <x:v>ud</x:v>
      </x:c>
      <x:c r="D142" s="37" t="str">
        <x:v>Tapa de guia desmontable; tornillo de recorrido y fijaciones de tapa pendientes de comprobacion</x:v>
      </x:c>
      <x:c r="E142" s="37" t="str">
        <x:v>Clase 8.8 / ISO 898-1</x:v>
      </x:c>
      <x:c r="F142" t="str">
        <x:v>Comprar</x:v>
      </x:c>
      <x:c r="G142" t="str">
        <x:v>TT10_C05_PC_14</x:v>
      </x:c>
    </x:row>
    <x:row r="143" ht="34" customHeight="1">
      <x:c r="A143" t="str">
        <x:v>TT10_LK_TOPE</x:v>
      </x:c>
      <x:c r="B143" t="n">
        <x:v>2</x:v>
      </x:c>
      <x:c r="C143" t="str">
        <x:v>ud</x:v>
      </x:c>
      <x:c r="D143" s="37" t="str">
        <x:v>Tornillo de hombroD8, paso de recorrido; conexion roscada nominal pendiente de detalle</x:v>
      </x:c>
      <x:c r="E143" s="37" t="str">
        <x:v>Clase 10.9 / ISO 898-1</x:v>
      </x:c>
      <x:c r="F143" t="str">
        <x:v>Comprar</x:v>
      </x:c>
      <x:c r="G143" t="str">
        <x:v>TT10_C05_PC_14</x:v>
      </x:c>
    </x:row>
    <x:row r="144" ht="34" customHeight="1">
      <x:c r="A144" t="str">
        <x:v>TT10_LK_WC0</x:v>
      </x:c>
      <x:c r="B144" t="n">
        <x:v>2</x:v>
      </x:c>
      <x:c r="C144" t="str">
        <x:v>ud</x:v>
      </x:c>
      <x:c r="D144" s="37" t="str">
        <x:v>ArandelaD12/d6.4/t1.6</x:v>
      </x:c>
      <x:c r="E144" s="37" t="str">
        <x:v>Arandela endurecida 300 HV / ISO 7089</x:v>
      </x:c>
      <x:c r="F144" t="str">
        <x:v>Comprar</x:v>
      </x:c>
      <x:c r="G144" t="str">
        <x:v>TT10_C05_PC_14</x:v>
      </x:c>
    </x:row>
    <x:row r="145" ht="34" customHeight="1">
      <x:c r="A145" t="str">
        <x:v>TT10_LK_WC1</x:v>
      </x:c>
      <x:c r="B145" t="n">
        <x:v>2</x:v>
      </x:c>
      <x:c r="C145" t="str">
        <x:v>ud</x:v>
      </x:c>
      <x:c r="D145" s="37" t="str">
        <x:v>ArandelaD12/d6.4/t1.6</x:v>
      </x:c>
      <x:c r="E145" s="37" t="str">
        <x:v>Arandela endurecida 300 HV / ISO 7089</x:v>
      </x:c>
      <x:c r="F145" t="str">
        <x:v>Comprar</x:v>
      </x:c>
      <x:c r="G145" t="str">
        <x:v>TT10_C05_PC_14</x:v>
      </x:c>
    </x:row>
    <x:row r="146" ht="34" customHeight="1">
      <x:c r="A146" t="str">
        <x:v>TT10_LK_WC2</x:v>
      </x:c>
      <x:c r="B146" t="n">
        <x:v>2</x:v>
      </x:c>
      <x:c r="C146" t="str">
        <x:v>ud</x:v>
      </x:c>
      <x:c r="D146" s="37" t="str">
        <x:v>ArandelaD12/d6.4/t1.6</x:v>
      </x:c>
      <x:c r="E146" s="37" t="str">
        <x:v>Arandela endurecida 300 HV / ISO 7089</x:v>
      </x:c>
      <x:c r="F146" t="str">
        <x:v>Comprar</x:v>
      </x:c>
      <x:c r="G146" t="str">
        <x:v>TT10_C05_PC_14</x:v>
      </x:c>
    </x:row>
    <x:row r="147" ht="34" customHeight="1">
      <x:c r="A147" t="str">
        <x:v>TT10_LK_WC3</x:v>
      </x:c>
      <x:c r="B147" t="n">
        <x:v>2</x:v>
      </x:c>
      <x:c r="C147" t="str">
        <x:v>ud</x:v>
      </x:c>
      <x:c r="D147" s="37" t="str">
        <x:v>ArandelaD12/d6.4/t1.6</x:v>
      </x:c>
      <x:c r="E147" s="37" t="str">
        <x:v>Arandela endurecida 300 HV / ISO 7089</x:v>
      </x:c>
      <x:c r="F147" t="str">
        <x:v>Comprar</x:v>
      </x:c>
      <x:c r="G147" t="str">
        <x:v>TT10_C05_PC_14</x:v>
      </x:c>
    </x:row>
    <x:row r="148" ht="34" customHeight="1">
      <x:c r="A148" t="str">
        <x:v>TT10_LK_WL0</x:v>
      </x:c>
      <x:c r="B148" t="n">
        <x:v>2</x:v>
      </x:c>
      <x:c r="C148" t="str">
        <x:v>ud</x:v>
      </x:c>
      <x:c r="D148" s="37" t="str">
        <x:v>ArandelaD12/d6.4/t1.6</x:v>
      </x:c>
      <x:c r="E148" s="37" t="str">
        <x:v>Arandela endurecida 300 HV / ISO 7089</x:v>
      </x:c>
      <x:c r="F148" t="str">
        <x:v>Comprar</x:v>
      </x:c>
      <x:c r="G148" t="str">
        <x:v>TT10_C05_PC_14</x:v>
      </x:c>
    </x:row>
    <x:row r="149" ht="34" customHeight="1">
      <x:c r="A149" t="str">
        <x:v>TT10_LK_WS0</x:v>
      </x:c>
      <x:c r="B149" t="n">
        <x:v>2</x:v>
      </x:c>
      <x:c r="C149" t="str">
        <x:v>ud</x:v>
      </x:c>
      <x:c r="D149" s="37" t="str">
        <x:v>ArandelaD20/d10.5/t2</x:v>
      </x:c>
      <x:c r="E149" s="37" t="str">
        <x:v>Arandela endurecida 300 HV / ISO 7089</x:v>
      </x:c>
      <x:c r="F149" t="str">
        <x:v>Comprar</x:v>
      </x:c>
      <x:c r="G149" t="str">
        <x:v>TT10_C05_PC_14</x:v>
      </x:c>
    </x:row>
    <x:row r="150" ht="34" customHeight="1">
      <x:c r="A150" t="str">
        <x:v>TT10_LK_WS1</x:v>
      </x:c>
      <x:c r="B150" t="n">
        <x:v>2</x:v>
      </x:c>
      <x:c r="C150" t="str">
        <x:v>ud</x:v>
      </x:c>
      <x:c r="D150" s="37" t="str">
        <x:v>ArandelaD20/d10.5/t2</x:v>
      </x:c>
      <x:c r="E150" s="37" t="str">
        <x:v>Arandela endurecida 300 HV / ISO 7089</x:v>
      </x:c>
      <x:c r="F150" t="str">
        <x:v>Comprar</x:v>
      </x:c>
      <x:c r="G150" t="str">
        <x:v>TT10_C05_PC_14</x:v>
      </x:c>
    </x:row>
    <x:row r="151" ht="34" customHeight="1">
      <x:c r="A151" t="str">
        <x:v>TT10_LK_WS2</x:v>
      </x:c>
      <x:c r="B151" t="n">
        <x:v>2</x:v>
      </x:c>
      <x:c r="C151" t="str">
        <x:v>ud</x:v>
      </x:c>
      <x:c r="D151" s="37" t="str">
        <x:v>ArandelaD20/d10.5/t2</x:v>
      </x:c>
      <x:c r="E151" s="37" t="str">
        <x:v>Arandela endurecida 300 HV / ISO 7089</x:v>
      </x:c>
      <x:c r="F151" t="str">
        <x:v>Comprar</x:v>
      </x:c>
      <x:c r="G151" t="str">
        <x:v>TT10_C05_PC_14</x:v>
      </x:c>
    </x:row>
    <x:row r="152" ht="34" customHeight="1">
      <x:c r="A152" t="str">
        <x:v>TT10_LK_WS3</x:v>
      </x:c>
      <x:c r="B152" t="n">
        <x:v>2</x:v>
      </x:c>
      <x:c r="C152" t="str">
        <x:v>ud</x:v>
      </x:c>
      <x:c r="D152" s="37" t="str">
        <x:v>ArandelaD20/d10.5/t2</x:v>
      </x:c>
      <x:c r="E152" s="37" t="str">
        <x:v>Arandela endurecida 300 HV / ISO 7089</x:v>
      </x:c>
      <x:c r="F152" t="str">
        <x:v>Comprar</x:v>
      </x:c>
      <x:c r="G152" t="str">
        <x:v>TT10_C05_PC_14</x:v>
      </x:c>
    </x:row>
    <x:row r="153" ht="34" customHeight="1">
      <x:c r="A153" t="str">
        <x:v>TT10_LK_WSE0</x:v>
      </x:c>
      <x:c r="B153" t="n">
        <x:v>2</x:v>
      </x:c>
      <x:c r="C153" t="str">
        <x:v>ud</x:v>
      </x:c>
      <x:c r="D153" s="37" t="str">
        <x:v>ArandelaISO7089 M6 200HV</x:v>
      </x:c>
      <x:c r="E153" s="37" t="str">
        <x:v>Arandela endurecida 200 HV / ISO 7089</x:v>
      </x:c>
      <x:c r="F153" t="str">
        <x:v>Comprar</x:v>
      </x:c>
      <x:c r="G153" t="str">
        <x:v>TT10_C05_PC_14</x:v>
      </x:c>
    </x:row>
    <x:row r="154" ht="34" customHeight="1">
      <x:c r="A154" t="str">
        <x:v>TT10_LK_WSE1</x:v>
      </x:c>
      <x:c r="B154" t="n">
        <x:v>2</x:v>
      </x:c>
      <x:c r="C154" t="str">
        <x:v>ud</x:v>
      </x:c>
      <x:c r="D154" s="37" t="str">
        <x:v>ArandelaISO7089 M6 200HV</x:v>
      </x:c>
      <x:c r="E154" s="37" t="str">
        <x:v>Arandela endurecida 200 HV / ISO 7089</x:v>
      </x:c>
      <x:c r="F154" t="str">
        <x:v>Comprar</x:v>
      </x:c>
      <x:c r="G154" t="str">
        <x:v>TT10_C05_PC_14</x:v>
      </x:c>
    </x:row>
    <x:row r="155" ht="34" customHeight="1">
      <x:c r="A155" t="str">
        <x:v>TT10_LK_WT</x:v>
      </x:c>
      <x:c r="B155" t="n">
        <x:v>2</x:v>
      </x:c>
      <x:c r="C155" t="str">
        <x:v>ud</x:v>
      </x:c>
      <x:c r="D155" s="37" t="str">
        <x:v>ArandelaD12/d6.4/t1.6</x:v>
      </x:c>
      <x:c r="E155" s="37" t="str">
        <x:v>Arandela endurecida 300 HV / ISO 7089</x:v>
      </x:c>
      <x:c r="F155" t="str">
        <x:v>Comprar</x:v>
      </x:c>
      <x:c r="G155" t="str">
        <x:v>TT10_C05_PC_14</x:v>
      </x:c>
    </x:row>
    <x:row r="156" ht="34" customHeight="1">
      <x:c r="A156" t="str">
        <x:v>TT10_MB40_N</x:v>
      </x:c>
      <x:c r="B156" t="n">
        <x:v>1</x:v>
      </x:c>
      <x:c r="C156" t="str">
        <x:v>ud</x:v>
      </x:c>
      <x:c r="D156" s="37" t="str">
        <x:v>MB40 comprada: una pestana plegada nominal en KM40; restantes18 planas</x:v>
      </x:c>
      <x:c r="E156" s="37" t="str">
        <x:v>Acero arandela comercial Timken MB40; variante a confirmar</x:v>
      </x:c>
      <x:c r="F156" t="str">
        <x:v>Comprar</x:v>
      </x:c>
      <x:c r="G156" t="str">
        <x:v>TT10_C05_PC_09</x:v>
      </x:c>
    </x:row>
    <x:row r="157" ht="34" customHeight="1">
      <x:c r="A157" t="str">
        <x:v>TT10_MB40_P</x:v>
      </x:c>
      <x:c r="B157" t="n">
        <x:v>1</x:v>
      </x:c>
      <x:c r="C157" t="str">
        <x:v>ud</x:v>
      </x:c>
      <x:c r="D157" s="37" t="str">
        <x:v>MB40 comprada: una pestana plegada nominal en KM40; restantes18 planas</x:v>
      </x:c>
      <x:c r="E157" s="37" t="str">
        <x:v>Acero arandela comercial Timken MB40; variante a confirmar</x:v>
      </x:c>
      <x:c r="F157" t="str">
        <x:v>Comprar</x:v>
      </x:c>
      <x:c r="G157" t="str">
        <x:v>TT10_C05_PC_09</x:v>
      </x:c>
    </x:row>
    <x:row r="158" ht="34" customHeight="1">
      <x:c r="A158" t="str">
        <x:v>TT10_N20_P1I</x:v>
      </x:c>
      <x:c r="B158" t="n">
        <x:v>16</x:v>
      </x:c>
      <x:c r="C158" t="str">
        <x:v>ud</x:v>
      </x:c>
      <x:c r="D158" s="37" t="str">
        <x:v>Tuerca M20 clase8; rosca simplificada</x:v>
      </x:c>
      <x:c r="E158" s="37" t="str">
        <x:v>Tuerca clase 8 / ISO 898-2</x:v>
      </x:c>
      <x:c r="F158" t="str">
        <x:v>Comprar</x:v>
      </x:c>
      <x:c r="G158" t="str">
        <x:v>TT10_C05_PC_01</x:v>
      </x:c>
    </x:row>
    <x:row r="159" ht="34" customHeight="1">
      <x:c r="A159" t="str">
        <x:v>TT10_PE_ACT_CUERPO</x:v>
      </x:c>
      <x:c r="B159" t="n">
        <x:v>2</x:v>
      </x:c>
      <x:c r="C159" t="str">
        <x:v>ud</x:v>
      </x:c>
      <x:c r="D159" s="37" t="str">
        <x:v>Thomson HD24B026-0250LPS2MMSD: interfaces nominales y envolvente conservadora, NO CAD oficial</x:v>
      </x:c>
      <x:c r="E159" s="37" t="str">
        <x:v>Conjunto comercial; selección condicionada</x:v>
      </x:c>
      <x:c r="F159" t="str">
        <x:v>Comprar</x:v>
      </x:c>
      <x:c r="G159" t="str">
        <x:v>TT10_C05_PC_24</x:v>
      </x:c>
    </x:row>
    <x:row r="160" ht="34" customHeight="1">
      <x:c r="A160" t="str">
        <x:v>TT10_PE_ACT_VASTAGO</x:v>
      </x:c>
      <x:c r="B160" t="n">
        <x:v>2</x:v>
      </x:c>
      <x:c r="C160" t="str">
        <x:v>ud</x:v>
      </x:c>
      <x:c r="D160" s="37" t="str">
        <x:v>Extremo y vástago comercial nominal D30.2; taladro12.2; parte móvil de candidato Thomson</x:v>
      </x:c>
      <x:c r="E160" s="37" t="str">
        <x:v>Subcomponente de actuador comercial</x:v>
      </x:c>
      <x:c r="F160" t="str">
        <x:v>Comprar</x:v>
      </x:c>
      <x:c r="G160" t="str">
        <x:v>TT10_C05_PC_12</x:v>
      </x:c>
    </x:row>
    <x:row r="161" ht="34" customHeight="1">
      <x:c r="A161" t="str">
        <x:v>TT10_PE_BA0</x:v>
      </x:c>
      <x:c r="B161" t="n">
        <x:v>2</x:v>
      </x:c>
      <x:c r="C161" t="str">
        <x:v>ud</x:v>
      </x:c>
      <x:c r="D161" s="37" t="str">
        <x:v>Tornillo M8x40 clase8.8, rosca nominal; fijador de rosca según montaje</x:v>
      </x:c>
      <x:c r="E161" s="37" t="str">
        <x:v>Clase 8.8 / ISO 898-1</x:v>
      </x:c>
      <x:c r="F161" t="str">
        <x:v>Comprar</x:v>
      </x:c>
      <x:c r="G161" t="str">
        <x:v>TT10_C05_PC_01</x:v>
      </x:c>
    </x:row>
    <x:row r="162" ht="34" customHeight="1">
      <x:c r="A162" t="str">
        <x:v>TT10_PE_BA1</x:v>
      </x:c>
      <x:c r="B162" t="n">
        <x:v>2</x:v>
      </x:c>
      <x:c r="C162" t="str">
        <x:v>ud</x:v>
      </x:c>
      <x:c r="D162" s="37" t="str">
        <x:v>Tornillo M8x40 clase8.8, rosca nominal; fijador de rosca según montaje</x:v>
      </x:c>
      <x:c r="E162" s="37" t="str">
        <x:v>Clase 8.8 / ISO 898-1</x:v>
      </x:c>
      <x:c r="F162" t="str">
        <x:v>Comprar</x:v>
      </x:c>
      <x:c r="G162" t="str">
        <x:v>TT10_C05_PC_01</x:v>
      </x:c>
    </x:row>
    <x:row r="163" ht="34" customHeight="1">
      <x:c r="A163" t="str">
        <x:v>TT10_PE_BA2</x:v>
      </x:c>
      <x:c r="B163" t="n">
        <x:v>2</x:v>
      </x:c>
      <x:c r="C163" t="str">
        <x:v>ud</x:v>
      </x:c>
      <x:c r="D163" s="37" t="str">
        <x:v>Tornillo M8x40 clase8.8, rosca nominal; fijador de rosca según montaje</x:v>
      </x:c>
      <x:c r="E163" s="37" t="str">
        <x:v>Clase 8.8 / ISO 898-1</x:v>
      </x:c>
      <x:c r="F163" t="str">
        <x:v>Comprar</x:v>
      </x:c>
      <x:c r="G163" t="str">
        <x:v>TT10_C05_PC_01</x:v>
      </x:c>
    </x:row>
    <x:row r="164" ht="34" customHeight="1">
      <x:c r="A164" t="str">
        <x:v>TT10_PE_BA3</x:v>
      </x:c>
      <x:c r="B164" t="n">
        <x:v>2</x:v>
      </x:c>
      <x:c r="C164" t="str">
        <x:v>ud</x:v>
      </x:c>
      <x:c r="D164" s="37" t="str">
        <x:v>Tornillo M8x40 clase8.8, rosca nominal; fijador de rosca según montaje</x:v>
      </x:c>
      <x:c r="E164" s="37" t="str">
        <x:v>Clase 8.8 / ISO 898-1</x:v>
      </x:c>
      <x:c r="F164" t="str">
        <x:v>Comprar</x:v>
      </x:c>
      <x:c r="G164" t="str">
        <x:v>TT10_C05_PC_01</x:v>
      </x:c>
    </x:row>
    <x:row r="165" ht="34" customHeight="1">
      <x:c r="A165" t="str">
        <x:v>TT10_PE_BEF</x:v>
      </x:c>
      <x:c r="B165" t="n">
        <x:v>2</x:v>
      </x:c>
      <x:c r="C165" t="str">
        <x:v>ud</x:v>
      </x:c>
      <x:c r="D165" s="37" t="str">
        <x:v>ISO7380-1 M6x10 8.8; cabeza baja D10.5 H3.3 envolvente; hexágono4; fijador de rosca requerido</x:v>
      </x:c>
      <x:c r="E165" s="37" t="str">
        <x:v>Clase 8.8 / ISO 898-1</x:v>
      </x:c>
      <x:c r="F165" t="str">
        <x:v>Comprar</x:v>
      </x:c>
      <x:c r="G165" t="str">
        <x:v>TT10_C05_PC_12</x:v>
      </x:c>
    </x:row>
    <x:row r="166" ht="34" customHeight="1">
      <x:c r="A166" t="str">
        <x:v>TT10_PE_BER</x:v>
      </x:c>
      <x:c r="B166" t="n">
        <x:v>2</x:v>
      </x:c>
      <x:c r="C166" t="str">
        <x:v>ud</x:v>
      </x:c>
      <x:c r="D166" s="37" t="str">
        <x:v>Tornillo M8x12 clase8.8, rosca nominal; fijador de rosca según montaje</x:v>
      </x:c>
      <x:c r="E166" s="37" t="str">
        <x:v>Clase 8.8 / ISO 898-1</x:v>
      </x:c>
      <x:c r="F166" t="str">
        <x:v>Comprar</x:v>
      </x:c>
      <x:c r="G166" t="str">
        <x:v>TT10_C05_PC_01</x:v>
      </x:c>
    </x:row>
    <x:row r="167" ht="34" customHeight="1">
      <x:c r="A167" t="str">
        <x:v>TT10_PE_BF0</x:v>
      </x:c>
      <x:c r="B167" t="n">
        <x:v>2</x:v>
      </x:c>
      <x:c r="C167" t="str">
        <x:v>ud</x:v>
      </x:c>
      <x:c r="D167" s="37" t="str">
        <x:v>Tornillo M10x25 clase8.8, rosca nominal; fijador de rosca según montaje</x:v>
      </x:c>
      <x:c r="E167" s="37" t="str">
        <x:v>Clase 8.8 / ISO 898-1</x:v>
      </x:c>
      <x:c r="F167" t="str">
        <x:v>Comprar</x:v>
      </x:c>
      <x:c r="G167" t="str">
        <x:v>TT10_C05_PC_12</x:v>
      </x:c>
    </x:row>
    <x:row r="168" ht="34" customHeight="1">
      <x:c r="A168" t="str">
        <x:v>TT10_PE_BF1</x:v>
      </x:c>
      <x:c r="B168" t="n">
        <x:v>2</x:v>
      </x:c>
      <x:c r="C168" t="str">
        <x:v>ud</x:v>
      </x:c>
      <x:c r="D168" s="37" t="str">
        <x:v>Tornillo M10x25 clase8.8, rosca nominal; fijador de rosca según montaje</x:v>
      </x:c>
      <x:c r="E168" s="37" t="str">
        <x:v>Clase 8.8 / ISO 898-1</x:v>
      </x:c>
      <x:c r="F168" t="str">
        <x:v>Comprar</x:v>
      </x:c>
      <x:c r="G168" t="str">
        <x:v>TT10_C05_PC_12</x:v>
      </x:c>
    </x:row>
    <x:row r="169" ht="34" customHeight="1">
      <x:c r="A169" t="str">
        <x:v>TT10_PE_BR0</x:v>
      </x:c>
      <x:c r="B169" t="n">
        <x:v>2</x:v>
      </x:c>
      <x:c r="C169" t="str">
        <x:v>ud</x:v>
      </x:c>
      <x:c r="D169" s="37" t="str">
        <x:v>Tornillo M10x25 clase8.8, rosca nominal; fijador de rosca según montaje</x:v>
      </x:c>
      <x:c r="E169" s="37" t="str">
        <x:v>Clase 8.8 / ISO 898-1</x:v>
      </x:c>
      <x:c r="F169" t="str">
        <x:v>Comprar</x:v>
      </x:c>
      <x:c r="G169" t="str">
        <x:v>TT10_C05_PC_01</x:v>
      </x:c>
    </x:row>
    <x:row r="170" ht="34" customHeight="1">
      <x:c r="A170" t="str">
        <x:v>TT10_PE_BR1</x:v>
      </x:c>
      <x:c r="B170" t="n">
        <x:v>2</x:v>
      </x:c>
      <x:c r="C170" t="str">
        <x:v>ud</x:v>
      </x:c>
      <x:c r="D170" s="37" t="str">
        <x:v>Tornillo M10x25 clase8.8, rosca nominal; fijador de rosca según montaje</x:v>
      </x:c>
      <x:c r="E170" s="37" t="str">
        <x:v>Clase 8.8 / ISO 898-1</x:v>
      </x:c>
      <x:c r="F170" t="str">
        <x:v>Comprar</x:v>
      </x:c>
      <x:c r="G170" t="str">
        <x:v>TT10_C05_PC_01</x:v>
      </x:c>
    </x:row>
    <x:row r="171" ht="34" customHeight="1">
      <x:c r="A171" t="str">
        <x:v>TT10_PE_EJE_F</x:v>
      </x:c>
      <x:c r="B171" t="n">
        <x:v>2</x:v>
      </x:c>
      <x:c r="C171" t="str">
        <x:v>ud</x:v>
      </x:c>
      <x:c r="D171" s="37" t="str">
        <x:v>Bulón articulación D12 h8, cabeza20x4, M6-6H axial profundidad12; arandela y tornillo de retención</x:v>
      </x:c>
      <x:c r="E171" s="37" t="str">
        <x:v>Arandela endurecida 300 HV / ISO 7089</x:v>
      </x:c>
      <x:c r="F171" t="str">
        <x:v>Comprar</x:v>
      </x:c>
      <x:c r="G171" t="str">
        <x:v>TT10_C05_PC_12</x:v>
      </x:c>
    </x:row>
    <x:row r="172" ht="34" customHeight="1">
      <x:c r="A172" t="str">
        <x:v>TT10_PE_EJE_R</x:v>
      </x:c>
      <x:c r="B172" t="n">
        <x:v>2</x:v>
      </x:c>
      <x:c r="C172" t="str">
        <x:v>ud</x:v>
      </x:c>
      <x:c r="D172" s="37" t="str">
        <x:v>Bulón articulación D12 h8, cabeza20x4, M8-6H axial profundidad12; arandela y tornillo de retención</x:v>
      </x:c>
      <x:c r="E172" s="37" t="str">
        <x:v>Arandela endurecida 300 HV / ISO 7089</x:v>
      </x:c>
      <x:c r="F172" t="str">
        <x:v>Comprar</x:v>
      </x:c>
      <x:c r="G172" t="str">
        <x:v>TT10_C05_PC_01</x:v>
      </x:c>
    </x:row>
    <x:row r="173" ht="34" customHeight="1">
      <x:c r="A173" t="str">
        <x:v>TT10_PE_NA0</x:v>
      </x:c>
      <x:c r="B173" t="n">
        <x:v>2</x:v>
      </x:c>
      <x:c r="C173" t="str">
        <x:v>ud</x:v>
      </x:c>
      <x:c r="D173" s="37" t="str">
        <x:v>Tuerca M8 clase8; rosca nominal, retención por fijador especificado</x:v>
      </x:c>
      <x:c r="E173" s="37" t="str">
        <x:v>Tuerca clase 8 / ISO 898-2</x:v>
      </x:c>
      <x:c r="F173" t="str">
        <x:v>Comprar</x:v>
      </x:c>
      <x:c r="G173" t="str">
        <x:v>TT10_C05_PC_01</x:v>
      </x:c>
    </x:row>
    <x:row r="174" ht="34" customHeight="1">
      <x:c r="A174" t="str">
        <x:v>TT10_PE_NA1</x:v>
      </x:c>
      <x:c r="B174" t="n">
        <x:v>2</x:v>
      </x:c>
      <x:c r="C174" t="str">
        <x:v>ud</x:v>
      </x:c>
      <x:c r="D174" s="37" t="str">
        <x:v>Tuerca M8 clase8; rosca nominal, retención por fijador especificado</x:v>
      </x:c>
      <x:c r="E174" s="37" t="str">
        <x:v>Tuerca clase 8 / ISO 898-2</x:v>
      </x:c>
      <x:c r="F174" t="str">
        <x:v>Comprar</x:v>
      </x:c>
      <x:c r="G174" t="str">
        <x:v>TT10_C05_PC_01</x:v>
      </x:c>
    </x:row>
    <x:row r="175" ht="34" customHeight="1">
      <x:c r="A175" t="str">
        <x:v>TT10_PE_NA2</x:v>
      </x:c>
      <x:c r="B175" t="n">
        <x:v>2</x:v>
      </x:c>
      <x:c r="C175" t="str">
        <x:v>ud</x:v>
      </x:c>
      <x:c r="D175" s="37" t="str">
        <x:v>Tuerca M8 clase8; rosca nominal, retención por fijador especificado</x:v>
      </x:c>
      <x:c r="E175" s="37" t="str">
        <x:v>Tuerca clase 8 / ISO 898-2</x:v>
      </x:c>
      <x:c r="F175" t="str">
        <x:v>Comprar</x:v>
      </x:c>
      <x:c r="G175" t="str">
        <x:v>TT10_C05_PC_01</x:v>
      </x:c>
    </x:row>
    <x:row r="176" ht="34" customHeight="1">
      <x:c r="A176" t="str">
        <x:v>TT10_PE_NA3</x:v>
      </x:c>
      <x:c r="B176" t="n">
        <x:v>2</x:v>
      </x:c>
      <x:c r="C176" t="str">
        <x:v>ud</x:v>
      </x:c>
      <x:c r="D176" s="37" t="str">
        <x:v>Tuerca M8 clase8; rosca nominal, retención por fijador especificado</x:v>
      </x:c>
      <x:c r="E176" s="37" t="str">
        <x:v>Tuerca clase 8 / ISO 898-2</x:v>
      </x:c>
      <x:c r="F176" t="str">
        <x:v>Comprar</x:v>
      </x:c>
      <x:c r="G176" t="str">
        <x:v>TT10_C05_PC_01</x:v>
      </x:c>
    </x:row>
    <x:row r="177" ht="34" customHeight="1">
      <x:c r="A177" t="str">
        <x:v>TT10_PE_WA0</x:v>
      </x:c>
      <x:c r="B177" t="n">
        <x:v>2</x:v>
      </x:c>
      <x:c r="C177" t="str">
        <x:v>ud</x:v>
      </x:c>
      <x:c r="D177" s="37" t="str">
        <x:v>Arandela D16/d8.4/t1.6</x:v>
      </x:c>
      <x:c r="E177" s="37" t="str">
        <x:v>Arandela endurecida 300 HV / ISO 7089</x:v>
      </x:c>
      <x:c r="F177" t="str">
        <x:v>Comprar</x:v>
      </x:c>
      <x:c r="G177" t="str">
        <x:v>TT10_C05_PC_01</x:v>
      </x:c>
    </x:row>
    <x:row r="178" ht="34" customHeight="1">
      <x:c r="A178" t="str">
        <x:v>TT10_PE_WA1</x:v>
      </x:c>
      <x:c r="B178" t="n">
        <x:v>2</x:v>
      </x:c>
      <x:c r="C178" t="str">
        <x:v>ud</x:v>
      </x:c>
      <x:c r="D178" s="37" t="str">
        <x:v>Arandela D16/d8.4/t1.6</x:v>
      </x:c>
      <x:c r="E178" s="37" t="str">
        <x:v>Arandela endurecida 300 HV / ISO 7089</x:v>
      </x:c>
      <x:c r="F178" t="str">
        <x:v>Comprar</x:v>
      </x:c>
      <x:c r="G178" t="str">
        <x:v>TT10_C05_PC_01</x:v>
      </x:c>
    </x:row>
    <x:row r="179" ht="34" customHeight="1">
      <x:c r="A179" t="str">
        <x:v>TT10_PE_WA2</x:v>
      </x:c>
      <x:c r="B179" t="n">
        <x:v>2</x:v>
      </x:c>
      <x:c r="C179" t="str">
        <x:v>ud</x:v>
      </x:c>
      <x:c r="D179" s="37" t="str">
        <x:v>Arandela D16/d8.4/t1.6</x:v>
      </x:c>
      <x:c r="E179" s="37" t="str">
        <x:v>Arandela endurecida 300 HV / ISO 7089</x:v>
      </x:c>
      <x:c r="F179" t="str">
        <x:v>Comprar</x:v>
      </x:c>
      <x:c r="G179" t="str">
        <x:v>TT10_C05_PC_01</x:v>
      </x:c>
    </x:row>
    <x:row r="180" ht="34" customHeight="1">
      <x:c r="A180" t="str">
        <x:v>TT10_PE_WA3</x:v>
      </x:c>
      <x:c r="B180" t="n">
        <x:v>2</x:v>
      </x:c>
      <x:c r="C180" t="str">
        <x:v>ud</x:v>
      </x:c>
      <x:c r="D180" s="37" t="str">
        <x:v>Arandela D16/d8.4/t1.6</x:v>
      </x:c>
      <x:c r="E180" s="37" t="str">
        <x:v>Arandela endurecida 300 HV / ISO 7089</x:v>
      </x:c>
      <x:c r="F180" t="str">
        <x:v>Comprar</x:v>
      </x:c>
      <x:c r="G180" t="str">
        <x:v>TT10_C05_PC_01</x:v>
      </x:c>
    </x:row>
    <x:row r="181" ht="34" customHeight="1">
      <x:c r="A181" t="str">
        <x:v>TT10_PE_WEF</x:v>
      </x:c>
      <x:c r="B181" t="n">
        <x:v>2</x:v>
      </x:c>
      <x:c r="C181" t="str">
        <x:v>ud</x:v>
      </x:c>
      <x:c r="D181" s="37" t="str">
        <x:v>Arandela D12/d6.4/t1.6</x:v>
      </x:c>
      <x:c r="E181" s="37" t="str">
        <x:v>Arandela endurecida 300 HV / ISO 7089</x:v>
      </x:c>
      <x:c r="F181" t="str">
        <x:v>Comprar</x:v>
      </x:c>
      <x:c r="G181" t="str">
        <x:v>TT10_C05_PC_12</x:v>
      </x:c>
    </x:row>
    <x:row r="182" ht="34" customHeight="1">
      <x:c r="A182" t="str">
        <x:v>TT10_PE_WER</x:v>
      </x:c>
      <x:c r="B182" t="n">
        <x:v>2</x:v>
      </x:c>
      <x:c r="C182" t="str">
        <x:v>ud</x:v>
      </x:c>
      <x:c r="D182" s="37" t="str">
        <x:v>Arandela D20/d8.4/t2</x:v>
      </x:c>
      <x:c r="E182" s="37" t="str">
        <x:v>Arandela endurecida 300 HV / ISO 7089</x:v>
      </x:c>
      <x:c r="F182" t="str">
        <x:v>Comprar</x:v>
      </x:c>
      <x:c r="G182" t="str">
        <x:v>TT10_C05_PC_01</x:v>
      </x:c>
    </x:row>
    <x:row r="183" ht="34" customHeight="1">
      <x:c r="A183" t="str">
        <x:v>TT10_PE_WF0</x:v>
      </x:c>
      <x:c r="B183" t="n">
        <x:v>2</x:v>
      </x:c>
      <x:c r="C183" t="str">
        <x:v>ud</x:v>
      </x:c>
      <x:c r="D183" s="37" t="str">
        <x:v>Arandela D20/d10.5/t2</x:v>
      </x:c>
      <x:c r="E183" s="37" t="str">
        <x:v>Arandela endurecida 300 HV / ISO 7089</x:v>
      </x:c>
      <x:c r="F183" t="str">
        <x:v>Comprar</x:v>
      </x:c>
      <x:c r="G183" t="str">
        <x:v>TT10_C05_PC_12</x:v>
      </x:c>
    </x:row>
    <x:row r="184" ht="34" customHeight="1">
      <x:c r="A184" t="str">
        <x:v>TT10_PE_WF1</x:v>
      </x:c>
      <x:c r="B184" t="n">
        <x:v>2</x:v>
      </x:c>
      <x:c r="C184" t="str">
        <x:v>ud</x:v>
      </x:c>
      <x:c r="D184" s="37" t="str">
        <x:v>Arandela D20/d10.5/t2</x:v>
      </x:c>
      <x:c r="E184" s="37" t="str">
        <x:v>Arandela endurecida 300 HV / ISO 7089</x:v>
      </x:c>
      <x:c r="F184" t="str">
        <x:v>Comprar</x:v>
      </x:c>
      <x:c r="G184" t="str">
        <x:v>TT10_C05_PC_12</x:v>
      </x:c>
    </x:row>
    <x:row r="185" ht="34" customHeight="1">
      <x:c r="A185" t="str">
        <x:v>TT10_PE_WN0</x:v>
      </x:c>
      <x:c r="B185" t="n">
        <x:v>2</x:v>
      </x:c>
      <x:c r="C185" t="str">
        <x:v>ud</x:v>
      </x:c>
      <x:c r="D185" s="37" t="str">
        <x:v>Arandela D16/d8.4/t1.6</x:v>
      </x:c>
      <x:c r="E185" s="37" t="str">
        <x:v>Arandela endurecida 300 HV / ISO 7089</x:v>
      </x:c>
      <x:c r="F185" t="str">
        <x:v>Comprar</x:v>
      </x:c>
      <x:c r="G185" t="str">
        <x:v>TT10_C05_PC_01</x:v>
      </x:c>
    </x:row>
    <x:row r="186" ht="34" customHeight="1">
      <x:c r="A186" t="str">
        <x:v>TT10_PE_WN1</x:v>
      </x:c>
      <x:c r="B186" t="n">
        <x:v>2</x:v>
      </x:c>
      <x:c r="C186" t="str">
        <x:v>ud</x:v>
      </x:c>
      <x:c r="D186" s="37" t="str">
        <x:v>Arandela D16/d8.4/t1.6</x:v>
      </x:c>
      <x:c r="E186" s="37" t="str">
        <x:v>Arandela endurecida 300 HV / ISO 7089</x:v>
      </x:c>
      <x:c r="F186" t="str">
        <x:v>Comprar</x:v>
      </x:c>
      <x:c r="G186" t="str">
        <x:v>TT10_C05_PC_01</x:v>
      </x:c>
    </x:row>
    <x:row r="187" ht="34" customHeight="1">
      <x:c r="A187" t="str">
        <x:v>TT10_PE_WN2</x:v>
      </x:c>
      <x:c r="B187" t="n">
        <x:v>2</x:v>
      </x:c>
      <x:c r="C187" t="str">
        <x:v>ud</x:v>
      </x:c>
      <x:c r="D187" s="37" t="str">
        <x:v>Arandela D16/d8.4/t1.6</x:v>
      </x:c>
      <x:c r="E187" s="37" t="str">
        <x:v>Arandela endurecida 300 HV / ISO 7089</x:v>
      </x:c>
      <x:c r="F187" t="str">
        <x:v>Comprar</x:v>
      </x:c>
      <x:c r="G187" t="str">
        <x:v>TT10_C05_PC_01</x:v>
      </x:c>
    </x:row>
    <x:row r="188" ht="34" customHeight="1">
      <x:c r="A188" t="str">
        <x:v>TT10_PE_WN3</x:v>
      </x:c>
      <x:c r="B188" t="n">
        <x:v>2</x:v>
      </x:c>
      <x:c r="C188" t="str">
        <x:v>ud</x:v>
      </x:c>
      <x:c r="D188" s="37" t="str">
        <x:v>Arandela D16/d8.4/t1.6</x:v>
      </x:c>
      <x:c r="E188" s="37" t="str">
        <x:v>Arandela endurecida 300 HV / ISO 7089</x:v>
      </x:c>
      <x:c r="F188" t="str">
        <x:v>Comprar</x:v>
      </x:c>
      <x:c r="G188" t="str">
        <x:v>TT10_C05_PC_01</x:v>
      </x:c>
    </x:row>
    <x:row r="189" ht="34" customHeight="1">
      <x:c r="A189" t="str">
        <x:v>TT10_PE_WR0</x:v>
      </x:c>
      <x:c r="B189" t="n">
        <x:v>2</x:v>
      </x:c>
      <x:c r="C189" t="str">
        <x:v>ud</x:v>
      </x:c>
      <x:c r="D189" s="37" t="str">
        <x:v>Arandela D20/d10.5/t2</x:v>
      </x:c>
      <x:c r="E189" s="37" t="str">
        <x:v>Arandela endurecida 300 HV / ISO 7089</x:v>
      </x:c>
      <x:c r="F189" t="str">
        <x:v>Comprar</x:v>
      </x:c>
      <x:c r="G189" t="str">
        <x:v>TT10_C05_PC_01</x:v>
      </x:c>
    </x:row>
    <x:row r="190" ht="34" customHeight="1">
      <x:c r="A190" t="str">
        <x:v>TT10_PE_WR1</x:v>
      </x:c>
      <x:c r="B190" t="n">
        <x:v>2</x:v>
      </x:c>
      <x:c r="C190" t="str">
        <x:v>ud</x:v>
      </x:c>
      <x:c r="D190" s="37" t="str">
        <x:v>Arandela D20/d10.5/t2</x:v>
      </x:c>
      <x:c r="E190" s="37" t="str">
        <x:v>Arandela endurecida 300 HV / ISO 7089</x:v>
      </x:c>
      <x:c r="F190" t="str">
        <x:v>Comprar</x:v>
      </x:c>
      <x:c r="G190" t="str">
        <x:v>TT10_C05_PC_01</x:v>
      </x:c>
    </x:row>
    <x:row r="191" ht="34" customHeight="1">
      <x:c r="A191" t="str">
        <x:v>TT10_R6M_CHAVETA_FRENO_TIMON</x:v>
      </x:c>
      <x:c r="B191" t="n">
        <x:v>1</x:v>
      </x:c>
      <x:c r="C191" t="str">
        <x:v>ud</x:v>
      </x:c>
      <x:c r="D191" s="37" t="str">
        <x:v>ChavetaDIN6885/1 8x7x25 C45E</x:v>
      </x:c>
      <x:c r="E191" s="37" t="str">
        <x:v>AISI 4140 bonificado</x:v>
      </x:c>
      <x:c r="F191" t="str">
        <x:v>Comprar</x:v>
      </x:c>
      <x:c r="G191" t="str">
        <x:v>TT10_C05_PC_17</x:v>
      </x:c>
    </x:row>
    <x:row r="192" ht="34" customHeight="1">
      <x:c r="A192" t="str">
        <x:v>TT10_R6M_CUBO_FRENO_TIMON</x:v>
      </x:c>
      <x:c r="B192" t="n">
        <x:v>1</x:v>
      </x:c>
      <x:c r="C192" t="str">
        <x:v>ud</x:v>
      </x:c>
      <x:c r="D192" s="37" t="str">
        <x:v>Cubo comercial simplificado: Ø30H7,8JS9;L25; verificar suministro con referencia mayr</x:v>
      </x:c>
      <x:c r="E192" s="37" t="str">
        <x:v>AISI 4140 bonificado</x:v>
      </x:c>
      <x:c r="F192" t="str">
        <x:v>Comprar</x:v>
      </x:c>
      <x:c r="G192" t="str">
        <x:v>TT10_C05_PC_17</x:v>
      </x:c>
    </x:row>
    <x:row r="193" ht="34" customHeight="1">
      <x:c r="A193" t="str">
        <x:v>TT10_R6M_IE5338_N_INSERTADO</x:v>
      </x:c>
      <x:c r="B193" t="n">
        <x:v>1</x:v>
      </x:c>
      <x:c r="C193" t="str">
        <x:v>ud</x:v>
      </x:c>
      <x:c r="D193" s="37" t="str">
        <x:v>ifmIE5338,M8x1L40,SN3mm;N INSERTADO</x:v>
      </x:c>
      <x:c r="E193" s="37" t="str">
        <x:v>Conjunto comercial ifm</x:v>
      </x:c>
      <x:c r="F193" t="str">
        <x:v>Comprar</x:v>
      </x:c>
      <x:c r="G193" t="str">
        <x:v>TT10_C05_PC_15</x:v>
      </x:c>
    </x:row>
    <x:row r="194" ht="34" customHeight="1">
      <x:c r="A194" t="str">
        <x:v>TT10_R6M_IE5338_N_RETIRADO</x:v>
      </x:c>
      <x:c r="B194" t="n">
        <x:v>1</x:v>
      </x:c>
      <x:c r="C194" t="str">
        <x:v>ud</x:v>
      </x:c>
      <x:c r="D194" s="37" t="str">
        <x:v>ifmIE5338,M8x1L40,SN3mm;N RETIRADO</x:v>
      </x:c>
      <x:c r="E194" s="37" t="str">
        <x:v>Conjunto comercial ifm</x:v>
      </x:c>
      <x:c r="F194" t="str">
        <x:v>Comprar</x:v>
      </x:c>
      <x:c r="G194" t="str">
        <x:v>TT10_C05_PC_15</x:v>
      </x:c>
    </x:row>
    <x:row r="195" ht="34" customHeight="1">
      <x:c r="A195" t="str">
        <x:v>TT10_R6M_IE5338_P_INSERTADO</x:v>
      </x:c>
      <x:c r="B195" t="n">
        <x:v>1</x:v>
      </x:c>
      <x:c r="C195" t="str">
        <x:v>ud</x:v>
      </x:c>
      <x:c r="D195" s="37" t="str">
        <x:v>ifmIE5338,M8x1L40,SN3mm;P INSERTADO</x:v>
      </x:c>
      <x:c r="E195" s="37" t="str">
        <x:v>Conjunto comercial ifm</x:v>
      </x:c>
      <x:c r="F195" t="str">
        <x:v>Comprar</x:v>
      </x:c>
      <x:c r="G195" t="str">
        <x:v>TT10_C05_PC_15</x:v>
      </x:c>
    </x:row>
    <x:row r="196" ht="34" customHeight="1">
      <x:c r="A196" t="str">
        <x:v>TT10_R6M_IE5338_P_RETIRADO</x:v>
      </x:c>
      <x:c r="B196" t="n">
        <x:v>1</x:v>
      </x:c>
      <x:c r="C196" t="str">
        <x:v>ud</x:v>
      </x:c>
      <x:c r="D196" s="37" t="str">
        <x:v>ifmIE5338,M8x1L40,SN3mm;P RETIRADO</x:v>
      </x:c>
      <x:c r="E196" s="37" t="str">
        <x:v>Conjunto comercial ifm</x:v>
      </x:c>
      <x:c r="F196" t="str">
        <x:v>Comprar</x:v>
      </x:c>
      <x:c r="G196" t="str">
        <x:v>TT10_C05_PC_15</x:v>
      </x:c>
    </x:row>
    <x:row r="197" ht="34" customHeight="1">
      <x:c r="A197" t="str">
        <x:v>TT10_R6M_MAYR_32</x:v>
      </x:c>
      <x:c r="B197" t="n">
        <x:v>1</x:v>
      </x:c>
      <x:c r="C197" t="str">
        <x:v>ud</x:v>
      </x:c>
      <x:c r="D197" s="37" t="str">
        <x:v>mayr32/891.101.0/24/30/6885/1 JS9;64Nm; rotor metálico; liberación manual</x:v>
      </x:c>
      <x:c r="E197" s="37" t="str">
        <x:v>Conjunto comercial mayr</x:v>
      </x:c>
      <x:c r="F197" t="str">
        <x:v>Comprar</x:v>
      </x:c>
      <x:c r="G197" t="str">
        <x:v>TT10_C05_PC_17</x:v>
      </x:c>
    </x:row>
    <x:row r="198" ht="34" customHeight="1">
      <x:c r="A198" t="str">
        <x:v>TT10_SEN_B6_P0</x:v>
      </x:c>
      <x:c r="B198" t="n">
        <x:v>4</x:v>
      </x:c>
      <x:c r="C198" t="str">
        <x:v>ud</x:v>
      </x:c>
      <x:c r="D198" s="37" t="str">
        <x:v>Tornillo ISO4762 M6x16 8.8, cabeza D10 H6, hexágono5; rosca nominal</x:v>
      </x:c>
      <x:c r="E198" s="37" t="str">
        <x:v>Clase 8.8 / ISO 898-1</x:v>
      </x:c>
      <x:c r="F198" t="str">
        <x:v>Comprar</x:v>
      </x:c>
      <x:c r="G198" t="str">
        <x:v>TT10_C05_PC_15</x:v>
      </x:c>
    </x:row>
    <x:row r="199" ht="34" customHeight="1">
      <x:c r="A199" t="str">
        <x:v>TT10_SEN_P_IN</x:v>
      </x:c>
      <x:c r="B199" t="n">
        <x:v>4</x:v>
      </x:c>
      <x:c r="C199" t="str">
        <x:v>ud</x:v>
      </x:c>
      <x:c r="D199" s="37" t="str">
        <x:v>IFM IE5338 M8x1 L40, Sn3, NO PNP/NPN, 10-30VDC; incluye dos contratuercas</x:v>
      </x:c>
      <x:c r="E199" s="37" t="str">
        <x:v>Conjunto comercial IFM; latón y polímeros</x:v>
      </x:c>
      <x:c r="F199" t="str">
        <x:v>Comprar</x:v>
      </x:c>
      <x:c r="G199" t="str">
        <x:v>TT10_C05_PC_15</x:v>
      </x:c>
    </x:row>
    <x:row r="200" ht="34" customHeight="1">
      <x:c r="A200" t="str">
        <x:v>TT10_TIR_N1</x:v>
      </x:c>
      <x:c r="B200" t="n">
        <x:v>1</x:v>
      </x:c>
      <x:c r="C200" t="str">
        <x:v>ud</x:v>
      </x:c>
      <x:c r="D200" s="37" t="str">
        <x:v>Tirante M20 propuesto, L380; rosca simplificada</x:v>
      </x:c>
      <x:c r="E200" s="37" t="str">
        <x:v>ASTM A36</x:v>
      </x:c>
      <x:c r="F200" t="str">
        <x:v>Comprar</x:v>
      </x:c>
      <x:c r="G200" t="str">
        <x:v>TT10_C05_PC_01</x:v>
      </x:c>
    </x:row>
    <x:row r="201" ht="34" customHeight="1">
      <x:c r="A201" t="str">
        <x:v>TT10_TIR_N2</x:v>
      </x:c>
      <x:c r="B201" t="n">
        <x:v>1</x:v>
      </x:c>
      <x:c r="C201" t="str">
        <x:v>ud</x:v>
      </x:c>
      <x:c r="D201" s="37" t="str">
        <x:v>Tirante M20 propuesto, L380; rosca simplificada</x:v>
      </x:c>
      <x:c r="E201" s="37" t="str">
        <x:v>ASTM A36</x:v>
      </x:c>
      <x:c r="F201" t="str">
        <x:v>Comprar</x:v>
      </x:c>
      <x:c r="G201" t="str">
        <x:v>TT10_C05_PC_01</x:v>
      </x:c>
    </x:row>
    <x:row r="202" ht="34" customHeight="1">
      <x:c r="A202" t="str">
        <x:v>TT10_TIR_N3</x:v>
      </x:c>
      <x:c r="B202" t="n">
        <x:v>1</x:v>
      </x:c>
      <x:c r="C202" t="str">
        <x:v>ud</x:v>
      </x:c>
      <x:c r="D202" s="37" t="str">
        <x:v>Tirante M20 propuesto, L380; rosca simplificada</x:v>
      </x:c>
      <x:c r="E202" s="37" t="str">
        <x:v>ASTM A36</x:v>
      </x:c>
      <x:c r="F202" t="str">
        <x:v>Comprar</x:v>
      </x:c>
      <x:c r="G202" t="str">
        <x:v>TT10_C05_PC_01</x:v>
      </x:c>
    </x:row>
    <x:row r="203" ht="34" customHeight="1">
      <x:c r="A203" t="str">
        <x:v>TT10_TIR_N4</x:v>
      </x:c>
      <x:c r="B203" t="n">
        <x:v>1</x:v>
      </x:c>
      <x:c r="C203" t="str">
        <x:v>ud</x:v>
      </x:c>
      <x:c r="D203" s="37" t="str">
        <x:v>Tirante M20 propuesto, L380; rosca simplificada</x:v>
      </x:c>
      <x:c r="E203" s="37" t="str">
        <x:v>ASTM A36</x:v>
      </x:c>
      <x:c r="F203" t="str">
        <x:v>Comprar</x:v>
      </x:c>
      <x:c r="G203" t="str">
        <x:v>TT10_C05_PC_01</x:v>
      </x:c>
    </x:row>
    <x:row r="204" ht="34" customHeight="1">
      <x:c r="A204" t="str">
        <x:v>TT10_TM_ARANDELA16</x:v>
      </x:c>
      <x:c r="B204" t="n">
        <x:v>1</x:v>
      </x:c>
      <x:c r="C204" t="str">
        <x:v>ud</x:v>
      </x:c>
      <x:c r="D204" s="37" t="str">
        <x:v>Arandela de retención D44/d17/t4</x:v>
      </x:c>
      <x:c r="E204" s="37" t="str">
        <x:v>Arandela endurecida 300 HV / ISO 7089</x:v>
      </x:c>
      <x:c r="F204" t="str">
        <x:v>Comprar</x:v>
      </x:c>
      <x:c r="G204" t="str">
        <x:v>TT10_C05_PC_17</x:v>
      </x:c>
    </x:row>
    <x:row r="205" ht="34" customHeight="1">
      <x:c r="A205" t="str">
        <x:v>TT10_TM_B12_0</x:v>
      </x:c>
      <x:c r="B205" t="n">
        <x:v>1</x:v>
      </x:c>
      <x:c r="C205" t="str">
        <x:v>ud</x:v>
      </x:c>
      <x:c r="D205" s="37" t="str">
        <x:v>Tornillo M12x40 8.8, s18, rosca nominal; enganche20.5mm en placa</x:v>
      </x:c>
      <x:c r="E205" s="37" t="str">
        <x:v>Clase 8.8 / ISO 898-1</x:v>
      </x:c>
      <x:c r="F205" t="str">
        <x:v>Comprar</x:v>
      </x:c>
      <x:c r="G205" t="str">
        <x:v>TT10_C05_PC_17</x:v>
      </x:c>
    </x:row>
    <x:row r="206" ht="34" customHeight="1">
      <x:c r="A206" t="str">
        <x:v>TT10_TM_B12_1</x:v>
      </x:c>
      <x:c r="B206" t="n">
        <x:v>1</x:v>
      </x:c>
      <x:c r="C206" t="str">
        <x:v>ud</x:v>
      </x:c>
      <x:c r="D206" s="37" t="str">
        <x:v>Tornillo M12x40 8.8, s18, rosca nominal; enganche20.5mm en placa</x:v>
      </x:c>
      <x:c r="E206" s="37" t="str">
        <x:v>Clase 8.8 / ISO 898-1</x:v>
      </x:c>
      <x:c r="F206" t="str">
        <x:v>Comprar</x:v>
      </x:c>
      <x:c r="G206" t="str">
        <x:v>TT10_C05_PC_17</x:v>
      </x:c>
    </x:row>
    <x:row r="207" ht="34" customHeight="1">
      <x:c r="A207" t="str">
        <x:v>TT10_TM_B12_2</x:v>
      </x:c>
      <x:c r="B207" t="n">
        <x:v>1</x:v>
      </x:c>
      <x:c r="C207" t="str">
        <x:v>ud</x:v>
      </x:c>
      <x:c r="D207" s="37" t="str">
        <x:v>Tornillo M12x40 8.8, s18, rosca nominal; enganche20.5mm en placa</x:v>
      </x:c>
      <x:c r="E207" s="37" t="str">
        <x:v>Clase 8.8 / ISO 898-1</x:v>
      </x:c>
      <x:c r="F207" t="str">
        <x:v>Comprar</x:v>
      </x:c>
      <x:c r="G207" t="str">
        <x:v>TT10_C05_PC_17</x:v>
      </x:c>
    </x:row>
    <x:row r="208" ht="34" customHeight="1">
      <x:c r="A208" t="str">
        <x:v>TT10_TM_B12_3</x:v>
      </x:c>
      <x:c r="B208" t="n">
        <x:v>1</x:v>
      </x:c>
      <x:c r="C208" t="str">
        <x:v>ud</x:v>
      </x:c>
      <x:c r="D208" s="37" t="str">
        <x:v>Tornillo M12x40 8.8, s18, rosca nominal; enganche20.5mm en placa</x:v>
      </x:c>
      <x:c r="E208" s="37" t="str">
        <x:v>Clase 8.8 / ISO 898-1</x:v>
      </x:c>
      <x:c r="F208" t="str">
        <x:v>Comprar</x:v>
      </x:c>
      <x:c r="G208" t="str">
        <x:v>TT10_C05_PC_17</x:v>
      </x:c>
    </x:row>
    <x:row r="209" ht="34" customHeight="1">
      <x:c r="A209" t="str">
        <x:v>TT10_TM_CHAVETA</x:v>
      </x:c>
      <x:c r="B209" t="n">
        <x:v>1</x:v>
      </x:c>
      <x:c r="C209" t="str">
        <x:v>ud</x:v>
      </x:c>
      <x:c r="D209" s="37" t="str">
        <x:v>Chaveta paralela8x7x40, extremos R4, formaA; acero C45E</x:v>
      </x:c>
      <x:c r="E209" s="37" t="str">
        <x:v>AISI 4140 bonificado</x:v>
      </x:c>
      <x:c r="F209" t="str">
        <x:v>Comprar</x:v>
      </x:c>
      <x:c r="G209" t="str">
        <x:v>TT10_C05_PC_17</x:v>
      </x:c>
    </x:row>
    <x:row r="210" ht="34" customHeight="1">
      <x:c r="A210" t="str">
        <x:v>TT10_TM_EJE_PUNO</x:v>
      </x:c>
      <x:c r="B210" t="n">
        <x:v>1</x:v>
      </x:c>
      <x:c r="C210" t="str">
        <x:v>ud</x:v>
      </x:c>
      <x:c r="D210" s="37" t="str">
        <x:v>Perno escalonado: M8, hombro14, pistaD10 h9 L87.3 y cabeza16; pistaRa≤0.8</x:v>
      </x:c>
      <x:c r="E210" s="37" t="str">
        <x:v>Clase 10.9 / ISO 898-1</x:v>
      </x:c>
      <x:c r="F210" t="str">
        <x:v>Comprar</x:v>
      </x:c>
      <x:c r="G210" t="str">
        <x:v>TT10_C05_PC_17</x:v>
      </x:c>
    </x:row>
    <x:row r="211" ht="34" customHeight="1">
      <x:c r="A211" t="str">
        <x:v>TT10_TM_PUNO_N8</x:v>
      </x:c>
      <x:c r="B211" t="n">
        <x:v>1</x:v>
      </x:c>
      <x:c r="C211" t="str">
        <x:v>ud</x:v>
      </x:c>
      <x:c r="D211" s="37" t="str">
        <x:v>Tuerca autoblocante metálica M8 h8 s13; geometría nominal</x:v>
      </x:c>
      <x:c r="E211" s="37" t="str">
        <x:v>Tuerca clase 8 / ISO 898-2</x:v>
      </x:c>
      <x:c r="F211" t="str">
        <x:v>Comprar</x:v>
      </x:c>
      <x:c r="G211" t="str">
        <x:v>TT10_C05_PC_17</x:v>
      </x:c>
    </x:row>
    <x:row r="212" ht="34" customHeight="1">
      <x:c r="A212" t="str">
        <x:v>TT10_TM_PUNO_W0</x:v>
      </x:c>
      <x:c r="B212" t="n">
        <x:v>1</x:v>
      </x:c>
      <x:c r="C212" t="str">
        <x:v>ud</x:v>
      </x:c>
      <x:c r="D212" s="37" t="str">
        <x:v>Arandela lisa D20/d10.5/t1 para empuñadura</x:v>
      </x:c>
      <x:c r="E212" s="37" t="str">
        <x:v>Arandela endurecida 300 HV / ISO 7089</x:v>
      </x:c>
      <x:c r="F212" t="str">
        <x:v>Comprar</x:v>
      </x:c>
      <x:c r="G212" t="str">
        <x:v>TT10_C05_PC_17</x:v>
      </x:c>
    </x:row>
    <x:row r="213" ht="34" customHeight="1">
      <x:c r="A213" t="str">
        <x:v>TT10_TM_PUNO_W1</x:v>
      </x:c>
      <x:c r="B213" t="n">
        <x:v>1</x:v>
      </x:c>
      <x:c r="C213" t="str">
        <x:v>ud</x:v>
      </x:c>
      <x:c r="D213" s="37" t="str">
        <x:v>Arandela lisa D20/d10.5/t1 para empuñadura</x:v>
      </x:c>
      <x:c r="E213" s="37" t="str">
        <x:v>Arandela endurecida 300 HV / ISO 7089</x:v>
      </x:c>
      <x:c r="F213" t="str">
        <x:v>Comprar</x:v>
      </x:c>
      <x:c r="G213" t="str">
        <x:v>TT10_C05_PC_17</x:v>
      </x:c>
    </x:row>
    <x:row r="214" ht="34" customHeight="1">
      <x:c r="A214" t="str">
        <x:v>TT10_TM_PUNO_W8</x:v>
      </x:c>
      <x:c r="B214" t="n">
        <x:v>1</x:v>
      </x:c>
      <x:c r="C214" t="str">
        <x:v>ud</x:v>
      </x:c>
      <x:c r="D214" s="37" t="str">
        <x:v>Arandela M8 D16/d8.4/t1.6</x:v>
      </x:c>
      <x:c r="E214" s="37" t="str">
        <x:v>Arandela endurecida 300 HV / ISO 7089</x:v>
      </x:c>
      <x:c r="F214" t="str">
        <x:v>Comprar</x:v>
      </x:c>
      <x:c r="G214" t="str">
        <x:v>TT10_C05_PC_17</x:v>
      </x:c>
    </x:row>
    <x:row r="215" ht="34" customHeight="1">
      <x:c r="A215" t="str">
        <x:v>TT10_TM_SY30_0</x:v>
      </x:c>
      <x:c r="B215" t="n">
        <x:v>3</x:v>
      </x:c>
      <x:c r="C215" t="str">
        <x:v>ud</x:v>
      </x:c>
      <x:c r="D215" s="37" t="str">
        <x:v>SKF SY30TF, d30, H42.9, base152x40, pasos117.5; interfaces nominales</x:v>
      </x:c>
      <x:c r="E215" s="37" t="str">
        <x:v>Conjunto comprado; acero/ fundición según OEM</x:v>
      </x:c>
      <x:c r="F215" t="str">
        <x:v>Comprar</x:v>
      </x:c>
      <x:c r="G215" t="str">
        <x:v>TT10_C05_PC_17</x:v>
      </x:c>
    </x:row>
    <x:row r="216" ht="34" customHeight="1">
      <x:c r="A216" t="str">
        <x:v>TT10_TM_SY30_1</x:v>
      </x:c>
      <x:c r="B216" t="n">
        <x:v>1</x:v>
      </x:c>
      <x:c r="C216" t="str">
        <x:v>ud</x:v>
      </x:c>
      <x:c r="D216" s="37" t="str">
        <x:v>SKF SY30TF, d30, H42.9, base152x40, pasos117.5; interfaces nominales</x:v>
      </x:c>
      <x:c r="E216" s="37" t="str">
        <x:v>Conjunto comprado; acero/ fundición según OEM</x:v>
      </x:c>
      <x:c r="F216" t="str">
        <x:v>Comprar</x:v>
      </x:c>
      <x:c r="G216" t="str">
        <x:v>TT10_C05_PC_17</x:v>
      </x:c>
    </x:row>
    <x:row r="217" ht="34" customHeight="1">
      <x:c r="A217" t="str">
        <x:v>TT10_TM_TORNILLO16</x:v>
      </x:c>
      <x:c r="B217" t="n">
        <x:v>1</x:v>
      </x:c>
      <x:c r="C217" t="str">
        <x:v>ud</x:v>
      </x:c>
      <x:c r="D217" s="37" t="str">
        <x:v>Tornillo M16x35 clase8.8, s24; retiene axialmente rueda y cubo</x:v>
      </x:c>
      <x:c r="E217" s="37" t="str">
        <x:v>Clase 8.8 / ISO 898-1</x:v>
      </x:c>
      <x:c r="F217" t="str">
        <x:v>Comprar</x:v>
      </x:c>
      <x:c r="G217" t="str">
        <x:v>TT10_C05_PC_17</x:v>
      </x:c>
    </x:row>
    <x:row r="218" ht="34" customHeight="1">
      <x:c r="A218" t="str">
        <x:v>TT10_TM_W12_0</x:v>
      </x:c>
      <x:c r="B218" t="n">
        <x:v>1</x:v>
      </x:c>
      <x:c r="C218" t="str">
        <x:v>ud</x:v>
      </x:c>
      <x:c r="D218" s="37" t="str">
        <x:v>Arandela M12 D24/d13/t2.5</x:v>
      </x:c>
      <x:c r="E218" s="37" t="str">
        <x:v>Arandela endurecida 300 HV / ISO 7089</x:v>
      </x:c>
      <x:c r="F218" t="str">
        <x:v>Comprar</x:v>
      </x:c>
      <x:c r="G218" t="str">
        <x:v>TT10_C05_PC_17</x:v>
      </x:c>
    </x:row>
    <x:row r="219" ht="34" customHeight="1">
      <x:c r="A219" t="str">
        <x:v>TT10_TM_W12_1</x:v>
      </x:c>
      <x:c r="B219" t="n">
        <x:v>1</x:v>
      </x:c>
      <x:c r="C219" t="str">
        <x:v>ud</x:v>
      </x:c>
      <x:c r="D219" s="37" t="str">
        <x:v>Arandela M12 D24/d13/t2.5</x:v>
      </x:c>
      <x:c r="E219" s="37" t="str">
        <x:v>Arandela endurecida 300 HV / ISO 7089</x:v>
      </x:c>
      <x:c r="F219" t="str">
        <x:v>Comprar</x:v>
      </x:c>
      <x:c r="G219" t="str">
        <x:v>TT10_C05_PC_17</x:v>
      </x:c>
    </x:row>
    <x:row r="220" ht="34" customHeight="1">
      <x:c r="A220" t="str">
        <x:v>TT10_TM_W12_2</x:v>
      </x:c>
      <x:c r="B220" t="n">
        <x:v>1</x:v>
      </x:c>
      <x:c r="C220" t="str">
        <x:v>ud</x:v>
      </x:c>
      <x:c r="D220" s="37" t="str">
        <x:v>Arandela M12 D24/d13/t2.5</x:v>
      </x:c>
      <x:c r="E220" s="37" t="str">
        <x:v>Arandela endurecida 300 HV / ISO 7089</x:v>
      </x:c>
      <x:c r="F220" t="str">
        <x:v>Comprar</x:v>
      </x:c>
      <x:c r="G220" t="str">
        <x:v>TT10_C05_PC_17</x:v>
      </x:c>
    </x:row>
    <x:row r="221" ht="34" customHeight="1">
      <x:c r="A221" t="str">
        <x:v>TT10_TM_W12_3</x:v>
      </x:c>
      <x:c r="B221" t="n">
        <x:v>1</x:v>
      </x:c>
      <x:c r="C221" t="str">
        <x:v>ud</x:v>
      </x:c>
      <x:c r="D221" s="37" t="str">
        <x:v>Arandela M12 D24/d13/t2.5</x:v>
      </x:c>
      <x:c r="E221" s="37" t="str">
        <x:v>Arandela endurecida 300 HV / ISO 7089</x:v>
      </x:c>
      <x:c r="F221" t="str">
        <x:v>Comprar</x:v>
      </x:c>
      <x:c r="G221" t="str">
        <x:v>TT10_C05_PC_17</x:v>
      </x:c>
    </x:row>
    <x:row r="222" ht="34" customHeight="1">
      <x:c r="A222" t="str">
        <x:v>TT10_TNF_N1</x:v>
      </x:c>
      <x:c r="B222" t="n">
        <x:v>1</x:v>
      </x:c>
      <x:c r="C222" t="str">
        <x:v>ud</x:v>
      </x:c>
      <x:c r="D222" s="37" t="str">
        <x:v>SKF TNF48; reserva dimensional axial A2=380</x:v>
      </x:c>
      <x:c r="E222" s="37" t="str">
        <x:v>Conjunto comprado; acero/ fundición según OEM</x:v>
      </x:c>
      <x:c r="F222" t="str">
        <x:v>Comprar</x:v>
      </x:c>
      <x:c r="G222" t="str">
        <x:v>TT10_C05_PC_01</x:v>
      </x:c>
    </x:row>
    <x:row r="223" ht="34" customHeight="1">
      <x:c r="A223" t="str">
        <x:v>TT10_TNF_N2</x:v>
      </x:c>
      <x:c r="B223" t="n">
        <x:v>1</x:v>
      </x:c>
      <x:c r="C223" t="str">
        <x:v>ud</x:v>
      </x:c>
      <x:c r="D223" s="37" t="str">
        <x:v>SKF TNF48; reserva dimensional axial A2=380</x:v>
      </x:c>
      <x:c r="E223" s="37" t="str">
        <x:v>Conjunto comprado; acero/ fundición según OEM</x:v>
      </x:c>
      <x:c r="F223" t="str">
        <x:v>Comprar</x:v>
      </x:c>
      <x:c r="G223" t="str">
        <x:v>TT10_C05_PC_01</x:v>
      </x:c>
    </x:row>
    <x:row r="224" ht="34" customHeight="1">
      <x:c r="A224" t="str">
        <x:v>TT10_TNF_P1</x:v>
      </x:c>
      <x:c r="B224" t="n">
        <x:v>1</x:v>
      </x:c>
      <x:c r="C224" t="str">
        <x:v>ud</x:v>
      </x:c>
      <x:c r="D224" s="37" t="str">
        <x:v>SKF TNF48; reserva dimensional axial A2=380</x:v>
      </x:c>
      <x:c r="E224" s="37" t="str">
        <x:v>Conjunto comprado; acero/ fundición según OEM</x:v>
      </x:c>
      <x:c r="F224" t="str">
        <x:v>Comprar</x:v>
      </x:c>
      <x:c r="G224" t="str">
        <x:v>TT10_C05_PC_01</x:v>
      </x:c>
    </x:row>
    <x:row r="225" ht="34" customHeight="1">
      <x:c r="A225" t="str">
        <x:v>TT10_TNF_P2</x:v>
      </x:c>
      <x:c r="B225" t="n">
        <x:v>1</x:v>
      </x:c>
      <x:c r="C225" t="str">
        <x:v>ud</x:v>
      </x:c>
      <x:c r="D225" s="37" t="str">
        <x:v>SKF TNF48; reserva dimensional axial A2=380</x:v>
      </x:c>
      <x:c r="E225" s="37" t="str">
        <x:v>Conjunto comprado; acero/ fundición según OEM</x:v>
      </x:c>
      <x:c r="F225" t="str">
        <x:v>Comprar</x:v>
      </x:c>
      <x:c r="G225" t="str">
        <x:v>TT10_C05_PC_01</x:v>
      </x:c>
    </x:row>
    <x:row r="226" ht="34" customHeight="1">
      <x:c r="A226" t="str">
        <x:v>TT10_W20_P1I</x:v>
      </x:c>
      <x:c r="B226" t="n">
        <x:v>16</x:v>
      </x:c>
      <x:c r="C226" t="str">
        <x:v>ud</x:v>
      </x:c>
      <x:c r="D226" s="37" t="str">
        <x:v>Arandela D37 D21 t3</x:v>
      </x:c>
      <x:c r="E226" s="37" t="str">
        <x:v>Arandela endurecida 300 HV / ISO 7089</x:v>
      </x:c>
      <x:c r="F226" t="str">
        <x:v>Comprar</x:v>
      </x:c>
      <x:c r="G226" t="str">
        <x:v>TT10_C05_PC_01</x:v>
      </x:c>
    </x:row>
    <x:row r="227" ht="34" customHeight="1">
      <x:c r="A227" t="str">
        <x:v>TT10_W30_AP_P02227.5</x:v>
      </x:c>
      <x:c r="B227" t="n">
        <x:v>32</x:v>
      </x:c>
      <x:c r="C227" t="str">
        <x:v>ud</x:v>
      </x:c>
      <x:c r="D227" s="37" t="str">
        <x:v>Arandela ISO7089 M30 300HV, D56 d31 t4</x:v>
      </x:c>
      <x:c r="E227" s="37" t="str">
        <x:v>Arandela endurecida 300 HV / ISO 7089</x:v>
      </x:c>
      <x:c r="F227" t="str">
        <x:v>Comprar</x:v>
      </x:c>
      <x:c r="G227" t="str">
        <x:v>TT10_C05_PC_01</x:v>
      </x:c>
    </x:row>
    <x:row r="228" ht="34" customHeight="1">
      <x:c r="A228"/>
      <x:c r="B228"/>
      <x:c r="C228"/>
      <x:c r="D228" s="37"/>
      <x:c r="E228" s="37"/>
      <x:c r="F228"/>
      <x:c r="G228"/>
    </x:row>
    <x:row r="229" ht="34" customHeight="1">
      <x:c r="A229"/>
      <x:c r="B229"/>
      <x:c r="C229"/>
      <x:c r="D229" s="37"/>
      <x:c r="E229" s="37"/>
      <x:c r="F229"/>
      <x:c r="G229"/>
    </x:row>
    <x:row r="230" ht="34" customHeight="1">
      <x:c r="A230"/>
      <x:c r="B230"/>
      <x:c r="C230"/>
      <x:c r="D230" s="37"/>
      <x:c r="E230" s="37"/>
      <x:c r="F230"/>
      <x:c r="G230"/>
    </x:row>
    <x:row r="231" ht="34" customHeight="1">
      <x:c r="A231"/>
      <x:c r="B231"/>
      <x:c r="C231"/>
      <x:c r="D231" s="37"/>
      <x:c r="E231" s="37"/>
      <x:c r="F231"/>
      <x:c r="G231"/>
    </x:row>
    <x:row r="232" ht="34" customHeight="1">
      <x:c r="A232"/>
      <x:c r="B232"/>
      <x:c r="C232"/>
      <x:c r="D232" s="37"/>
      <x:c r="E232" s="37"/>
      <x:c r="F232"/>
      <x:c r="G232"/>
    </x:row>
  </x:sheetData>
  <x:pageMargins left="0.7" right="0.7" top="0.75" bottom="0.75" header="0.3" footer="0.3"/>
  <x:drawing xmlns:r="http://schemas.openxmlformats.org/officeDocument/2006/relationships" r:id="R5b7ce27d44fc46b4"/>
  <x:tableParts count="1">
    <x:tablePart xmlns:r="http://schemas.openxmlformats.org/officeDocument/2006/relationships" r:id="Rd2b308936e1b44b6"/>
  </x:tableParts>
</x:worksheet>
</file>

<file path=xl/worksheets/sheet2.xml><?xml version="1.0" encoding="utf-8"?>
<x:worksheet xmlns:x="http://schemas.openxmlformats.org/spreadsheetml/2006/main">
  <x:sheetPr>
    <x:tabColor rgb="FF123E67"/>
  </x:sheetPr>
  <x:sheetViews>
    <x:sheetView showGridLines="0" workbookViewId="0">
      <x:pane xSplit="2" ySplit="2" topLeftCell="C3" activePane="bottomRight" state="frozen"/>
    </x:sheetView>
  </x:sheetViews>
  <x:sheetFormatPr baseColWidth="10" defaultColWidth="8.796875" defaultRowHeight="13.800000190734863"/>
  <x:cols>
    <x:col min="1" max="1" width="7" customWidth="1"/>
    <x:col min="2" max="2" width="39" customWidth="1"/>
    <x:col min="3" max="3" width="9" customWidth="1"/>
    <x:col min="4" max="4" width="15" customWidth="1"/>
    <x:col min="5" max="5" width="35" customWidth="1"/>
    <x:col min="6" max="6" width="64" customWidth="1"/>
    <x:col min="7" max="7" width="11" customWidth="1"/>
    <x:col min="8" max="10" width="12" customWidth="1"/>
    <x:col min="11" max="11" width="17" customWidth="1"/>
    <x:col min="12" max="12" width="9" customWidth="1"/>
    <x:col min="13" max="13" width="14" customWidth="1"/>
    <x:col min="14" max="14" width="48" customWidth="1"/>
  </x:cols>
  <x:sheetData>
    <x:row r="1" ht="25.950000762939453" customHeight="1">
      <x:c r="A1" s="2" t="str">
        <x:v>TOLVA TROMPO - MATERIALES DE FABRICACIÓN / 25-10-2026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31.950000762939453" customHeight="1">
      <x:c r="A2" s="3" t="s">
        <x:v>1</x:v>
      </x:c>
      <x:c r="B2" s="3" t="s">
        <x:v>2</x:v>
      </x:c>
      <x:c r="C2" s="3" t="s">
        <x:v>3</x:v>
      </x:c>
      <x:c r="D2" s="3" t="s">
        <x:v>4</x:v>
      </x:c>
      <x:c r="E2" s="3" t="s">
        <x:v>5</x:v>
      </x:c>
      <x:c r="F2" s="3" t="s">
        <x:v>6</x:v>
      </x:c>
      <x:c r="G2" s="3" t="s">
        <x:v>7</x:v>
      </x:c>
      <x:c r="H2" s="3" t="s">
        <x:v>8</x:v>
      </x:c>
      <x:c r="I2" s="3" t="s">
        <x:v>9</x:v>
      </x:c>
      <x:c r="J2" s="3" t="s">
        <x:v>10</x:v>
      </x:c>
      <x:c r="K2" s="3" t="s">
        <x:v>11</x:v>
      </x:c>
      <x:c r="L2" s="3" t="s">
        <x:v>12</x:v>
      </x:c>
      <x:c r="M2" s="3" t="s">
        <x:v>13</x:v>
      </x:c>
      <x:c r="N2" s="3" t="s">
        <x:v>14</x:v>
      </x:c>
    </x:row>
    <x:row r="3" ht="36" customHeight="1">
      <x:c r="A3" s="8" t="n">
        <x:v>4</x:v>
      </x:c>
      <x:c r="B3" s="4" t="str">
        <x:v>TT10_BUJE_PIN_N</x:v>
      </x:c>
      <x:c r="C3" s="8" t="n">
        <x:v>1</x:v>
      </x:c>
      <x:c r="D3" s="4" t="str">
        <x:v>Según plano</x:v>
      </x:c>
      <x:c r="E3" s="4" t="str">
        <x:v>CuSn12 / EN 1982</x:v>
      </x:c>
      <x:c r="F3" s="4" t="str">
        <x:v>Casquillo CuSn12 Ø69 s6 / Ø65.5 H9 final, L85, C0.5 interiores</x:v>
      </x:c>
      <x:c r="G3" s="11"/>
      <x:c r="H3" s="11"/>
      <x:c r="I3" s="11"/>
      <x:c r="J3" s="11"/>
      <x:c r="K3" s="11" t="n">
        <x:f>C3</x:f>
        <x:v>1</x:v>
      </x:c>
      <x:c r="L3" s="4" t="str">
        <x:v>ud</x:v>
      </x:c>
      <x:c r="M3" s="4" t="str">
        <x:v>TT10_C05_PC_13</x:v>
      </x:c>
      <x:c r="N3" s="4" t="str">
        <x:v>Dimensiones y mecanizados según plano nativo actualizado.</x:v>
      </x:c>
    </x:row>
    <x:row r="4" ht="36" customHeight="1">
      <x:c r="A4" s="9" t="n">
        <x:v>5</x:v>
      </x:c>
      <x:c r="B4" s="5" t="str">
        <x:v>TT10_BUJE_PIN_P</x:v>
      </x:c>
      <x:c r="C4" s="9" t="n">
        <x:v>1</x:v>
      </x:c>
      <x:c r="D4" s="5" t="str">
        <x:v>Según plano</x:v>
      </x:c>
      <x:c r="E4" s="5" t="str">
        <x:v>CuSn12 / EN 1982</x:v>
      </x:c>
      <x:c r="F4" s="5" t="str">
        <x:v>Casquillo CuSn12 Ø69 s6 / Ø65.5 H9 final, L85, C0.5 interiores</x:v>
      </x:c>
      <x:c r="G4" s="12"/>
      <x:c r="H4" s="12"/>
      <x:c r="I4" s="12"/>
      <x:c r="J4" s="12"/>
      <x:c r="K4" s="12" t="n">
        <x:f>C4</x:f>
        <x:v>1</x:v>
      </x:c>
      <x:c r="L4" s="5" t="str">
        <x:v>ud</x:v>
      </x:c>
      <x:c r="M4" s="5" t="str">
        <x:v>TT10_C05_PC_13</x:v>
      </x:c>
      <x:c r="N4" s="5" t="str">
        <x:v>Dimensiones y mecanizados según plano nativo actualizado.</x:v>
      </x:c>
    </x:row>
    <x:row r="5" ht="36" customHeight="1">
      <x:c r="A5" s="8" t="n">
        <x:v>6</x:v>
      </x:c>
      <x:c r="B5" s="4" t="str">
        <x:v>TT10_C03_ACCESO_PUERTO_N</x:v>
      </x:c>
      <x:c r="C5" s="8" t="n">
        <x:v>1</x:v>
      </x:c>
      <x:c r="D5" s="4" t="str">
        <x:v>Según plano</x:v>
      </x:c>
      <x:c r="E5" s="4" t="str">
        <x:v>ASTM A36</x:v>
      </x:c>
      <x:c r="F5" s="4" t="str">
        <x:v>Guia de herramienta desde exterior N; puerto nominal rear+15.5/Z+53.7; NO conexion remota al actuador</x:v>
      </x:c>
      <x:c r="G5" s="11"/>
      <x:c r="H5" s="11"/>
      <x:c r="I5" s="11"/>
      <x:c r="J5" s="11"/>
      <x:c r="K5" s="11" t="n">
        <x:f>C5</x:f>
        <x:v>1</x:v>
      </x:c>
      <x:c r="L5" s="4" t="str">
        <x:v>ud</x:v>
      </x:c>
      <x:c r="M5" s="4" t="str">
        <x:v>TT10_C05_PC_24</x:v>
      </x:c>
      <x:c r="N5" s="4" t="str">
        <x:v>Dimensiones y mecanizados según plano nativo actualizado.</x:v>
      </x:c>
    </x:row>
    <x:row r="6" ht="36" customHeight="1">
      <x:c r="A6" s="9" t="n">
        <x:v>7</x:v>
      </x:c>
      <x:c r="B6" s="5" t="str">
        <x:v>TT10_C03_ACCESO_PUERTO_P</x:v>
      </x:c>
      <x:c r="C6" s="9" t="n">
        <x:v>1</x:v>
      </x:c>
      <x:c r="D6" s="5" t="str">
        <x:v>Según plano</x:v>
      </x:c>
      <x:c r="E6" s="5" t="str">
        <x:v>ASTM A36</x:v>
      </x:c>
      <x:c r="F6" s="5" t="str">
        <x:v>Guia de herramienta desde exterior P; puerto nominal rear+15.5/Z+53.7; NO conexion remota al actuador</x:v>
      </x:c>
      <x:c r="G6" s="12"/>
      <x:c r="H6" s="12"/>
      <x:c r="I6" s="12"/>
      <x:c r="J6" s="12"/>
      <x:c r="K6" s="12" t="n">
        <x:f>C6</x:f>
        <x:v>1</x:v>
      </x:c>
      <x:c r="L6" s="5" t="str">
        <x:v>ud</x:v>
      </x:c>
      <x:c r="M6" s="5" t="str">
        <x:v>TT10_C05_PC_24</x:v>
      </x:c>
      <x:c r="N6" s="5" t="str">
        <x:v>Dimensiones y mecanizados según plano nativo actualizado.</x:v>
      </x:c>
    </x:row>
    <x:row r="7" ht="36" customHeight="1">
      <x:c r="A7" s="8" t="n">
        <x:v>13</x:v>
      </x:c>
      <x:c r="B7" s="4" t="str">
        <x:v>TT10_C03_REGISTRO_PUERTO_N</x:v>
      </x:c>
      <x:c r="C7" s="8" t="n">
        <x:v>1</x:v>
      </x:c>
      <x:c r="D7" s="4" t="str">
        <x:v>Según plano</x:v>
      </x:c>
      <x:c r="E7" s="4" t="str">
        <x:v>ASTM A36</x:v>
      </x:c>
      <x:c r="F7" s="4" t="str">
        <x:v>Registro exterior desmontable3 con accesoD50; fijaciones/proteccion de puesto por completar</x:v>
      </x:c>
      <x:c r="G7" s="11"/>
      <x:c r="H7" s="11"/>
      <x:c r="I7" s="11"/>
      <x:c r="J7" s="11"/>
      <x:c r="K7" s="11" t="n">
        <x:f>C7</x:f>
        <x:v>1</x:v>
      </x:c>
      <x:c r="L7" s="4" t="str">
        <x:v>ud</x:v>
      </x:c>
      <x:c r="M7" s="4" t="str">
        <x:v>TT10_C05_PC_24</x:v>
      </x:c>
      <x:c r="N7" s="4" t="str">
        <x:v>Dimensiones y mecanizados según plano nativo actualizado.</x:v>
      </x:c>
    </x:row>
    <x:row r="8" ht="36" customHeight="1">
      <x:c r="A8" s="9" t="n">
        <x:v>14</x:v>
      </x:c>
      <x:c r="B8" s="5" t="str">
        <x:v>TT10_C03_REGISTRO_PUERTO_P</x:v>
      </x:c>
      <x:c r="C8" s="9" t="n">
        <x:v>1</x:v>
      </x:c>
      <x:c r="D8" s="5" t="str">
        <x:v>Según plano</x:v>
      </x:c>
      <x:c r="E8" s="5" t="str">
        <x:v>ASTM A36</x:v>
      </x:c>
      <x:c r="F8" s="5" t="str">
        <x:v>Registro exterior desmontable3 con accesoD50; fijaciones/proteccion de puesto por completar</x:v>
      </x:c>
      <x:c r="G8" s="12"/>
      <x:c r="H8" s="12"/>
      <x:c r="I8" s="12"/>
      <x:c r="J8" s="12"/>
      <x:c r="K8" s="12" t="n">
        <x:f>C8</x:f>
        <x:v>1</x:v>
      </x:c>
      <x:c r="L8" s="5" t="str">
        <x:v>ud</x:v>
      </x:c>
      <x:c r="M8" s="5" t="str">
        <x:v>TT10_C05_PC_24</x:v>
      </x:c>
      <x:c r="N8" s="5" t="str">
        <x:v>Dimensiones y mecanizados según plano nativo actualizado.</x:v>
      </x:c>
    </x:row>
    <x:row r="9" ht="36" customHeight="1">
      <x:c r="A9" s="8" t="n">
        <x:v>17</x:v>
      </x:c>
      <x:c r="B9" s="4" t="str">
        <x:v>TT10_C03_SELECTOR_COLLAR_1</x:v>
      </x:c>
      <x:c r="C9" s="8" t="n">
        <x:v>1</x:v>
      </x:c>
      <x:c r="D9" s="4" t="str">
        <x:v>Según plano</x:v>
      </x:c>
      <x:c r="E9" s="4" t="str">
        <x:v>C45E / EN 10083-2</x:v>
      </x:c>
      <x:c r="F9" s="4" t="str">
        <x:v>Collar de varilla para sujetar horquilla; fijacion radial y retencion por completar</x:v>
      </x:c>
      <x:c r="G9" s="11"/>
      <x:c r="H9" s="11"/>
      <x:c r="I9" s="11"/>
      <x:c r="J9" s="11"/>
      <x:c r="K9" s="11" t="n">
        <x:f>C9</x:f>
        <x:v>1</x:v>
      </x:c>
      <x:c r="L9" s="4" t="str">
        <x:v>ud</x:v>
      </x:c>
      <x:c r="M9" s="4" t="str">
        <x:v>TT10_C05_PC_21</x:v>
      </x:c>
      <x:c r="N9" s="4" t="str">
        <x:v>Dimensiones y mecanizados según plano nativo actualizado.</x:v>
      </x:c>
    </x:row>
    <x:row r="10" ht="36" customHeight="1">
      <x:c r="A10" s="9" t="n">
        <x:v>18</x:v>
      </x:c>
      <x:c r="B10" s="5" t="str">
        <x:v>TT10_C03_SELECTOR_COLLAR_2</x:v>
      </x:c>
      <x:c r="C10" s="9" t="n">
        <x:v>1</x:v>
      </x:c>
      <x:c r="D10" s="5" t="str">
        <x:v>Según plano</x:v>
      </x:c>
      <x:c r="E10" s="5" t="str">
        <x:v>C45E / EN 10083-2</x:v>
      </x:c>
      <x:c r="F10" s="5" t="str">
        <x:v>Collar de varilla para sujetar horquilla; fijacion radial y retencion por completar</x:v>
      </x:c>
      <x:c r="G10" s="12"/>
      <x:c r="H10" s="12"/>
      <x:c r="I10" s="12"/>
      <x:c r="J10" s="12"/>
      <x:c r="K10" s="12" t="n">
        <x:f>C10</x:f>
        <x:v>1</x:v>
      </x:c>
      <x:c r="L10" s="5" t="str">
        <x:v>ud</x:v>
      </x:c>
      <x:c r="M10" s="5" t="str">
        <x:v>TT10_C05_PC_21</x:v>
      </x:c>
      <x:c r="N10" s="5" t="str">
        <x:v>Dimensiones y mecanizados según plano nativo actualizado.</x:v>
      </x:c>
    </x:row>
    <x:row r="11" ht="36" customHeight="1">
      <x:c r="A11" s="8" t="n">
        <x:v>19</x:v>
      </x:c>
      <x:c r="B11" s="4" t="str">
        <x:v>TT10_C03_SELECTOR_CUBIERTA</x:v>
      </x:c>
      <x:c r="C11" s="8" t="n">
        <x:v>1</x:v>
      </x:c>
      <x:c r="D11" s="4" t="str">
        <x:v>Según plano</x:v>
      </x:c>
      <x:c r="E11" s="4" t="str">
        <x:v>ASTM A36</x:v>
      </x:c>
      <x:c r="F11" s="4" t="str">
        <x:v>Cubierta desmontable3; ranura50x36 para recorrido completo; cierreM6 por detallar</x:v>
      </x:c>
      <x:c r="G11" s="11"/>
      <x:c r="H11" s="11"/>
      <x:c r="I11" s="11"/>
      <x:c r="J11" s="11"/>
      <x:c r="K11" s="11" t="n">
        <x:f>C11</x:f>
        <x:v>1</x:v>
      </x:c>
      <x:c r="L11" s="4" t="str">
        <x:v>ud</x:v>
      </x:c>
      <x:c r="M11" s="4" t="str">
        <x:v>TT10_C05_PC_20</x:v>
      </x:c>
      <x:c r="N11" s="4" t="str">
        <x:v>Dimensiones y mecanizados según plano nativo actualizado.</x:v>
      </x:c>
    </x:row>
    <x:row r="12" ht="36" customHeight="1">
      <x:c r="A12" s="9" t="n">
        <x:v>20</x:v>
      </x:c>
      <x:c r="B12" s="5" t="str">
        <x:v>TT10_C03_SELECTOR_ENCLAVAMIENTO</x:v>
      </x:c>
      <x:c r="C12" s="9" t="n">
        <x:v>1</x:v>
      </x:c>
      <x:c r="D12" s="5" t="str">
        <x:v>Según plano</x:v>
      </x:c>
      <x:c r="E12" s="5" t="str">
        <x:v>C45E / EN 10083-2</x:v>
      </x:c>
      <x:c r="F12" s="5" t="str">
        <x:v>Pasador positivoD6; levantar16mm antes de seleccionar y reinsertar; retencion cautiva y mando remoto pendientes</x:v>
      </x:c>
      <x:c r="G12" s="12"/>
      <x:c r="H12" s="12"/>
      <x:c r="I12" s="12"/>
      <x:c r="J12" s="12"/>
      <x:c r="K12" s="12" t="n">
        <x:f>C12</x:f>
        <x:v>1</x:v>
      </x:c>
      <x:c r="L12" s="5" t="str">
        <x:v>ud</x:v>
      </x:c>
      <x:c r="M12" s="5" t="str">
        <x:v>TT10_C05_PC_21</x:v>
      </x:c>
      <x:c r="N12" s="5" t="str">
        <x:v>Dimensiones y mecanizados según plano nativo actualizado.</x:v>
      </x:c>
    </x:row>
    <x:row r="13" ht="36" customHeight="1">
      <x:c r="A13" s="8" t="n">
        <x:v>21</x:v>
      </x:c>
      <x:c r="B13" s="4" t="str">
        <x:v>TT10_C03_SELECTOR_HORQUILLA</x:v>
      </x:c>
      <x:c r="C13" s="8" t="n">
        <x:v>1</x:v>
      </x:c>
      <x:c r="D13" s="4" t="str">
        <x:v>Según plano</x:v>
      </x:c>
      <x:c r="E13" s="4" t="str">
        <x:v>ASTM A36</x:v>
      </x:c>
      <x:c r="F13" s="4" t="str">
        <x:v>Horquilla10 en ranura12; 1 mm nominal por flanco; garras de seleccion con la maquina parada</x:v>
      </x:c>
      <x:c r="G13" s="11"/>
      <x:c r="H13" s="11"/>
      <x:c r="I13" s="11"/>
      <x:c r="J13" s="11"/>
      <x:c r="K13" s="11" t="n">
        <x:f>C13</x:f>
        <x:v>1</x:v>
      </x:c>
      <x:c r="L13" s="4" t="str">
        <x:v>ud</x:v>
      </x:c>
      <x:c r="M13" s="4" t="str">
        <x:v>TT10_C05_PC_21</x:v>
      </x:c>
      <x:c r="N13" s="4" t="str">
        <x:v>Dimensiones y mecanizados según plano nativo actualizado.</x:v>
      </x:c>
    </x:row>
    <x:row r="14" ht="36" customHeight="1">
      <x:c r="A14" s="9" t="n">
        <x:v>22</x:v>
      </x:c>
      <x:c r="B14" s="5" t="str">
        <x:v>TT10_C03_SELECTOR_MANGUITO</x:v>
      </x:c>
      <x:c r="C14" s="9" t="n">
        <x:v>1</x:v>
      </x:c>
      <x:c r="D14" s="5" t="str">
        <x:v>Según plano</x:v>
      </x:c>
      <x:c r="E14" s="5" t="str">
        <x:v>AISI 4140 bonificado</x:v>
      </x:c>
      <x:c r="F14" s="5" t="str">
        <x:v>Manguito estriado: neutro X923..979; E+18/M-18; 6 alojamientos D12.2 PCD72 por cara</x:v>
      </x:c>
      <x:c r="G14" s="12"/>
      <x:c r="H14" s="12"/>
      <x:c r="I14" s="12"/>
      <x:c r="J14" s="12"/>
      <x:c r="K14" s="12" t="n">
        <x:f>C14</x:f>
        <x:v>1</x:v>
      </x:c>
      <x:c r="L14" s="5" t="str">
        <x:v>ud</x:v>
      </x:c>
      <x:c r="M14" s="5" t="str">
        <x:v>TT10_C05_PC_21</x:v>
      </x:c>
      <x:c r="N14" s="5" t="str">
        <x:v>Dimensiones y mecanizados según plano nativo actualizado.</x:v>
      </x:c>
    </x:row>
    <x:row r="15" ht="36" customHeight="1">
      <x:c r="A15" s="8" t="n">
        <x:v>23</x:v>
      </x:c>
      <x:c r="B15" s="4" t="str">
        <x:v>TT10_C03_SELECTOR_PARED_E</x:v>
      </x:c>
      <x:c r="C15" s="8" t="n">
        <x:v>1</x:v>
      </x:c>
      <x:c r="D15" s="4" t="str">
        <x:v>Según plano</x:v>
      </x:c>
      <x:c r="E15" s="4" t="str">
        <x:v>ASTM A36</x:v>
      </x:c>
      <x:c r="F15" s="4" t="str">
        <x:v>Pared mecanizada8; roscasM6; tapa de retencion y asiento axial por cadena de cotas</x:v>
      </x:c>
      <x:c r="G15" s="11"/>
      <x:c r="H15" s="11"/>
      <x:c r="I15" s="11"/>
      <x:c r="J15" s="11"/>
      <x:c r="K15" s="11" t="n">
        <x:f>C15</x:f>
        <x:v>1</x:v>
      </x:c>
      <x:c r="L15" s="4" t="str">
        <x:v>ud</x:v>
      </x:c>
      <x:c r="M15" s="4" t="str">
        <x:v>TT10_C05_PC_20</x:v>
      </x:c>
      <x:c r="N15" s="4" t="str">
        <x:v>Dimensiones y mecanizados según plano nativo actualizado.</x:v>
      </x:c>
    </x:row>
    <x:row r="16" ht="36" customHeight="1">
      <x:c r="A16" s="9" t="n">
        <x:v>24</x:v>
      </x:c>
      <x:c r="B16" s="5" t="str">
        <x:v>TT10_C03_SELECTOR_PARED_M</x:v>
      </x:c>
      <x:c r="C16" s="9" t="n">
        <x:v>1</x:v>
      </x:c>
      <x:c r="D16" s="5" t="str">
        <x:v>Según plano</x:v>
      </x:c>
      <x:c r="E16" s="5" t="str">
        <x:v>ASTM A36</x:v>
      </x:c>
      <x:c r="F16" s="5" t="str">
        <x:v>Pared mecanizada8; roscasM6; tapa de retencion y asiento axial por cadena de cotas</x:v>
      </x:c>
      <x:c r="G16" s="12"/>
      <x:c r="H16" s="12"/>
      <x:c r="I16" s="12"/>
      <x:c r="J16" s="12"/>
      <x:c r="K16" s="12" t="n">
        <x:f>C16</x:f>
        <x:v>1</x:v>
      </x:c>
      <x:c r="L16" s="5" t="str">
        <x:v>ud</x:v>
      </x:c>
      <x:c r="M16" s="5" t="str">
        <x:v>TT10_C05_PC_20</x:v>
      </x:c>
      <x:c r="N16" s="5" t="str">
        <x:v>Dimensiones y mecanizados según plano nativo actualizado.</x:v>
      </x:c>
    </x:row>
    <x:row r="17" ht="36" customHeight="1">
      <x:c r="A17" s="8" t="n">
        <x:v>25</x:v>
      </x:c>
      <x:c r="B17" s="4" t="str">
        <x:v>TT10_C03_SELECTOR_VARILLA</x:v>
      </x:c>
      <x:c r="C17" s="8" t="n">
        <x:v>1</x:v>
      </x:c>
      <x:c r="D17" s="4" t="str">
        <x:v>Según plano</x:v>
      </x:c>
      <x:c r="E17" s="4" t="str">
        <x:v>C45E / EN 10083-2</x:v>
      </x:c>
      <x:c r="F17" s="4" t="str">
        <x:v>Varilla selector D16; tres taladrosD6.5 con paso18; E-N-M por pasador positivo</x:v>
      </x:c>
      <x:c r="G17" s="11"/>
      <x:c r="H17" s="11"/>
      <x:c r="I17" s="11"/>
      <x:c r="J17" s="11"/>
      <x:c r="K17" s="11" t="n">
        <x:f>C17</x:f>
        <x:v>1</x:v>
      </x:c>
      <x:c r="L17" s="4" t="str">
        <x:v>ud</x:v>
      </x:c>
      <x:c r="M17" s="4" t="str">
        <x:v>TT10_C05_PC_21</x:v>
      </x:c>
      <x:c r="N17" s="4" t="str">
        <x:v>Dimensiones y mecanizados según plano nativo actualizado.</x:v>
      </x:c>
    </x:row>
    <x:row r="18" ht="36" customHeight="1">
      <x:c r="A18" s="9" t="n">
        <x:v>26</x:v>
      </x:c>
      <x:c r="B18" s="5" t="str">
        <x:v>TT10_C03_TAPA_RETENCION_E</x:v>
      </x:c>
      <x:c r="C18" s="9" t="n">
        <x:v>1</x:v>
      </x:c>
      <x:c r="D18" s="5" t="str">
        <x:v>Según plano</x:v>
      </x:c>
      <x:c r="E18" s="5" t="str">
        <x:v>ASTM A36</x:v>
      </x:c>
      <x:c r="F18" s="5" t="str">
        <x:v>Tapa estacionaria: labio axial para cuboD100, pasoD92 libre al manguitoD90; junta axial0.2 por ajustar</x:v>
      </x:c>
      <x:c r="G18" s="12"/>
      <x:c r="H18" s="12"/>
      <x:c r="I18" s="12"/>
      <x:c r="J18" s="12"/>
      <x:c r="K18" s="12" t="n">
        <x:f>C18</x:f>
        <x:v>1</x:v>
      </x:c>
      <x:c r="L18" s="5" t="str">
        <x:v>ud</x:v>
      </x:c>
      <x:c r="M18" s="5" t="str">
        <x:v>TT10_C05_PC_20</x:v>
      </x:c>
      <x:c r="N18" s="5" t="str">
        <x:v>Dimensiones y mecanizados según plano nativo actualizado.</x:v>
      </x:c>
    </x:row>
    <x:row r="19" ht="36" customHeight="1">
      <x:c r="A19" s="8" t="n">
        <x:v>27</x:v>
      </x:c>
      <x:c r="B19" s="4" t="str">
        <x:v>TT10_C03_TAPA_RETENCION_M</x:v>
      </x:c>
      <x:c r="C19" s="8" t="n">
        <x:v>1</x:v>
      </x:c>
      <x:c r="D19" s="4" t="str">
        <x:v>Según plano</x:v>
      </x:c>
      <x:c r="E19" s="4" t="str">
        <x:v>ASTM A36</x:v>
      </x:c>
      <x:c r="F19" s="4" t="str">
        <x:v>Tapa estacionaria: labio axial para cuboD100, pasoD92 libre al manguitoD90; junta axial0.2 por ajustar</x:v>
      </x:c>
      <x:c r="G19" s="11"/>
      <x:c r="H19" s="11"/>
      <x:c r="I19" s="11"/>
      <x:c r="J19" s="11"/>
      <x:c r="K19" s="11" t="n">
        <x:f>C19</x:f>
        <x:v>1</x:v>
      </x:c>
      <x:c r="L19" s="4" t="str">
        <x:v>ud</x:v>
      </x:c>
      <x:c r="M19" s="4" t="str">
        <x:v>TT10_C05_PC_20</x:v>
      </x:c>
      <x:c r="N19" s="4" t="str">
        <x:v>Dimensiones y mecanizados según plano nativo actualizado.</x:v>
      </x:c>
    </x:row>
    <x:row r="20" ht="36" customHeight="1">
      <x:c r="A20" s="9" t="n">
        <x:v>28</x:v>
      </x:c>
      <x:c r="B20" s="5" t="str">
        <x:v>TT10_C04_ACOPLE_0</x:v>
      </x:c>
      <x:c r="C20" s="9" t="n">
        <x:v>1</x:v>
      </x:c>
      <x:c r="D20" s="5" t="str">
        <x:v>Según plano</x:v>
      </x:c>
      <x:c r="E20" s="5" t="str">
        <x:v>C45E / EN 10083-2</x:v>
      </x:c>
      <x:c r="F20" s="5" t="str">
        <x:v>Brida110x8,PCD82/6M8; bore30H7; asiento25, desmontaje axial</x:v>
      </x:c>
      <x:c r="G20" s="12"/>
      <x:c r="H20" s="12"/>
      <x:c r="I20" s="12"/>
      <x:c r="J20" s="12"/>
      <x:c r="K20" s="12" t="n">
        <x:f>C20</x:f>
        <x:v>1</x:v>
      </x:c>
      <x:c r="L20" s="5" t="str">
        <x:v>ud</x:v>
      </x:c>
      <x:c r="M20" s="5" t="str">
        <x:v>TT10_C05_PC_18</x:v>
      </x:c>
      <x:c r="N20" s="5" t="str">
        <x:v>Dimensiones y mecanizados según plano nativo actualizado.</x:v>
      </x:c>
    </x:row>
    <x:row r="21" ht="36" customHeight="1">
      <x:c r="A21" s="8" t="n">
        <x:v>29</x:v>
      </x:c>
      <x:c r="B21" s="4" t="str">
        <x:v>TT10_C04_ACOPLE_1</x:v>
      </x:c>
      <x:c r="C21" s="8" t="n">
        <x:v>1</x:v>
      </x:c>
      <x:c r="D21" s="4" t="str">
        <x:v>Según plano</x:v>
      </x:c>
      <x:c r="E21" s="4" t="str">
        <x:v>C45E / EN 10083-2</x:v>
      </x:c>
      <x:c r="F21" s="4" t="str">
        <x:v>Brida110x8,PCD82/6M8; bore30H7; asiento30, desmontaje axial</x:v>
      </x:c>
      <x:c r="G21" s="11"/>
      <x:c r="H21" s="11"/>
      <x:c r="I21" s="11"/>
      <x:c r="J21" s="11"/>
      <x:c r="K21" s="11" t="n">
        <x:f>C21</x:f>
        <x:v>1</x:v>
      </x:c>
      <x:c r="L21" s="4" t="str">
        <x:v>ud</x:v>
      </x:c>
      <x:c r="M21" s="4" t="str">
        <x:v>TT10_C05_PC_18</x:v>
      </x:c>
      <x:c r="N21" s="4" t="str">
        <x:v>Dimensiones y mecanizados según plano nativo actualizado.</x:v>
      </x:c>
    </x:row>
    <x:row r="22" ht="36" customHeight="1">
      <x:c r="A22" s="9" t="n">
        <x:v>40</x:v>
      </x:c>
      <x:c r="B22" s="5" t="str">
        <x:v>TT10_C04_BANCADA</x:v>
      </x:c>
      <x:c r="C22" s="9" t="n">
        <x:v>1</x:v>
      </x:c>
      <x:c r="D22" s="5" t="str">
        <x:v>Según plano</x:v>
      </x:c>
      <x:c r="E22" s="5" t="str">
        <x:v>ASTM A36</x:v>
      </x:c>
      <x:c r="F22" s="5" t="str">
        <x:v>Bancada215x200x20, sobre poste corto; soldaduraa3</x:v>
      </x:c>
      <x:c r="G22" s="12"/>
      <x:c r="H22" s="12"/>
      <x:c r="I22" s="12"/>
      <x:c r="J22" s="12"/>
      <x:c r="K22" s="12" t="n">
        <x:f>C22</x:f>
        <x:v>1</x:v>
      </x:c>
      <x:c r="L22" s="5" t="str">
        <x:v>ud</x:v>
      </x:c>
      <x:c r="M22" s="5" t="str">
        <x:v>TT10_C05_PC_16</x:v>
      </x:c>
      <x:c r="N22" s="5" t="str">
        <x:v>Dimensiones y mecanizados según plano nativo actualizado.</x:v>
      </x:c>
    </x:row>
    <x:row r="23" ht="36" customHeight="1">
      <x:c r="A23" s="8" t="n">
        <x:v>41</x:v>
      </x:c>
      <x:c r="B23" s="4" t="str">
        <x:v>TT10_C04_CARTELA_0</x:v>
      </x:c>
      <x:c r="C23" s="8" t="n">
        <x:v>1</x:v>
      </x:c>
      <x:c r="D23" s="4" t="str">
        <x:v>Según plano</x:v>
      </x:c>
      <x:c r="E23" s="4" t="str">
        <x:v>ASTM A36</x:v>
      </x:c>
      <x:c r="F23" s="4" t="str">
        <x:v>Cartela12,165x55, a3 continuo a placa y poste</x:v>
      </x:c>
      <x:c r="G23" s="11"/>
      <x:c r="H23" s="11"/>
      <x:c r="I23" s="11"/>
      <x:c r="J23" s="11"/>
      <x:c r="K23" s="11" t="n">
        <x:f>C23</x:f>
        <x:v>1</x:v>
      </x:c>
      <x:c r="L23" s="4" t="str">
        <x:v>ud</x:v>
      </x:c>
      <x:c r="M23" s="4" t="str">
        <x:v>TT10_C05_PC_16</x:v>
      </x:c>
      <x:c r="N23" s="4" t="str">
        <x:v>Dimensiones y mecanizados según plano nativo actualizado.</x:v>
      </x:c>
    </x:row>
    <x:row r="24" ht="36" customHeight="1">
      <x:c r="A24" s="9" t="n">
        <x:v>42</x:v>
      </x:c>
      <x:c r="B24" s="5" t="str">
        <x:v>TT10_C04_CARTELA_1</x:v>
      </x:c>
      <x:c r="C24" s="9" t="n">
        <x:v>1</x:v>
      </x:c>
      <x:c r="D24" s="5" t="str">
        <x:v>Según plano</x:v>
      </x:c>
      <x:c r="E24" s="5" t="str">
        <x:v>ASTM A36</x:v>
      </x:c>
      <x:c r="F24" s="5" t="str">
        <x:v>Cartela12,165x55, a3 continuo a placa y poste</x:v>
      </x:c>
      <x:c r="G24" s="12"/>
      <x:c r="H24" s="12"/>
      <x:c r="I24" s="12"/>
      <x:c r="J24" s="12"/>
      <x:c r="K24" s="12" t="n">
        <x:f>C24</x:f>
        <x:v>1</x:v>
      </x:c>
      <x:c r="L24" s="5" t="str">
        <x:v>ud</x:v>
      </x:c>
      <x:c r="M24" s="5" t="str">
        <x:v>TT10_C05_PC_16</x:v>
      </x:c>
      <x:c r="N24" s="5" t="str">
        <x:v>Dimensiones y mecanizados según plano nativo actualizado.</x:v>
      </x:c>
    </x:row>
    <x:row r="25" ht="36" customHeight="1">
      <x:c r="A25" s="8" t="n">
        <x:v>49</x:v>
      </x:c>
      <x:c r="B25" s="4" t="str">
        <x:v>TT10_C04_EJE_MANUAL</x:v>
      </x:c>
      <x:c r="C25" s="8" t="n">
        <x:v>1</x:v>
      </x:c>
      <x:c r="D25" s="4" t="str">
        <x:v>Según plano</x:v>
      </x:c>
      <x:c r="E25" s="4" t="str">
        <x:v>AISI 4140 bonificado</x:v>
      </x:c>
      <x:c r="F25" s="4" t="str">
        <x:v>EjeD30h7,L184; chaveteros8x7, t1=4, extremos planos</x:v>
      </x:c>
      <x:c r="G25" s="11"/>
      <x:c r="H25" s="11"/>
      <x:c r="I25" s="11"/>
      <x:c r="J25" s="11"/>
      <x:c r="K25" s="11" t="n">
        <x:f>C25</x:f>
        <x:v>1</x:v>
      </x:c>
      <x:c r="L25" s="4" t="str">
        <x:v>ud</x:v>
      </x:c>
      <x:c r="M25" s="4" t="str">
        <x:v>TT10_C05_PC_18</x:v>
      </x:c>
      <x:c r="N25" s="4" t="str">
        <x:v>Dimensiones y mecanizados según plano nativo actualizado.</x:v>
      </x:c>
    </x:row>
    <x:row r="26" ht="36" customHeight="1">
      <x:c r="A26" s="9" t="n">
        <x:v>50</x:v>
      </x:c>
      <x:c r="B26" s="5" t="str">
        <x:v>TT10_C04_EJE_TIMON</x:v>
      </x:c>
      <x:c r="C26" s="9" t="n">
        <x:v>1</x:v>
      </x:c>
      <x:c r="D26" s="5" t="str">
        <x:v>Según plano</x:v>
      </x:c>
      <x:c r="E26" s="5" t="str">
        <x:v>AISI 4140 bonificado</x:v>
      </x:c>
      <x:c r="F26" s="5" t="str">
        <x:v>Eje heredado con extremoX1026 y chavetero adicional8x7x30; Mayr conservado</x:v>
      </x:c>
      <x:c r="G26" s="12"/>
      <x:c r="H26" s="12"/>
      <x:c r="I26" s="12"/>
      <x:c r="J26" s="12"/>
      <x:c r="K26" s="12" t="n">
        <x:f>C26</x:f>
        <x:v>1</x:v>
      </x:c>
      <x:c r="L26" s="5" t="str">
        <x:v>ud</x:v>
      </x:c>
      <x:c r="M26" s="5" t="str">
        <x:v>TT10_C05_PC_17</x:v>
      </x:c>
      <x:c r="N26" s="5" t="str">
        <x:v>Dimensiones y mecanizados según plano nativo actualizado.</x:v>
      </x:c>
    </x:row>
    <x:row r="27" ht="36" customHeight="1">
      <x:c r="A27" s="8" t="n">
        <x:v>56</x:v>
      </x:c>
      <x:c r="B27" s="4" t="str">
        <x:v>TT10_C04_GUARDA_BANDA</x:v>
      </x:c>
      <x:c r="C27" s="8" t="n">
        <x:v>1</x:v>
      </x:c>
      <x:c r="D27" s="4" t="str">
        <x:v>Según plano</x:v>
      </x:c>
      <x:c r="E27" s="4" t="str">
        <x:v>ASTM A36</x:v>
      </x:c>
      <x:c r="F27" s="4" t="str">
        <x:v>Banda2, ancho36; tapa inferior; soldar a posterior, frontal desmontable</x:v>
      </x:c>
      <x:c r="G27" s="11"/>
      <x:c r="H27" s="11"/>
      <x:c r="I27" s="11"/>
      <x:c r="J27" s="11"/>
      <x:c r="K27" s="11" t="n">
        <x:f>C27</x:f>
        <x:v>1</x:v>
      </x:c>
      <x:c r="L27" s="4" t="str">
        <x:v>ud</x:v>
      </x:c>
      <x:c r="M27" s="4" t="str">
        <x:v>TT10_C05_PC_19</x:v>
      </x:c>
      <x:c r="N27" s="4" t="str">
        <x:v>Dimensiones y mecanizados según plano nativo actualizado.</x:v>
      </x:c>
    </x:row>
    <x:row r="28" ht="36" customHeight="1">
      <x:c r="A28" s="9" t="n">
        <x:v>59</x:v>
      </x:c>
      <x:c r="B28" s="5" t="str">
        <x:v>TT10_C04_GUARDA_FRONTAL</x:v>
      </x:c>
      <x:c r="C28" s="9" t="n">
        <x:v>1</x:v>
      </x:c>
      <x:c r="D28" s="5" t="str">
        <x:v>Según plano</x:v>
      </x:c>
      <x:c r="E28" s="5" t="str">
        <x:v>ASTM A36</x:v>
      </x:c>
      <x:c r="F28" s="5" t="str">
        <x:v>Chapa2; contorno de cadena; inferiorZ1107; paso superior/FRONTAL</x:v>
      </x:c>
      <x:c r="G28" s="12"/>
      <x:c r="H28" s="12"/>
      <x:c r="I28" s="12"/>
      <x:c r="J28" s="12"/>
      <x:c r="K28" s="12" t="n">
        <x:f>C28</x:f>
        <x:v>1</x:v>
      </x:c>
      <x:c r="L28" s="5" t="str">
        <x:v>ud</x:v>
      </x:c>
      <x:c r="M28" s="5" t="str">
        <x:v>TT10_C05_PC_19</x:v>
      </x:c>
      <x:c r="N28" s="5" t="str">
        <x:v>Dimensiones y mecanizados según plano nativo actualizado.</x:v>
      </x:c>
    </x:row>
    <x:row r="29" ht="36" customHeight="1">
      <x:c r="A29" s="8" t="n">
        <x:v>62</x:v>
      </x:c>
      <x:c r="B29" s="4" t="str">
        <x:v>TT10_C04_GUARDA_POSTERIOR</x:v>
      </x:c>
      <x:c r="C29" s="8" t="n">
        <x:v>1</x:v>
      </x:c>
      <x:c r="D29" s="4" t="str">
        <x:v>Según plano</x:v>
      </x:c>
      <x:c r="E29" s="4" t="str">
        <x:v>ASTM A36</x:v>
      </x:c>
      <x:c r="F29" s="4" t="str">
        <x:v>Chapa2; contorno de cadena; inferiorZ1107; paso superior/POSTERIOR</x:v>
      </x:c>
      <x:c r="G29" s="11"/>
      <x:c r="H29" s="11"/>
      <x:c r="I29" s="11"/>
      <x:c r="J29" s="11"/>
      <x:c r="K29" s="11" t="n">
        <x:f t="shared" ref="K29:K34" si="0">C29</x:f>
        <x:v>1</x:v>
      </x:c>
      <x:c r="L29" s="4" t="str">
        <x:v>ud</x:v>
      </x:c>
      <x:c r="M29" s="4" t="str">
        <x:v>TT10_C05_PC_19</x:v>
      </x:c>
      <x:c r="N29" s="4" t="str">
        <x:v>Dimensiones y mecanizados según plano nativo actualizado.</x:v>
      </x:c>
    </x:row>
    <x:row r="30" ht="36" customHeight="1">
      <x:c r="A30" s="9" t="n">
        <x:v>65</x:v>
      </x:c>
      <x:c r="B30" s="5" t="str">
        <x:v>TT10_C04_PEDESTAL_SELECTOR</x:v>
      </x:c>
      <x:c r="C30" s="9" t="n">
        <x:v>1</x:v>
      </x:c>
      <x:c r="D30" s="5" t="str">
        <x:v>Según plano</x:v>
      </x:c>
      <x:c r="E30" s="5" t="str">
        <x:v>ASTM A36</x:v>
      </x:c>
      <x:c r="F30" s="5" t="str">
        <x:v>Pedestal con ventana46 para paso real de cadena/resguardo; soporte local por verificar</x:v>
      </x:c>
      <x:c r="G30" s="12"/>
      <x:c r="H30" s="12"/>
      <x:c r="I30" s="12"/>
      <x:c r="J30" s="12"/>
      <x:c r="K30" s="12" t="n">
        <x:f t="shared" si="0">C30</x:f>
        <x:v>1</x:v>
      </x:c>
      <x:c r="L30" s="5" t="str">
        <x:v>ud</x:v>
      </x:c>
      <x:c r="M30" s="5" t="str">
        <x:v>TT10_C05_PC_20</x:v>
      </x:c>
      <x:c r="N30" s="5" t="str">
        <x:v>Dimensiones y mecanizados según plano nativo actualizado.</x:v>
      </x:c>
    </x:row>
    <x:row r="31" ht="36" customHeight="1">
      <x:c r="A31" s="8" t="n">
        <x:v>66</x:v>
      </x:c>
      <x:c r="B31" s="4" t="str">
        <x:v>TT10_C04_PLACA_TIMON</x:v>
      </x:c>
      <x:c r="C31" s="8" t="n">
        <x:v>1</x:v>
      </x:c>
      <x:c r="D31" s="4" t="str">
        <x:v>Según plano</x:v>
      </x:c>
      <x:c r="E31" s="4" t="str">
        <x:v>ASTM A36</x:v>
      </x:c>
      <x:c r="F31" s="4" t="str">
        <x:v>Placa de estacion existente con ventanaR57x25 para bridas110; apoyos yMayr conservados</x:v>
      </x:c>
      <x:c r="G31" s="11"/>
      <x:c r="H31" s="11"/>
      <x:c r="I31" s="11"/>
      <x:c r="J31" s="11"/>
      <x:c r="K31" s="11" t="n">
        <x:f t="shared" si="0">C31</x:f>
        <x:v>1</x:v>
      </x:c>
      <x:c r="L31" s="4" t="str">
        <x:v>ud</x:v>
      </x:c>
      <x:c r="M31" s="4" t="str">
        <x:v>TT10_C05_PC_17</x:v>
      </x:c>
      <x:c r="N31" s="4" t="str">
        <x:v>Dimensiones y mecanizados según plano nativo actualizado.</x:v>
      </x:c>
    </x:row>
    <x:row r="32" ht="36" customHeight="1">
      <x:c r="A32" s="9" t="n">
        <x:v>69</x:v>
      </x:c>
      <x:c r="B32" s="5" t="str">
        <x:v>TT10_C04_SELECTOR_BASE</x:v>
      </x:c>
      <x:c r="C32" s="9" t="n">
        <x:v>1</x:v>
      </x:c>
      <x:c r="D32" s="5" t="str">
        <x:v>Según plano</x:v>
      </x:c>
      <x:c r="E32" s="5" t="str">
        <x:v>ASTM A36</x:v>
      </x:c>
      <x:c r="F32" s="5" t="str">
        <x:v>Soporte con ventana46mm para cadena y guarda; caras restantes transmiten apoyo</x:v>
      </x:c>
      <x:c r="G32" s="12"/>
      <x:c r="H32" s="12"/>
      <x:c r="I32" s="12"/>
      <x:c r="J32" s="12"/>
      <x:c r="K32" s="12" t="n">
        <x:f t="shared" si="0">C32</x:f>
        <x:v>1</x:v>
      </x:c>
      <x:c r="L32" s="5" t="str">
        <x:v>ud</x:v>
      </x:c>
      <x:c r="M32" s="5" t="str">
        <x:v>TT10_C05_PC_20</x:v>
      </x:c>
      <x:c r="N32" s="5" t="str">
        <x:v>Dimensiones y mecanizados según plano nativo actualizado.</x:v>
      </x:c>
    </x:row>
    <x:row r="33" ht="36" customHeight="1">
      <x:c r="A33" s="8" t="n">
        <x:v>70</x:v>
      </x:c>
      <x:c r="B33" s="4" t="str">
        <x:v>TT10_C04_SELECTOR_CUBO_E</x:v>
      </x:c>
      <x:c r="C33" s="8" t="n">
        <x:v>1</x:v>
      </x:c>
      <x:c r="D33" s="4" t="str">
        <x:v>Según plano</x:v>
      </x:c>
      <x:c r="E33" s="4" t="str">
        <x:v>AISI 4140 bonificado</x:v>
      </x:c>
      <x:c r="F33" s="4" t="str">
        <x:v>CuboE con extension; pasoD41 hastaX1062, socketD40H7 y chavetero12x35</x:v>
      </x:c>
      <x:c r="G33" s="11"/>
      <x:c r="H33" s="11"/>
      <x:c r="I33" s="11"/>
      <x:c r="J33" s="11"/>
      <x:c r="K33" s="11" t="n">
        <x:f t="shared" si="0">C33</x:f>
        <x:v>1</x:v>
      </x:c>
      <x:c r="L33" s="4" t="str">
        <x:v>ud</x:v>
      </x:c>
      <x:c r="M33" s="4" t="str">
        <x:v>TT10_C05_PC_21</x:v>
      </x:c>
      <x:c r="N33" s="4" t="str">
        <x:v>Dimensiones y mecanizados según plano nativo actualizado.</x:v>
      </x:c>
    </x:row>
    <x:row r="34" ht="36" customHeight="1">
      <x:c r="A34" s="9" t="n">
        <x:v>71</x:v>
      </x:c>
      <x:c r="B34" s="5" t="str">
        <x:v>TT10_C04_SELECTOR_EJE</x:v>
      </x:c>
      <x:c r="C34" s="9" t="n">
        <x:v>1</x:v>
      </x:c>
      <x:c r="D34" s="5" t="str">
        <x:v>Según plano</x:v>
      </x:c>
      <x:c r="E34" s="5" t="str">
        <x:v>42CrMo4+QT; pistas58-64HRC</x:v>
      </x:c>
      <x:c r="F34" s="5" t="str">
        <x:v>Eje D40h6; extremoX1060; ranuraDIN471D37.5x1.85 enX855.1</x:v>
      </x:c>
      <x:c r="G34" s="12"/>
      <x:c r="H34" s="12"/>
      <x:c r="I34" s="12"/>
      <x:c r="J34" s="12"/>
      <x:c r="K34" s="12" t="n">
        <x:f t="shared" si="0">C34</x:f>
        <x:v>1</x:v>
      </x:c>
      <x:c r="L34" s="5" t="str">
        <x:v>ud</x:v>
      </x:c>
      <x:c r="M34" s="5" t="str">
        <x:v>TT10_C05_PC_21</x:v>
      </x:c>
      <x:c r="N34" s="5" t="str">
        <x:v>Dimensiones y mecanizados según plano nativo actualizado.</x:v>
      </x:c>
    </x:row>
    <x:row r="35" ht="36" customHeight="1">
      <x:c r="A35" s="8" t="n">
        <x:v>72</x:v>
      </x:c>
      <x:c r="B35" s="4" t="str">
        <x:v>TT10_C04_SELECTOR_ESPACIADOR</x:v>
      </x:c>
      <x:c r="C35" s="8" t="n">
        <x:v>1</x:v>
      </x:c>
      <x:c r="D35" s="4" t="str">
        <x:v>Según plano</x:v>
      </x:c>
      <x:c r="E35" s="4" t="str">
        <x:v>ASTM A36</x:v>
      </x:c>
      <x:c r="F35" s="4" t="str">
        <x:v>Soporte con ventana46mm para cadena y guarda; caras restantes transmiten apoyo</x:v>
      </x:c>
      <x:c r="G35" s="11"/>
      <x:c r="H35" s="11"/>
      <x:c r="I35" s="11"/>
      <x:c r="J35" s="11"/>
      <x:c r="K35" s="11" t="n">
        <x:f>C35</x:f>
        <x:v>1</x:v>
      </x:c>
      <x:c r="L35" s="4" t="str">
        <x:v>ud</x:v>
      </x:c>
      <x:c r="M35" s="4" t="str">
        <x:v>TT10_C05_PC_20</x:v>
      </x:c>
      <x:c r="N35" s="4" t="str">
        <x:v>Dimensiones y mecanizados según plano nativo actualizado.</x:v>
      </x:c>
    </x:row>
    <x:row r="36" ht="36" customHeight="1">
      <x:c r="A36" s="9" t="n">
        <x:v>77</x:v>
      </x:c>
      <x:c r="B36" s="5" t="str">
        <x:v>TT10_C04_TAPA6008_1</x:v>
      </x:c>
      <x:c r="C36" s="9" t="n">
        <x:v>1</x:v>
      </x:c>
      <x:c r="D36" s="5" t="str">
        <x:v>Según plano</x:v>
      </x:c>
      <x:c r="E36" s="5" t="str">
        <x:v>ASTM A36</x:v>
      </x:c>
      <x:c r="F36" s="5" t="str">
        <x:v>Tapa104x4, cabezas en cajera; desmontaje exterior</x:v>
      </x:c>
      <x:c r="G36" s="12"/>
      <x:c r="H36" s="12"/>
      <x:c r="I36" s="12"/>
      <x:c r="J36" s="12"/>
      <x:c r="K36" s="12" t="n">
        <x:f>C36</x:f>
        <x:v>1</x:v>
      </x:c>
      <x:c r="L36" s="5" t="str">
        <x:v>ud</x:v>
      </x:c>
      <x:c r="M36" s="5" t="str">
        <x:v>TT10_C05_PC_20</x:v>
      </x:c>
      <x:c r="N36" s="5" t="str">
        <x:v>Dimensiones y mecanizados según plano nativo actualizado.</x:v>
      </x:c>
    </x:row>
    <x:row r="37" ht="36" customHeight="1">
      <x:c r="A37" s="8" t="n">
        <x:v>78</x:v>
      </x:c>
      <x:c r="B37" s="4" t="str">
        <x:v>TT10_C04_TAPA6008_2</x:v>
      </x:c>
      <x:c r="C37" s="8" t="n">
        <x:v>1</x:v>
      </x:c>
      <x:c r="D37" s="4" t="str">
        <x:v>Según plano</x:v>
      </x:c>
      <x:c r="E37" s="4" t="str">
        <x:v>ASTM A36</x:v>
      </x:c>
      <x:c r="F37" s="4" t="str">
        <x:v>Tapa104x4, cabezas en cajera; desmontaje exterior</x:v>
      </x:c>
      <x:c r="G37" s="11"/>
      <x:c r="H37" s="11"/>
      <x:c r="I37" s="11"/>
      <x:c r="J37" s="11"/>
      <x:c r="K37" s="11" t="n">
        <x:f>C37</x:f>
        <x:v>1</x:v>
      </x:c>
      <x:c r="L37" s="4" t="str">
        <x:v>ud</x:v>
      </x:c>
      <x:c r="M37" s="4" t="str">
        <x:v>TT10_C05_PC_20</x:v>
      </x:c>
      <x:c r="N37" s="4" t="str">
        <x:v>Dimensiones y mecanizados según plano nativo actualizado.</x:v>
      </x:c>
    </x:row>
    <x:row r="38" ht="36" customHeight="1">
      <x:c r="A38" s="9" t="n">
        <x:v>79</x:v>
      </x:c>
      <x:c r="B38" s="5" t="str">
        <x:v>TT10_C04_TRAVESANO</x:v>
      </x:c>
      <x:c r="C38" s="9" t="n">
        <x:v>1</x:v>
      </x:c>
      <x:c r="D38" s="5" t="str">
        <x:v>Según plano</x:v>
      </x:c>
      <x:c r="E38" s="5" t="str">
        <x:v>S275J0H / EN 10219-1</x:v>
      </x:c>
      <x:c r="F38" s="5" t="str">
        <x:v>RHS100x50x5,L230; une los dos postes del puesto manual, a3</x:v>
      </x:c>
      <x:c r="G38" s="12"/>
      <x:c r="H38" s="12"/>
      <x:c r="I38" s="12"/>
      <x:c r="J38" s="12"/>
      <x:c r="K38" s="12" t="n">
        <x:f>C38</x:f>
        <x:v>1</x:v>
      </x:c>
      <x:c r="L38" s="5" t="str">
        <x:v>ud</x:v>
      </x:c>
      <x:c r="M38" s="5" t="str">
        <x:v>TT10_C05_PC_16</x:v>
      </x:c>
      <x:c r="N38" s="5" t="str">
        <x:v>Dimensiones y mecanizados según plano nativo actualizado.</x:v>
      </x:c>
    </x:row>
    <x:row r="39" ht="36" customHeight="1">
      <x:c r="A39" s="8" t="n">
        <x:v>92</x:v>
      </x:c>
      <x:c r="B39" s="4" t="str">
        <x:v>TT10_C05_BASE_FIJA_TENSOR</x:v>
      </x:c>
      <x:c r="C39" s="8" t="n">
        <x:v>1</x:v>
      </x:c>
      <x:c r="D39" s="4" t="str">
        <x:v>Según plano</x:v>
      </x:c>
      <x:c r="E39" s="4" t="str">
        <x:v>ASTM A36</x:v>
      </x:c>
      <x:c r="F39" s="4" t="str">
        <x:v>Base fija630x420x20; cuatro M20 roscados20;apriete100Nm;no son anclajes a losa</x:v>
      </x:c>
      <x:c r="G39" s="11"/>
      <x:c r="H39" s="11"/>
      <x:c r="I39" s="11"/>
      <x:c r="J39" s="11"/>
      <x:c r="K39" s="11" t="n">
        <x:f>C39</x:f>
        <x:v>1</x:v>
      </x:c>
      <x:c r="L39" s="4" t="str">
        <x:v>ud</x:v>
      </x:c>
      <x:c r="M39" s="4" t="str">
        <x:v>TT10_C05_PC_16</x:v>
      </x:c>
      <x:c r="N39" s="4" t="str">
        <x:v>Dimensiones y mecanizados según plano nativo actualizado.</x:v>
      </x:c>
    </x:row>
    <x:row r="40" ht="36" customHeight="1">
      <x:c r="A40" s="9" t="n">
        <x:v>94</x:v>
      </x:c>
      <x:c r="B40" s="5" t="str">
        <x:v>TT10_C05_BDNB_APOYO_0_INFERIOR</x:v>
      </x:c>
      <x:c r="C40" s="9" t="n">
        <x:v>1</x:v>
      </x:c>
      <x:c r="D40" s="5" t="str">
        <x:v>Según plano</x:v>
      </x:c>
      <x:c r="E40" s="5" t="str">
        <x:v>ASTM A36</x:v>
      </x:c>
      <x:c r="F40" s="5" t="str">
        <x:v>Apoyo partido6006, asientoH7, tapa2M6x60, roscasM6 cuerpo; soldaduraa4 base</x:v>
      </x:c>
      <x:c r="G40" s="12"/>
      <x:c r="H40" s="12"/>
      <x:c r="I40" s="12"/>
      <x:c r="J40" s="12"/>
      <x:c r="K40" s="12" t="n">
        <x:f t="shared" ref="K40:K47" si="1">C40</x:f>
        <x:v>1</x:v>
      </x:c>
      <x:c r="L40" s="5" t="str">
        <x:v>ud</x:v>
      </x:c>
      <x:c r="M40" s="5" t="str">
        <x:v>TT10_C05_PC_22</x:v>
      </x:c>
      <x:c r="N40" s="5" t="str">
        <x:v>Dimensiones y mecanizados según plano nativo actualizado.</x:v>
      </x:c>
    </x:row>
    <x:row r="41" ht="36" customHeight="1">
      <x:c r="A41" s="8" t="n">
        <x:v>95</x:v>
      </x:c>
      <x:c r="B41" s="4" t="str">
        <x:v>TT10_C05_BDNB_APOYO_0_TAPA</x:v>
      </x:c>
      <x:c r="C41" s="8" t="n">
        <x:v>1</x:v>
      </x:c>
      <x:c r="D41" s="4" t="str">
        <x:v>Según plano</x:v>
      </x:c>
      <x:c r="E41" s="4" t="str">
        <x:v>ASTM A36</x:v>
      </x:c>
      <x:c r="F41" s="4" t="str">
        <x:v>Apoyo partido6006, asientoH7, tapa2M6x60, roscasM6 cuerpo; soldaduraa4 base</x:v>
      </x:c>
      <x:c r="G41" s="11"/>
      <x:c r="H41" s="11"/>
      <x:c r="I41" s="11"/>
      <x:c r="J41" s="11"/>
      <x:c r="K41" s="11" t="n">
        <x:f t="shared" si="1">C41</x:f>
        <x:v>1</x:v>
      </x:c>
      <x:c r="L41" s="4" t="str">
        <x:v>ud</x:v>
      </x:c>
      <x:c r="M41" s="4" t="str">
        <x:v>TT10_C05_PC_22</x:v>
      </x:c>
      <x:c r="N41" s="4" t="str">
        <x:v>Dimensiones y mecanizados según plano nativo actualizado.</x:v>
      </x:c>
    </x:row>
    <x:row r="42" ht="36" customHeight="1">
      <x:c r="A42" s="9" t="n">
        <x:v>96</x:v>
      </x:c>
      <x:c r="B42" s="5" t="str">
        <x:v>TT10_C05_BDNB_APOYO_1_INFERIOR</x:v>
      </x:c>
      <x:c r="C42" s="9" t="n">
        <x:v>1</x:v>
      </x:c>
      <x:c r="D42" s="5" t="str">
        <x:v>Según plano</x:v>
      </x:c>
      <x:c r="E42" s="5" t="str">
        <x:v>ASTM A36</x:v>
      </x:c>
      <x:c r="F42" s="5" t="str">
        <x:v>Apoyo partido6006, asientoH7, tapa2M6x60, roscasM6 cuerpo; soldaduraa4 base</x:v>
      </x:c>
      <x:c r="G42" s="12"/>
      <x:c r="H42" s="12"/>
      <x:c r="I42" s="12"/>
      <x:c r="J42" s="12"/>
      <x:c r="K42" s="12" t="n">
        <x:f t="shared" si="1">C42</x:f>
        <x:v>1</x:v>
      </x:c>
      <x:c r="L42" s="5" t="str">
        <x:v>ud</x:v>
      </x:c>
      <x:c r="M42" s="5" t="str">
        <x:v>TT10_C05_PC_22</x:v>
      </x:c>
      <x:c r="N42" s="5" t="str">
        <x:v>Dimensiones y mecanizados según plano nativo actualizado.</x:v>
      </x:c>
    </x:row>
    <x:row r="43" ht="36" customHeight="1">
      <x:c r="A43" s="8" t="n">
        <x:v>97</x:v>
      </x:c>
      <x:c r="B43" s="4" t="str">
        <x:v>TT10_C05_BDNB_APOYO_1_TAPA</x:v>
      </x:c>
      <x:c r="C43" s="8" t="n">
        <x:v>1</x:v>
      </x:c>
      <x:c r="D43" s="4" t="str">
        <x:v>Según plano</x:v>
      </x:c>
      <x:c r="E43" s="4" t="str">
        <x:v>ASTM A36</x:v>
      </x:c>
      <x:c r="F43" s="4" t="str">
        <x:v>Apoyo partido6006, asientoH7, tapa2M6x60, roscasM6 cuerpo; soldaduraa4 base</x:v>
      </x:c>
      <x:c r="G43" s="11"/>
      <x:c r="H43" s="11"/>
      <x:c r="I43" s="11"/>
      <x:c r="J43" s="11"/>
      <x:c r="K43" s="11" t="n">
        <x:f t="shared" si="1">C43</x:f>
        <x:v>1</x:v>
      </x:c>
      <x:c r="L43" s="4" t="str">
        <x:v>ud</x:v>
      </x:c>
      <x:c r="M43" s="4" t="str">
        <x:v>TT10_C05_PC_22</x:v>
      </x:c>
      <x:c r="N43" s="4" t="str">
        <x:v>Dimensiones y mecanizados según plano nativo actualizado.</x:v>
      </x:c>
    </x:row>
    <x:row r="44" ht="36" customHeight="1">
      <x:c r="A44" s="9" t="n">
        <x:v>98</x:v>
      </x:c>
      <x:c r="B44" s="5" t="str">
        <x:v>TT10_C05_BDNB_APOYO_2_INFERIOR</x:v>
      </x:c>
      <x:c r="C44" s="9" t="n">
        <x:v>1</x:v>
      </x:c>
      <x:c r="D44" s="5" t="str">
        <x:v>Según plano</x:v>
      </x:c>
      <x:c r="E44" s="5" t="str">
        <x:v>ASTM A36</x:v>
      </x:c>
      <x:c r="F44" s="5" t="str">
        <x:v>Apoyo partido6906, asientoH7, tapa2M6x60, roscasM6 cuerpo; soldaduraa4 base</x:v>
      </x:c>
      <x:c r="G44" s="12"/>
      <x:c r="H44" s="12"/>
      <x:c r="I44" s="12"/>
      <x:c r="J44" s="12"/>
      <x:c r="K44" s="12" t="n">
        <x:f t="shared" si="1">C44</x:f>
        <x:v>1</x:v>
      </x:c>
      <x:c r="L44" s="5" t="str">
        <x:v>ud</x:v>
      </x:c>
      <x:c r="M44" s="5" t="str">
        <x:v>TT10_C05_PC_22</x:v>
      </x:c>
      <x:c r="N44" s="5" t="str">
        <x:v>Dimensiones y mecanizados según plano nativo actualizado.</x:v>
      </x:c>
    </x:row>
    <x:row r="45" ht="36" customHeight="1">
      <x:c r="A45" s="8" t="n">
        <x:v>99</x:v>
      </x:c>
      <x:c r="B45" s="4" t="str">
        <x:v>TT10_C05_BDNB_APOYO_2_TAPA</x:v>
      </x:c>
      <x:c r="C45" s="8" t="n">
        <x:v>1</x:v>
      </x:c>
      <x:c r="D45" s="4" t="str">
        <x:v>Según plano</x:v>
      </x:c>
      <x:c r="E45" s="4" t="str">
        <x:v>ASTM A36</x:v>
      </x:c>
      <x:c r="F45" s="4" t="str">
        <x:v>Apoyo partido6906, asientoH7, tapa2M6x60, roscasM6 cuerpo; soldaduraa4 base</x:v>
      </x:c>
      <x:c r="G45" s="11"/>
      <x:c r="H45" s="11"/>
      <x:c r="I45" s="11"/>
      <x:c r="J45" s="11"/>
      <x:c r="K45" s="11" t="n">
        <x:f t="shared" si="1">C45</x:f>
        <x:v>1</x:v>
      </x:c>
      <x:c r="L45" s="4" t="str">
        <x:v>ud</x:v>
      </x:c>
      <x:c r="M45" s="4" t="str">
        <x:v>TT10_C05_PC_22</x:v>
      </x:c>
      <x:c r="N45" s="4" t="str">
        <x:v>Dimensiones y mecanizados según plano nativo actualizado.</x:v>
      </x:c>
    </x:row>
    <x:row r="46" ht="36" customHeight="1">
      <x:c r="A46" s="9" t="n">
        <x:v>100</x:v>
      </x:c>
      <x:c r="B46" s="5" t="str">
        <x:v>TT10_C05_BDNB_APOYO_3_INFERIOR</x:v>
      </x:c>
      <x:c r="C46" s="9" t="n">
        <x:v>1</x:v>
      </x:c>
      <x:c r="D46" s="5" t="str">
        <x:v>Según plano</x:v>
      </x:c>
      <x:c r="E46" s="5" t="str">
        <x:v>ASTM A36</x:v>
      </x:c>
      <x:c r="F46" s="5" t="str">
        <x:v>Apoyo partido6906, asientoH7, tapa2M6x60, roscasM6 cuerpo; soldaduraa4 base</x:v>
      </x:c>
      <x:c r="G46" s="12"/>
      <x:c r="H46" s="12"/>
      <x:c r="I46" s="12"/>
      <x:c r="J46" s="12"/>
      <x:c r="K46" s="12" t="n">
        <x:f t="shared" si="1">C46</x:f>
        <x:v>1</x:v>
      </x:c>
      <x:c r="L46" s="5" t="str">
        <x:v>ud</x:v>
      </x:c>
      <x:c r="M46" s="5" t="str">
        <x:v>TT10_C05_PC_22</x:v>
      </x:c>
      <x:c r="N46" s="5" t="str">
        <x:v>Dimensiones y mecanizados según plano nativo actualizado.</x:v>
      </x:c>
    </x:row>
    <x:row r="47" ht="36" customHeight="1">
      <x:c r="A47" s="8" t="n">
        <x:v>101</x:v>
      </x:c>
      <x:c r="B47" s="4" t="str">
        <x:v>TT10_C05_BDNB_APOYO_3_TAPA</x:v>
      </x:c>
      <x:c r="C47" s="8" t="n">
        <x:v>1</x:v>
      </x:c>
      <x:c r="D47" s="4" t="str">
        <x:v>Según plano</x:v>
      </x:c>
      <x:c r="E47" s="4" t="str">
        <x:v>ASTM A36</x:v>
      </x:c>
      <x:c r="F47" s="4" t="str">
        <x:v>Apoyo partido6906, asientoH7, tapa2M6x60, roscasM6 cuerpo; soldaduraa4 base</x:v>
      </x:c>
      <x:c r="G47" s="11"/>
      <x:c r="H47" s="11"/>
      <x:c r="I47" s="11"/>
      <x:c r="J47" s="11"/>
      <x:c r="K47" s="11" t="n">
        <x:f t="shared" si="1">C47</x:f>
        <x:v>1</x:v>
      </x:c>
      <x:c r="L47" s="4" t="str">
        <x:v>ud</x:v>
      </x:c>
      <x:c r="M47" s="4" t="str">
        <x:v>TT10_C05_PC_22</x:v>
      </x:c>
      <x:c r="N47" s="4" t="str">
        <x:v>Dimensiones y mecanizados según plano nativo actualizado.</x:v>
      </x:c>
    </x:row>
    <x:row r="48" ht="36" customHeight="1">
      <x:c r="A48" s="9" t="n">
        <x:v>102</x:v>
      </x:c>
      <x:c r="B48" s="5" t="str">
        <x:v>TT10_C05_BDNB_BASE</x:v>
      </x:c>
      <x:c r="C48" s="9" t="n">
        <x:v>1</x:v>
      </x:c>
      <x:c r="D48" s="5" t="str">
        <x:v>Según plano</x:v>
      </x:c>
      <x:c r="E48" s="5" t="str">
        <x:v>ASTM A36</x:v>
      </x:c>
      <x:c r="F48" s="5" t="str">
        <x:v>Base16 con ventana cadena,4pasos11;4M10x35 en placa existente roscadaM10</x:v>
      </x:c>
      <x:c r="G48" s="12"/>
      <x:c r="H48" s="12"/>
      <x:c r="I48" s="12"/>
      <x:c r="J48" s="12"/>
      <x:c r="K48" s="12" t="n">
        <x:f>C48</x:f>
        <x:v>1</x:v>
      </x:c>
      <x:c r="L48" s="5" t="str">
        <x:v>ud</x:v>
      </x:c>
      <x:c r="M48" s="5" t="str">
        <x:v>TT10_C05_PC_22</x:v>
      </x:c>
      <x:c r="N48" s="5" t="str">
        <x:v>Dimensiones y mecanizados según plano nativo actualizado.</x:v>
      </x:c>
    </x:row>
    <x:row r="49" ht="36" customHeight="1">
      <x:c r="A49" s="8" t="n">
        <x:v>106</x:v>
      </x:c>
      <x:c r="B49" s="4" t="str">
        <x:v>TT10_C05_BDNB_CUBO_SELECTOR</x:v>
      </x:c>
      <x:c r="C49" s="8" t="n">
        <x:v>1</x:v>
      </x:c>
      <x:c r="D49" s="4" t="str">
        <x:v>Según plano</x:v>
      </x:c>
      <x:c r="E49" s="4" t="str">
        <x:v>AISI 4140 bonificado</x:v>
      </x:c>
      <x:c r="F49" s="4" t="str">
        <x:v>Cubo manual con corona integral z48,m2.5,20 grados; asiento47 y garras conservadas</x:v>
      </x:c>
      <x:c r="G49" s="11"/>
      <x:c r="H49" s="11"/>
      <x:c r="I49" s="11"/>
      <x:c r="J49" s="11"/>
      <x:c r="K49" s="11" t="n">
        <x:f t="shared" ref="K49:K54" si="2">C49</x:f>
        <x:v>1</x:v>
      </x:c>
      <x:c r="L49" s="4" t="str">
        <x:v>ud</x:v>
      </x:c>
      <x:c r="M49" s="4" t="str">
        <x:v>TT10_C05_PC_23</x:v>
      </x:c>
      <x:c r="N49" s="4" t="str">
        <x:v>Dimensiones y mecanizados según plano nativo actualizado.</x:v>
      </x:c>
    </x:row>
    <x:row r="50" ht="36" customHeight="1">
      <x:c r="A50" s="9" t="n">
        <x:v>107</x:v>
      </x:c>
      <x:c r="B50" s="5" t="str">
        <x:v>TT10_C05_BDNB_EJE_ENTRADA</x:v>
      </x:c>
      <x:c r="C50" s="9" t="n">
        <x:v>1</x:v>
      </x:c>
      <x:c r="D50" s="5" t="str">
        <x:v>Según plano</x:v>
      </x:c>
      <x:c r="E50" s="5" t="str">
        <x:v>AISI 4140 bonificado</x:v>
      </x:c>
      <x:c r="F50" s="5" t="str">
        <x:v>Eje30h6; socket12.73; chaveta8x7; taladro transversal4.825</x:v>
      </x:c>
      <x:c r="G50" s="12"/>
      <x:c r="H50" s="12"/>
      <x:c r="I50" s="12"/>
      <x:c r="J50" s="12"/>
      <x:c r="K50" s="12" t="n">
        <x:f t="shared" si="2">C50</x:f>
        <x:v>1</x:v>
      </x:c>
      <x:c r="L50" s="5" t="str">
        <x:v>ud</x:v>
      </x:c>
      <x:c r="M50" s="5" t="str">
        <x:v>TT10_C05_PC_23</x:v>
      </x:c>
      <x:c r="N50" s="5" t="str">
        <x:v>Dimensiones y mecanizados según plano nativo actualizado.</x:v>
      </x:c>
    </x:row>
    <x:row r="51" ht="36" customHeight="1">
      <x:c r="A51" s="8" t="n">
        <x:v>108</x:v>
      </x:c>
      <x:c r="B51" s="4" t="str">
        <x:v>TT10_C05_BDNB_EJE_SALIDA</x:v>
      </x:c>
      <x:c r="C51" s="8" t="n">
        <x:v>1</x:v>
      </x:c>
      <x:c r="D51" s="4" t="str">
        <x:v>Según plano</x:v>
      </x:c>
      <x:c r="E51" s="4" t="str">
        <x:v>AISI 4140 bonificado</x:v>
      </x:c>
      <x:c r="F51" s="4" t="str">
        <x:v>Eje30h6, espiga12.70; dos6906; chaveta8x7; unión positiva3/16</x:v>
      </x:c>
      <x:c r="G51" s="11"/>
      <x:c r="H51" s="11"/>
      <x:c r="I51" s="11"/>
      <x:c r="J51" s="11"/>
      <x:c r="K51" s="11" t="n">
        <x:f t="shared" si="2">C51</x:f>
        <x:v>1</x:v>
      </x:c>
      <x:c r="L51" s="4" t="str">
        <x:v>ud</x:v>
      </x:c>
      <x:c r="M51" s="4" t="str">
        <x:v>TT10_C05_PC_23</x:v>
      </x:c>
      <x:c r="N51" s="4" t="str">
        <x:v>Dimensiones y mecanizados según plano nativo actualizado.</x:v>
      </x:c>
    </x:row>
    <x:row r="52" ht="36" customHeight="1">
      <x:c r="A52" s="9" t="n">
        <x:v>109</x:v>
      </x:c>
      <x:c r="B52" s="5" t="str">
        <x:v>TT10_C05_BDNB_ENGRANAJE</x:v>
      </x:c>
      <x:c r="C52" s="9" t="n">
        <x:v>1</x:v>
      </x:c>
      <x:c r="D52" s="5" t="str">
        <x:v>Según plano</x:v>
      </x:c>
      <x:c r="E52" s="5" t="str">
        <x:v>AISI 4140 bonificado</x:v>
      </x:c>
      <x:c r="F52" s="5" t="str">
        <x:v>Engranaje48d,m2.5,20grados,b20;30H7,8JS9</x:v>
      </x:c>
      <x:c r="G52" s="12"/>
      <x:c r="H52" s="12"/>
      <x:c r="I52" s="12"/>
      <x:c r="J52" s="12"/>
      <x:c r="K52" s="12" t="n">
        <x:f t="shared" si="2">C52</x:f>
        <x:v>1</x:v>
      </x:c>
      <x:c r="L52" s="5" t="str">
        <x:v>ud</x:v>
      </x:c>
      <x:c r="M52" s="5" t="str">
        <x:v>TT10_C05_PC_23</x:v>
      </x:c>
      <x:c r="N52" s="5" t="str">
        <x:v>Dimensiones y mecanizados según plano nativo actualizado.</x:v>
      </x:c>
    </x:row>
    <x:row r="53" ht="36" customHeight="1">
      <x:c r="A53" s="8" t="n">
        <x:v>116</x:v>
      </x:c>
      <x:c r="B53" s="4" t="str">
        <x:v>TT10_C05_BDNB_PASADOR_ENTRADA</x:v>
      </x:c>
      <x:c r="C53" s="8" t="n">
        <x:v>1</x:v>
      </x:c>
      <x:c r="D53" s="4" t="str">
        <x:v>Según plano</x:v>
      </x:c>
      <x:c r="E53" s="4" t="str">
        <x:v>C45E / EN 10083-2</x:v>
      </x:c>
      <x:c r="F53" s="4" t="str">
        <x:v>Pasador transversal3/16, cabeza7, puntaM3x5; C45E bonificado, Rp0.2 minimo650MPa</x:v>
      </x:c>
      <x:c r="G53" s="11"/>
      <x:c r="H53" s="11"/>
      <x:c r="I53" s="11"/>
      <x:c r="J53" s="11"/>
      <x:c r="K53" s="11" t="n">
        <x:f t="shared" si="2">C53</x:f>
        <x:v>1</x:v>
      </x:c>
      <x:c r="L53" s="4" t="str">
        <x:v>ud</x:v>
      </x:c>
      <x:c r="M53" s="4" t="str">
        <x:v>TT10_C05_PC_23</x:v>
      </x:c>
      <x:c r="N53" s="4" t="str">
        <x:v>Dimensiones y mecanizados según plano nativo actualizado.</x:v>
      </x:c>
    </x:row>
    <x:row r="54" ht="36" customHeight="1">
      <x:c r="A54" s="9" t="n">
        <x:v>117</x:v>
      </x:c>
      <x:c r="B54" s="5" t="str">
        <x:v>TT10_C05_BDNB_PASADOR_SALIDA</x:v>
      </x:c>
      <x:c r="C54" s="9" t="n">
        <x:v>1</x:v>
      </x:c>
      <x:c r="D54" s="5" t="str">
        <x:v>Según plano</x:v>
      </x:c>
      <x:c r="E54" s="5" t="str">
        <x:v>C45E / EN 10083-2</x:v>
      </x:c>
      <x:c r="F54" s="5" t="str">
        <x:v>Pasador transversal3/16, cabeza7, puntaM3x5; C45E bonificado, Rp0.2 minimo650MPa</x:v>
      </x:c>
      <x:c r="G54" s="12"/>
      <x:c r="H54" s="12"/>
      <x:c r="I54" s="12"/>
      <x:c r="J54" s="12"/>
      <x:c r="K54" s="12" t="n">
        <x:f t="shared" si="2">C54</x:f>
        <x:v>1</x:v>
      </x:c>
      <x:c r="L54" s="5" t="str">
        <x:v>ud</x:v>
      </x:c>
      <x:c r="M54" s="5" t="str">
        <x:v>TT10_C05_PC_23</x:v>
      </x:c>
      <x:c r="N54" s="5" t="str">
        <x:v>Dimensiones y mecanizados según plano nativo actualizado.</x:v>
      </x:c>
    </x:row>
    <x:row r="55" ht="36" customHeight="1">
      <x:c r="A55" s="8" t="n">
        <x:v>118</x:v>
      </x:c>
      <x:c r="B55" s="4" t="str">
        <x:v>TT10_C05_BDNB_PLACA_REACCION</x:v>
      </x:c>
      <x:c r="C55" s="8" t="n">
        <x:v>1</x:v>
      </x:c>
      <x:c r="D55" s="4" t="str">
        <x:v>Según plano</x:v>
      </x:c>
      <x:c r="E55" s="4" t="str">
        <x:v>ASTM A36</x:v>
      </x:c>
      <x:c r="F55" s="4" t="str">
        <x:v>Reacción BDNB8mm,4Ø5.5PCD53.85; soldaduraa4 ambos lados a base</x:v>
      </x:c>
      <x:c r="G55" s="11"/>
      <x:c r="H55" s="11"/>
      <x:c r="I55" s="11"/>
      <x:c r="J55" s="11"/>
      <x:c r="K55" s="11" t="n">
        <x:f>C55</x:f>
        <x:v>1</x:v>
      </x:c>
      <x:c r="L55" s="4" t="str">
        <x:v>ud</x:v>
      </x:c>
      <x:c r="M55" s="4" t="str">
        <x:v>TT10_C05_PC_22</x:v>
      </x:c>
      <x:c r="N55" s="4" t="str">
        <x:v>Dimensiones y mecanizados según plano nativo actualizado.</x:v>
      </x:c>
    </x:row>
    <x:row r="56" ht="36" customHeight="1">
      <x:c r="A56" s="9" t="n">
        <x:v>126</x:v>
      </x:c>
      <x:c r="B56" s="5" t="str">
        <x:v>TT10_C05_BLOQUE_SELECTOR</x:v>
      </x:c>
      <x:c r="C56" s="9" t="n">
        <x:v>1</x:v>
      </x:c>
      <x:c r="D56" s="5" t="str">
        <x:v>Según plano</x:v>
      </x:c>
      <x:c r="E56" s="5" t="str">
        <x:v>ASTM A36</x:v>
      </x:c>
      <x:c r="F56" s="5" t="str">
        <x:v>BloqueC03 conservado con4M4laterales para retencion cautiva</x:v>
      </x:c>
      <x:c r="G56" s="12"/>
      <x:c r="H56" s="12"/>
      <x:c r="I56" s="12"/>
      <x:c r="J56" s="12"/>
      <x:c r="K56" s="12" t="n">
        <x:f>C56</x:f>
        <x:v>1</x:v>
      </x:c>
      <x:c r="L56" s="5" t="str">
        <x:v>ud</x:v>
      </x:c>
      <x:c r="M56" s="5" t="str">
        <x:v>TT10_C05_PC_21</x:v>
      </x:c>
      <x:c r="N56" s="5" t="str">
        <x:v>Dimensiones y mecanizados según plano nativo actualizado.</x:v>
      </x:c>
    </x:row>
    <x:row r="57" ht="36" customHeight="1">
      <x:c r="A57" s="8" t="n">
        <x:v>127</x:v>
      </x:c>
      <x:c r="B57" s="4" t="str">
        <x:v>TT10_C05_CORREDERA_TENSOR</x:v>
      </x:c>
      <x:c r="C57" s="8" t="n">
        <x:v>1</x:v>
      </x:c>
      <x:c r="D57" s="4" t="str">
        <x:v>Según plano</x:v>
      </x:c>
      <x:c r="E57" s="4" t="str">
        <x:v>ASTM A36</x:v>
      </x:c>
      <x:c r="F57" s="4" t="str">
        <x:v>Corredera comun590x320x20;4ranuras22x62; carrera Y+/-20mm; ambos postes solidarios</x:v>
      </x:c>
      <x:c r="G57" s="11"/>
      <x:c r="H57" s="11"/>
      <x:c r="I57" s="11"/>
      <x:c r="J57" s="11"/>
      <x:c r="K57" s="11" t="n">
        <x:f t="shared" ref="K57:K63" si="3">C57</x:f>
        <x:v>1</x:v>
      </x:c>
      <x:c r="L57" s="4" t="str">
        <x:v>ud</x:v>
      </x:c>
      <x:c r="M57" s="4" t="str">
        <x:v>TT10_C05_PC_16</x:v>
      </x:c>
      <x:c r="N57" s="4" t="str">
        <x:v>Dimensiones y mecanizados según plano nativo actualizado.</x:v>
      </x:c>
    </x:row>
    <x:row r="58" ht="36" customHeight="1">
      <x:c r="A58" s="9" t="n">
        <x:v>128</x:v>
      </x:c>
      <x:c r="B58" s="5" t="str">
        <x:v>TT10_C05_GUIA_TENSOR_0</x:v>
      </x:c>
      <x:c r="C58" s="9" t="n">
        <x:v>1</x:v>
      </x:c>
      <x:c r="D58" s="5" t="str">
        <x:v>Según plano</x:v>
      </x:c>
      <x:c r="E58" s="5" t="str">
        <x:v>ASTM A36</x:v>
      </x:c>
      <x:c r="F58" s="5" t="str">
        <x:v>Guia lateral mecanizada;holgura transversal total0.3..0.5mm; soldar a base fija y mecanizar despues</x:v>
      </x:c>
      <x:c r="G58" s="12"/>
      <x:c r="H58" s="12"/>
      <x:c r="I58" s="12"/>
      <x:c r="J58" s="12"/>
      <x:c r="K58" s="12" t="n">
        <x:f t="shared" si="3">C58</x:f>
        <x:v>1</x:v>
      </x:c>
      <x:c r="L58" s="5" t="str">
        <x:v>ud</x:v>
      </x:c>
      <x:c r="M58" s="5" t="str">
        <x:v>TT10_C05_PC_16</x:v>
      </x:c>
      <x:c r="N58" s="5" t="str">
        <x:v>Dimensiones y mecanizados según plano nativo actualizado.</x:v>
      </x:c>
    </x:row>
    <x:row r="59" ht="36" customHeight="1">
      <x:c r="A59" s="8" t="n">
        <x:v>129</x:v>
      </x:c>
      <x:c r="B59" s="4" t="str">
        <x:v>TT10_C05_GUIA_TENSOR_1</x:v>
      </x:c>
      <x:c r="C59" s="8" t="n">
        <x:v>1</x:v>
      </x:c>
      <x:c r="D59" s="4" t="str">
        <x:v>Según plano</x:v>
      </x:c>
      <x:c r="E59" s="4" t="str">
        <x:v>ASTM A36</x:v>
      </x:c>
      <x:c r="F59" s="4" t="str">
        <x:v>Guia lateral mecanizada;holgura transversal total0.3..0.5mm; soldar a base fija y mecanizar despues</x:v>
      </x:c>
      <x:c r="G59" s="11"/>
      <x:c r="H59" s="11"/>
      <x:c r="I59" s="11"/>
      <x:c r="J59" s="11"/>
      <x:c r="K59" s="11" t="n">
        <x:f t="shared" si="3">C59</x:f>
        <x:v>1</x:v>
      </x:c>
      <x:c r="L59" s="4" t="str">
        <x:v>ud</x:v>
      </x:c>
      <x:c r="M59" s="4" t="str">
        <x:v>TT10_C05_PC_16</x:v>
      </x:c>
      <x:c r="N59" s="4" t="str">
        <x:v>Dimensiones y mecanizados según plano nativo actualizado.</x:v>
      </x:c>
    </x:row>
    <x:row r="60" ht="36" customHeight="1">
      <x:c r="A60" s="9" t="n">
        <x:v>138</x:v>
      </x:c>
      <x:c r="B60" s="5" t="str">
        <x:v>TT10_C05_OREJA_TENSOR_0_0</x:v>
      </x:c>
      <x:c r="C60" s="9" t="n">
        <x:v>1</x:v>
      </x:c>
      <x:c r="D60" s="5" t="str">
        <x:v>Según plano</x:v>
      </x:c>
      <x:c r="E60" s="5" t="str">
        <x:v>ASTM A36</x:v>
      </x:c>
      <x:c r="F60" s="5" t="str">
        <x:v>Oreja36x20x36;M16x2; soldaduraa6 a base fija</x:v>
      </x:c>
      <x:c r="G60" s="12"/>
      <x:c r="H60" s="12"/>
      <x:c r="I60" s="12"/>
      <x:c r="J60" s="12"/>
      <x:c r="K60" s="12" t="n">
        <x:f t="shared" si="3">C60</x:f>
        <x:v>1</x:v>
      </x:c>
      <x:c r="L60" s="5" t="str">
        <x:v>ud</x:v>
      </x:c>
      <x:c r="M60" s="5" t="str">
        <x:v>TT10_C05_PC_16</x:v>
      </x:c>
      <x:c r="N60" s="5" t="str">
        <x:v>Dimensiones y mecanizados según plano nativo actualizado.</x:v>
      </x:c>
    </x:row>
    <x:row r="61" ht="36" customHeight="1">
      <x:c r="A61" s="8" t="n">
        <x:v>139</x:v>
      </x:c>
      <x:c r="B61" s="4" t="str">
        <x:v>TT10_C05_OREJA_TENSOR_0_1</x:v>
      </x:c>
      <x:c r="C61" s="8" t="n">
        <x:v>1</x:v>
      </x:c>
      <x:c r="D61" s="4" t="str">
        <x:v>Según plano</x:v>
      </x:c>
      <x:c r="E61" s="4" t="str">
        <x:v>ASTM A36</x:v>
      </x:c>
      <x:c r="F61" s="4" t="str">
        <x:v>Oreja36x20x36;M16x2; soldaduraa6 a base fija</x:v>
      </x:c>
      <x:c r="G61" s="11"/>
      <x:c r="H61" s="11"/>
      <x:c r="I61" s="11"/>
      <x:c r="J61" s="11"/>
      <x:c r="K61" s="11" t="n">
        <x:f t="shared" si="3">C61</x:f>
        <x:v>1</x:v>
      </x:c>
      <x:c r="L61" s="4" t="str">
        <x:v>ud</x:v>
      </x:c>
      <x:c r="M61" s="4" t="str">
        <x:v>TT10_C05_PC_16</x:v>
      </x:c>
      <x:c r="N61" s="4" t="str">
        <x:v>Dimensiones y mecanizados según plano nativo actualizado.</x:v>
      </x:c>
    </x:row>
    <x:row r="62" ht="36" customHeight="1">
      <x:c r="A62" s="9" t="n">
        <x:v>140</x:v>
      </x:c>
      <x:c r="B62" s="5" t="str">
        <x:v>TT10_C05_OREJA_TENSOR_1_0</x:v>
      </x:c>
      <x:c r="C62" s="9" t="n">
        <x:v>1</x:v>
      </x:c>
      <x:c r="D62" s="5" t="str">
        <x:v>Según plano</x:v>
      </x:c>
      <x:c r="E62" s="5" t="str">
        <x:v>ASTM A36</x:v>
      </x:c>
      <x:c r="F62" s="5" t="str">
        <x:v>Oreja36x20x36;M16x2; soldaduraa6 a base fija</x:v>
      </x:c>
      <x:c r="G62" s="12"/>
      <x:c r="H62" s="12"/>
      <x:c r="I62" s="12"/>
      <x:c r="J62" s="12"/>
      <x:c r="K62" s="12" t="n">
        <x:f t="shared" si="3">C62</x:f>
        <x:v>1</x:v>
      </x:c>
      <x:c r="L62" s="5" t="str">
        <x:v>ud</x:v>
      </x:c>
      <x:c r="M62" s="5" t="str">
        <x:v>TT10_C05_PC_16</x:v>
      </x:c>
      <x:c r="N62" s="5" t="str">
        <x:v>Dimensiones y mecanizados según plano nativo actualizado.</x:v>
      </x:c>
    </x:row>
    <x:row r="63" ht="36" customHeight="1">
      <x:c r="A63" s="8" t="n">
        <x:v>141</x:v>
      </x:c>
      <x:c r="B63" s="4" t="str">
        <x:v>TT10_C05_OREJA_TENSOR_1_1</x:v>
      </x:c>
      <x:c r="C63" s="8" t="n">
        <x:v>1</x:v>
      </x:c>
      <x:c r="D63" s="4" t="str">
        <x:v>Según plano</x:v>
      </x:c>
      <x:c r="E63" s="4" t="str">
        <x:v>ASTM A36</x:v>
      </x:c>
      <x:c r="F63" s="4" t="str">
        <x:v>Oreja36x20x36;M16x2; soldaduraa6 a base fija</x:v>
      </x:c>
      <x:c r="G63" s="11"/>
      <x:c r="H63" s="11"/>
      <x:c r="I63" s="11"/>
      <x:c r="J63" s="11"/>
      <x:c r="K63" s="11" t="n">
        <x:f t="shared" si="3">C63</x:f>
        <x:v>1</x:v>
      </x:c>
      <x:c r="L63" s="4" t="str">
        <x:v>ud</x:v>
      </x:c>
      <x:c r="M63" s="4" t="str">
        <x:v>TT10_C05_PC_16</x:v>
      </x:c>
      <x:c r="N63" s="4" t="str">
        <x:v>Dimensiones y mecanizados según plano nativo actualizado.</x:v>
      </x:c>
    </x:row>
    <x:row r="64" ht="36" customHeight="1">
      <x:c r="A64" s="9" t="n">
        <x:v>142</x:v>
      </x:c>
      <x:c r="B64" s="5" t="str">
        <x:v>TT10_C05_POSTE_CORTO_TENSOR</x:v>
      </x:c>
      <x:c r="C64" s="9" t="n">
        <x:v>1</x:v>
      </x:c>
      <x:c r="D64" s="5" t="str">
        <x:v>Según plano</x:v>
      </x:c>
      <x:c r="E64" s="5" t="str">
        <x:v>S275J0H / EN 10219-1</x:v>
      </x:c>
      <x:c r="F64" s="5" t="str">
        <x:v>RHS50x50x5;L1037.5;recortado20para conservar altura del eje</x:v>
      </x:c>
      <x:c r="G64" s="12"/>
      <x:c r="H64" s="12"/>
      <x:c r="I64" s="12"/>
      <x:c r="J64" s="12"/>
      <x:c r="K64" s="12" t="n">
        <x:f>C64</x:f>
        <x:v>1</x:v>
      </x:c>
      <x:c r="L64" s="5" t="str">
        <x:v>ud</x:v>
      </x:c>
      <x:c r="M64" s="5" t="str">
        <x:v>TT10_C05_PC_16</x:v>
      </x:c>
      <x:c r="N64" s="5" t="str">
        <x:v>Dimensiones y mecanizados según plano nativo actualizado.</x:v>
      </x:c>
    </x:row>
    <x:row r="65" ht="36" customHeight="1">
      <x:c r="A65" s="8" t="n">
        <x:v>143</x:v>
      </x:c>
      <x:c r="B65" s="4" t="str">
        <x:v>TT10_C05_POSTE_VOLANTE_TENSOR</x:v>
      </x:c>
      <x:c r="C65" s="8" t="n">
        <x:v>1</x:v>
      </x:c>
      <x:c r="D65" s="4" t="str">
        <x:v>Según plano</x:v>
      </x:c>
      <x:c r="E65" s="4" t="str">
        <x:v>ASTM A36</x:v>
      </x:c>
      <x:c r="F65" s="4" t="str">
        <x:v>Poste del volante recortado20mm; conservar mecanizado superior y centros</x:v>
      </x:c>
      <x:c r="G65" s="11"/>
      <x:c r="H65" s="11"/>
      <x:c r="I65" s="11"/>
      <x:c r="J65" s="11"/>
      <x:c r="K65" s="11" t="n">
        <x:f>C65</x:f>
        <x:v>1</x:v>
      </x:c>
      <x:c r="L65" s="4" t="str">
        <x:v>ud</x:v>
      </x:c>
      <x:c r="M65" s="4" t="str">
        <x:v>TT10_C05_PC_16</x:v>
      </x:c>
      <x:c r="N65" s="4" t="str">
        <x:v>Dimensiones y mecanizados según plano nativo actualizado.</x:v>
      </x:c>
    </x:row>
    <x:row r="66" ht="36" customHeight="1">
      <x:c r="A66" s="9" t="n">
        <x:v>144</x:v>
      </x:c>
      <x:c r="B66" s="5" t="str">
        <x:v>TT10_C05_RETEN_CAUTIVO_SELECTOR</x:v>
      </x:c>
      <x:c r="C66" s="9" t="n">
        <x:v>1</x:v>
      </x:c>
      <x:c r="D66" s="5" t="str">
        <x:v>Según plano</x:v>
      </x:c>
      <x:c r="E66" s="5" t="str">
        <x:v>ASTM A36</x:v>
      </x:c>
      <x:c r="F66" s="5" t="str">
        <x:v>Puente cautivo para pasadorD6;23mm hasta cabeza, permite levantar16mm;4M4 laterales al bloque</x:v>
      </x:c>
      <x:c r="G66" s="12"/>
      <x:c r="H66" s="12"/>
      <x:c r="I66" s="12"/>
      <x:c r="J66" s="12"/>
      <x:c r="K66" s="12" t="n">
        <x:f>C66</x:f>
        <x:v>1</x:v>
      </x:c>
      <x:c r="L66" s="5" t="str">
        <x:v>ud</x:v>
      </x:c>
      <x:c r="M66" s="5" t="str">
        <x:v>TT10_C05_PC_21</x:v>
      </x:c>
      <x:c r="N66" s="5" t="str">
        <x:v>Dimensiones y mecanizados según plano nativo actualizado.</x:v>
      </x:c>
    </x:row>
    <x:row r="67" ht="36" customHeight="1">
      <x:c r="A67" s="8" t="n">
        <x:v>145</x:v>
      </x:c>
      <x:c r="B67" s="4" t="str">
        <x:v>TT10_CART_N_INF</x:v>
      </x:c>
      <x:c r="C67" s="8" t="n">
        <x:v>1</x:v>
      </x:c>
      <x:c r="D67" s="4" t="str">
        <x:v>Según plano</x:v>
      </x:c>
      <x:c r="E67" s="4" t="str">
        <x:v>ASTM A36</x:v>
      </x:c>
      <x:c r="F67" s="4" t="str">
        <x:v>Cartela horizontal20 entre puente y placa de nodo</x:v>
      </x:c>
      <x:c r="G67" s="11"/>
      <x:c r="H67" s="11"/>
      <x:c r="I67" s="11"/>
      <x:c r="J67" s="11"/>
      <x:c r="K67" s="11" t="n">
        <x:f>C67</x:f>
        <x:v>1</x:v>
      </x:c>
      <x:c r="L67" s="4" t="str">
        <x:v>ud</x:v>
      </x:c>
      <x:c r="M67" s="4" t="str">
        <x:v>TT10_C05_PC_02</x:v>
      </x:c>
      <x:c r="N67" s="4" t="str">
        <x:v>Dimensiones y mecanizados según plano nativo actualizado.</x:v>
      </x:c>
    </x:row>
    <x:row r="68" ht="36" customHeight="1">
      <x:c r="A68" s="9" t="n">
        <x:v>146</x:v>
      </x:c>
      <x:c r="B68" s="5" t="str">
        <x:v>TT10_CART_N_SUP</x:v>
      </x:c>
      <x:c r="C68" s="9" t="n">
        <x:v>1</x:v>
      </x:c>
      <x:c r="D68" s="5" t="str">
        <x:v>Según plano</x:v>
      </x:c>
      <x:c r="E68" s="5" t="str">
        <x:v>ASTM A36</x:v>
      </x:c>
      <x:c r="F68" s="5" t="str">
        <x:v>Cartela horizontal20 entre puente y placa de nodo</x:v>
      </x:c>
      <x:c r="G68" s="12"/>
      <x:c r="H68" s="12"/>
      <x:c r="I68" s="12"/>
      <x:c r="J68" s="12"/>
      <x:c r="K68" s="12" t="n">
        <x:f>C68</x:f>
        <x:v>1</x:v>
      </x:c>
      <x:c r="L68" s="5" t="str">
        <x:v>ud</x:v>
      </x:c>
      <x:c r="M68" s="5" t="str">
        <x:v>TT10_C05_PC_02</x:v>
      </x:c>
      <x:c r="N68" s="5" t="str">
        <x:v>Dimensiones y mecanizados según plano nativo actualizado.</x:v>
      </x:c>
    </x:row>
    <x:row r="69" ht="36" customHeight="1">
      <x:c r="A69" s="8" t="n">
        <x:v>147</x:v>
      </x:c>
      <x:c r="B69" s="4" t="str">
        <x:v>TT10_CART_P_INF</x:v>
      </x:c>
      <x:c r="C69" s="8" t="n">
        <x:v>1</x:v>
      </x:c>
      <x:c r="D69" s="4" t="str">
        <x:v>Según plano</x:v>
      </x:c>
      <x:c r="E69" s="4" t="str">
        <x:v>ASTM A36</x:v>
      </x:c>
      <x:c r="F69" s="4" t="str">
        <x:v>Cartela horizontal20 entre puente y placa de nodo</x:v>
      </x:c>
      <x:c r="G69" s="11"/>
      <x:c r="H69" s="11"/>
      <x:c r="I69" s="11"/>
      <x:c r="J69" s="11"/>
      <x:c r="K69" s="11" t="n">
        <x:f>C69</x:f>
        <x:v>1</x:v>
      </x:c>
      <x:c r="L69" s="4" t="str">
        <x:v>ud</x:v>
      </x:c>
      <x:c r="M69" s="4" t="str">
        <x:v>TT10_C05_PC_02</x:v>
      </x:c>
      <x:c r="N69" s="4" t="str">
        <x:v>Dimensiones y mecanizados según plano nativo actualizado.</x:v>
      </x:c>
    </x:row>
    <x:row r="70" ht="36" customHeight="1">
      <x:c r="A70" s="9" t="n">
        <x:v>148</x:v>
      </x:c>
      <x:c r="B70" s="5" t="str">
        <x:v>TT10_CART_P_SUP</x:v>
      </x:c>
      <x:c r="C70" s="9" t="n">
        <x:v>1</x:v>
      </x:c>
      <x:c r="D70" s="5" t="str">
        <x:v>Según plano</x:v>
      </x:c>
      <x:c r="E70" s="5" t="str">
        <x:v>ASTM A36</x:v>
      </x:c>
      <x:c r="F70" s="5" t="str">
        <x:v>Cartela horizontal20 entre puente y placa de nodo</x:v>
      </x:c>
      <x:c r="G70" s="12"/>
      <x:c r="H70" s="12"/>
      <x:c r="I70" s="12"/>
      <x:c r="J70" s="12"/>
      <x:c r="K70" s="12" t="n">
        <x:f>C70</x:f>
        <x:v>1</x:v>
      </x:c>
      <x:c r="L70" s="5" t="str">
        <x:v>ud</x:v>
      </x:c>
      <x:c r="M70" s="5" t="str">
        <x:v>TT10_C05_PC_02</x:v>
      </x:c>
      <x:c r="N70" s="5" t="str">
        <x:v>Dimensiones y mecanizados según plano nativo actualizado.</x:v>
      </x:c>
    </x:row>
    <x:row r="71" ht="36" customHeight="1">
      <x:c r="A71" s="8" t="n">
        <x:v>149</x:v>
      </x:c>
      <x:c r="B71" s="4" t="str">
        <x:v>TT10_COLLAR_N</x:v>
      </x:c>
      <x:c r="C71" s="8" t="n">
        <x:v>1</x:v>
      </x:c>
      <x:c r="D71" s="4" t="str">
        <x:v>Según plano</x:v>
      </x:c>
      <x:c r="E71" s="4" t="str">
        <x:v>C45E / EN 10083-2</x:v>
      </x:c>
      <x:c r="F71" s="4" t="str">
        <x:v>Casquillo D220/d200.2 L161: transmisión de apriete y pista de sello</x:v>
      </x:c>
      <x:c r="G71" s="11"/>
      <x:c r="H71" s="11"/>
      <x:c r="I71" s="11"/>
      <x:c r="J71" s="11"/>
      <x:c r="K71" s="11" t="n">
        <x:f>C71</x:f>
        <x:v>1</x:v>
      </x:c>
      <x:c r="L71" s="4" t="str">
        <x:v>ud</x:v>
      </x:c>
      <x:c r="M71" s="4" t="str">
        <x:v>TT10_C05_PC_09</x:v>
      </x:c>
      <x:c r="N71" s="4" t="str">
        <x:v>Dimensiones y mecanizados según plano nativo actualizado.</x:v>
      </x:c>
    </x:row>
    <x:row r="72" ht="36" customHeight="1">
      <x:c r="A72" s="9" t="n">
        <x:v>150</x:v>
      </x:c>
      <x:c r="B72" s="5" t="str">
        <x:v>TT10_COLLAR_P</x:v>
      </x:c>
      <x:c r="C72" s="9" t="n">
        <x:v>1</x:v>
      </x:c>
      <x:c r="D72" s="5" t="str">
        <x:v>Según plano</x:v>
      </x:c>
      <x:c r="E72" s="5" t="str">
        <x:v>C45E / EN 10083-2</x:v>
      </x:c>
      <x:c r="F72" s="5" t="str">
        <x:v>Casquillo D220/d200.2 L161: transmisión de apriete y pista de sello</x:v>
      </x:c>
      <x:c r="G72" s="12"/>
      <x:c r="H72" s="12"/>
      <x:c r="I72" s="12"/>
      <x:c r="J72" s="12"/>
      <x:c r="K72" s="12" t="n">
        <x:f>C72</x:f>
        <x:v>1</x:v>
      </x:c>
      <x:c r="L72" s="5" t="str">
        <x:v>ud</x:v>
      </x:c>
      <x:c r="M72" s="5" t="str">
        <x:v>TT10_C05_PC_09</x:v>
      </x:c>
      <x:c r="N72" s="5" t="str">
        <x:v>Dimensiones y mecanizados según plano nativo actualizado.</x:v>
      </x:c>
    </x:row>
    <x:row r="73" ht="36" customHeight="1">
      <x:c r="A73" s="8" t="n">
        <x:v>153</x:v>
      </x:c>
      <x:c r="B73" s="4" t="str">
        <x:v>TT10_D_ARO_RESGUARDO_N</x:v>
      </x:c>
      <x:c r="C73" s="8" t="n">
        <x:v>1</x:v>
      </x:c>
      <x:c r="D73" s="4" t="str">
        <x:v>Según plano</x:v>
      </x:c>
      <x:c r="E73" s="4" t="str">
        <x:v>S275J0H / EN 10219-1</x:v>
      </x:c>
      <x:c r="F73" s="4" t="str">
        <x:v>Resguardo tubular desmontable ARO_RESGUARDO_N</x:v>
      </x:c>
      <x:c r="G73" s="11"/>
      <x:c r="H73" s="11"/>
      <x:c r="I73" s="11"/>
      <x:c r="J73" s="11"/>
      <x:c r="K73" s="11" t="n">
        <x:f>C73</x:f>
        <x:v>1</x:v>
      </x:c>
      <x:c r="L73" s="4" t="str">
        <x:v>ud</x:v>
      </x:c>
      <x:c r="M73" s="4" t="str">
        <x:v>TT10_C05_PC_11</x:v>
      </x:c>
      <x:c r="N73" s="4" t="str">
        <x:v>Dimensiones y mecanizados según plano nativo actualizado.</x:v>
      </x:c>
    </x:row>
    <x:row r="74" ht="36" customHeight="1">
      <x:c r="A74" s="9" t="n">
        <x:v>154</x:v>
      </x:c>
      <x:c r="B74" s="5" t="str">
        <x:v>TT10_D_ARO_RESGUARDO_P</x:v>
      </x:c>
      <x:c r="C74" s="9" t="n">
        <x:v>1</x:v>
      </x:c>
      <x:c r="D74" s="5" t="str">
        <x:v>Según plano</x:v>
      </x:c>
      <x:c r="E74" s="5" t="str">
        <x:v>S275J0H / EN 10219-1</x:v>
      </x:c>
      <x:c r="F74" s="5" t="str">
        <x:v>Resguardo tubular desmontable ARO_RESGUARDO_P</x:v>
      </x:c>
      <x:c r="G74" s="12"/>
      <x:c r="H74" s="12"/>
      <x:c r="I74" s="12"/>
      <x:c r="J74" s="12"/>
      <x:c r="K74" s="12" t="n">
        <x:f>C74</x:f>
        <x:v>1</x:v>
      </x:c>
      <x:c r="L74" s="5" t="str">
        <x:v>ud</x:v>
      </x:c>
      <x:c r="M74" s="5" t="str">
        <x:v>TT10_C05_PC_11</x:v>
      </x:c>
      <x:c r="N74" s="5" t="str">
        <x:v>Dimensiones y mecanizados según plano nativo actualizado.</x:v>
      </x:c>
    </x:row>
    <x:row r="75" ht="36" customHeight="1">
      <x:c r="A75" s="8" t="n">
        <x:v>157</x:v>
      </x:c>
      <x:c r="B75" s="4" t="str">
        <x:v>TT10_D_BASE_ARMARIO</x:v>
      </x:c>
      <x:c r="C75" s="8" t="n">
        <x:v>1</x:v>
      </x:c>
      <x:c r="D75" s="4" t="str">
        <x:v>Según plano</x:v>
      </x:c>
      <x:c r="E75" s="4" t="str">
        <x:v>ASTM A36</x:v>
      </x:c>
      <x:c r="F75" s="4" t="str">
        <x:v>Base del armario</x:v>
      </x:c>
      <x:c r="G75" s="11"/>
      <x:c r="H75" s="11"/>
      <x:c r="I75" s="11"/>
      <x:c r="J75" s="11"/>
      <x:c r="K75" s="11" t="n">
        <x:f t="shared" ref="K75:K82" si="4">C75</x:f>
        <x:v>1</x:v>
      </x:c>
      <x:c r="L75" s="4" t="str">
        <x:v>ud</x:v>
      </x:c>
      <x:c r="M75" s="4" t="str">
        <x:v>TT10_C05_PC_25</x:v>
      </x:c>
      <x:c r="N75" s="4" t="str">
        <x:v>Dimensiones y mecanizados según plano nativo actualizado.</x:v>
      </x:c>
    </x:row>
    <x:row r="76" ht="36" customHeight="1">
      <x:c r="A76" s="9" t="n">
        <x:v>158</x:v>
      </x:c>
      <x:c r="B76" s="5" t="str">
        <x:v>TT10_D_BASE_BOTONERA</x:v>
      </x:c>
      <x:c r="C76" s="9" t="n">
        <x:v>1</x:v>
      </x:c>
      <x:c r="D76" s="5" t="str">
        <x:v>Según plano</x:v>
      </x:c>
      <x:c r="E76" s="5" t="str">
        <x:v>ASTM A36</x:v>
      </x:c>
      <x:c r="F76" s="5" t="str">
        <x:v>Base de botonera</x:v>
      </x:c>
      <x:c r="G76" s="12"/>
      <x:c r="H76" s="12"/>
      <x:c r="I76" s="12"/>
      <x:c r="J76" s="12"/>
      <x:c r="K76" s="12" t="n">
        <x:f t="shared" si="4">C76</x:f>
        <x:v>1</x:v>
      </x:c>
      <x:c r="L76" s="5" t="str">
        <x:v>ud</x:v>
      </x:c>
      <x:c r="M76" s="5" t="str">
        <x:v>TT10_C05_PC_25</x:v>
      </x:c>
      <x:c r="N76" s="5" t="str">
        <x:v>Dimensiones y mecanizados según plano nativo actualizado.</x:v>
      </x:c>
    </x:row>
    <x:row r="77" ht="36" customHeight="1">
      <x:c r="A77" s="8" t="n">
        <x:v>159</x:v>
      </x:c>
      <x:c r="B77" s="4" t="str">
        <x:v>TT10_D_BASE_FRENO_N</x:v>
      </x:c>
      <x:c r="C77" s="8" t="n">
        <x:v>1</x:v>
      </x:c>
      <x:c r="D77" s="4" t="str">
        <x:v>Según plano</x:v>
      </x:c>
      <x:c r="E77" s="4" t="str">
        <x:v>ASTM A36</x:v>
      </x:c>
      <x:c r="F77" s="4" t="str">
        <x:v>Base de pedestal de freno N</x:v>
      </x:c>
      <x:c r="G77" s="11"/>
      <x:c r="H77" s="11"/>
      <x:c r="I77" s="11"/>
      <x:c r="J77" s="11"/>
      <x:c r="K77" s="11" t="n">
        <x:f t="shared" si="4">C77</x:f>
        <x:v>1</x:v>
      </x:c>
      <x:c r="L77" s="4" t="str">
        <x:v>ud</x:v>
      </x:c>
      <x:c r="M77" s="4" t="str">
        <x:v>TT10_C05_PC_11</x:v>
      </x:c>
      <x:c r="N77" s="4" t="str">
        <x:v>Dimensiones y mecanizados según plano nativo actualizado.</x:v>
      </x:c>
    </x:row>
    <x:row r="78" ht="36" customHeight="1">
      <x:c r="A78" s="9" t="n">
        <x:v>160</x:v>
      </x:c>
      <x:c r="B78" s="5" t="str">
        <x:v>TT10_D_BASE_FRENO_P</x:v>
      </x:c>
      <x:c r="C78" s="9" t="n">
        <x:v>1</x:v>
      </x:c>
      <x:c r="D78" s="5" t="str">
        <x:v>Según plano</x:v>
      </x:c>
      <x:c r="E78" s="5" t="str">
        <x:v>ASTM A36</x:v>
      </x:c>
      <x:c r="F78" s="5" t="str">
        <x:v>Base de pedestal de freno P</x:v>
      </x:c>
      <x:c r="G78" s="12"/>
      <x:c r="H78" s="12"/>
      <x:c r="I78" s="12"/>
      <x:c r="J78" s="12"/>
      <x:c r="K78" s="12" t="n">
        <x:f t="shared" si="4">C78</x:f>
        <x:v>1</x:v>
      </x:c>
      <x:c r="L78" s="5" t="str">
        <x:v>ud</x:v>
      </x:c>
      <x:c r="M78" s="5" t="str">
        <x:v>TT10_C05_PC_11</x:v>
      </x:c>
      <x:c r="N78" s="5" t="str">
        <x:v>Dimensiones y mecanizados según plano nativo actualizado.</x:v>
      </x:c>
    </x:row>
    <x:row r="79" ht="36" customHeight="1">
      <x:c r="A79" s="8" t="n">
        <x:v>161</x:v>
      </x:c>
      <x:c r="B79" s="4" t="str">
        <x:v>TT10_D_BASE_MOTOR</x:v>
      </x:c>
      <x:c r="C79" s="8" t="n">
        <x:v>1</x:v>
      </x:c>
      <x:c r="D79" s="4" t="str">
        <x:v>Según plano</x:v>
      </x:c>
      <x:c r="E79" s="4" t="str">
        <x:v>ASTM A36</x:v>
      </x:c>
      <x:c r="F79" s="4" t="str">
        <x:v>Placa base del segundo apoyo de bancada</x:v>
      </x:c>
      <x:c r="G79" s="11"/>
      <x:c r="H79" s="11"/>
      <x:c r="I79" s="11"/>
      <x:c r="J79" s="11"/>
      <x:c r="K79" s="11" t="n">
        <x:f t="shared" si="4">C79</x:f>
        <x:v>1</x:v>
      </x:c>
      <x:c r="L79" s="4" t="str">
        <x:v>ud</x:v>
      </x:c>
      <x:c r="M79" s="4" t="str">
        <x:v>TT10_C05_PC_10</x:v>
      </x:c>
      <x:c r="N79" s="4" t="str">
        <x:v>Dimensiones y mecanizados según plano nativo actualizado.</x:v>
      </x:c>
    </x:row>
    <x:row r="80" ht="36" customHeight="1">
      <x:c r="A80" s="9" t="n">
        <x:v>162</x:v>
      </x:c>
      <x:c r="B80" s="5" t="str">
        <x:v>TT10_D_BASE_PRESENTE</x:v>
      </x:c>
      <x:c r="C80" s="9" t="n">
        <x:v>1</x:v>
      </x:c>
      <x:c r="D80" s="5" t="str">
        <x:v>Según plano</x:v>
      </x:c>
      <x:c r="E80" s="5" t="str">
        <x:v>ASTM A36</x:v>
      </x:c>
      <x:c r="F80" s="5" t="str">
        <x:v>Base del mando de hombre presente</x:v>
      </x:c>
      <x:c r="G80" s="12"/>
      <x:c r="H80" s="12"/>
      <x:c r="I80" s="12"/>
      <x:c r="J80" s="12"/>
      <x:c r="K80" s="12" t="n">
        <x:f t="shared" si="4">C80</x:f>
        <x:v>1</x:v>
      </x:c>
      <x:c r="L80" s="5" t="str">
        <x:v>ud</x:v>
      </x:c>
      <x:c r="M80" s="5" t="str">
        <x:v>TT10_C05_PC_25</x:v>
      </x:c>
      <x:c r="N80" s="5" t="str">
        <x:v>Dimensiones y mecanizados según plano nativo actualizado.</x:v>
      </x:c>
    </x:row>
    <x:row r="81" ht="36" customHeight="1">
      <x:c r="A81" s="8" t="n">
        <x:v>163</x:v>
      </x:c>
      <x:c r="B81" s="4" t="str">
        <x:v>TT10_D_BASE_RECUP_N</x:v>
      </x:c>
      <x:c r="C81" s="8" t="n">
        <x:v>1</x:v>
      </x:c>
      <x:c r="D81" s="4" t="str">
        <x:v>Según plano</x:v>
      </x:c>
      <x:c r="E81" s="4" t="str">
        <x:v>ASTM A36</x:v>
      </x:c>
      <x:c r="F81" s="4" t="str">
        <x:v>Base de mando de recuperación</x:v>
      </x:c>
      <x:c r="G81" s="11"/>
      <x:c r="H81" s="11"/>
      <x:c r="I81" s="11"/>
      <x:c r="J81" s="11"/>
      <x:c r="K81" s="11" t="n">
        <x:f t="shared" si="4">C81</x:f>
        <x:v>1</x:v>
      </x:c>
      <x:c r="L81" s="4" t="str">
        <x:v>ud</x:v>
      </x:c>
      <x:c r="M81" s="4" t="str">
        <x:v>TT10_C05_PC_24</x:v>
      </x:c>
      <x:c r="N81" s="4" t="str">
        <x:v>Dimensiones y mecanizados según plano nativo actualizado.</x:v>
      </x:c>
    </x:row>
    <x:row r="82" ht="36" customHeight="1">
      <x:c r="A82" s="9" t="n">
        <x:v>164</x:v>
      </x:c>
      <x:c r="B82" s="5" t="str">
        <x:v>TT10_D_BASE_RECUP_P</x:v>
      </x:c>
      <x:c r="C82" s="9" t="n">
        <x:v>1</x:v>
      </x:c>
      <x:c r="D82" s="5" t="str">
        <x:v>Según plano</x:v>
      </x:c>
      <x:c r="E82" s="5" t="str">
        <x:v>ASTM A36</x:v>
      </x:c>
      <x:c r="F82" s="5" t="str">
        <x:v>Base de mando de recuperación</x:v>
      </x:c>
      <x:c r="G82" s="12"/>
      <x:c r="H82" s="12"/>
      <x:c r="I82" s="12"/>
      <x:c r="J82" s="12"/>
      <x:c r="K82" s="12" t="n">
        <x:f t="shared" si="4">C82</x:f>
        <x:v>1</x:v>
      </x:c>
      <x:c r="L82" s="5" t="str">
        <x:v>ud</x:v>
      </x:c>
      <x:c r="M82" s="5" t="str">
        <x:v>TT10_C05_PC_24</x:v>
      </x:c>
      <x:c r="N82" s="5" t="str">
        <x:v>Dimensiones y mecanizados según plano nativo actualizado.</x:v>
      </x:c>
    </x:row>
    <x:row r="83" ht="36" customHeight="1">
      <x:c r="A83" s="8" t="n">
        <x:v>165</x:v>
      </x:c>
      <x:c r="B83" s="4" t="str">
        <x:v>TT10_D_BLANCO_PIN</x:v>
      </x:c>
      <x:c r="C83" s="8" t="n">
        <x:v>2</x:v>
      </x:c>
      <x:c r="D83" s="4" t="str">
        <x:v>Según plano</x:v>
      </x:c>
      <x:c r="E83" s="4" t="str">
        <x:v>ASTM A36</x:v>
      </x:c>
      <x:c r="F83" s="4" t="str">
        <x:v>Bandera de detección del pasador retirado</x:v>
      </x:c>
      <x:c r="G83" s="11"/>
      <x:c r="H83" s="11"/>
      <x:c r="I83" s="11"/>
      <x:c r="J83" s="11"/>
      <x:c r="K83" s="11" t="n">
        <x:f t="shared" ref="K83:K88" si="5">C83</x:f>
        <x:v>2</x:v>
      </x:c>
      <x:c r="L83" s="4" t="str">
        <x:v>ud</x:v>
      </x:c>
      <x:c r="M83" s="4" t="str">
        <x:v>TT10_C05_PC_15</x:v>
      </x:c>
      <x:c r="N83" s="4" t="str">
        <x:v>Dimensiones y mecanizados según plano nativo actualizado.</x:v>
      </x:c>
    </x:row>
    <x:row r="84" ht="36" customHeight="1">
      <x:c r="A84" s="9" t="n">
        <x:v>177</x:v>
      </x:c>
      <x:c r="B84" s="5" t="str">
        <x:v>TT10_D_CARTELA_MOTOR_0</x:v>
      </x:c>
      <x:c r="C84" s="9" t="n">
        <x:v>1</x:v>
      </x:c>
      <x:c r="D84" s="5" t="str">
        <x:v>Según plano</x:v>
      </x:c>
      <x:c r="E84" s="5" t="str">
        <x:v>ASTM A36</x:v>
      </x:c>
      <x:c r="F84" s="5" t="str">
        <x:v>Apoyo lateral desmontable de bancada</x:v>
      </x:c>
      <x:c r="G84" s="12"/>
      <x:c r="H84" s="12"/>
      <x:c r="I84" s="12"/>
      <x:c r="J84" s="12"/>
      <x:c r="K84" s="12" t="n">
        <x:f t="shared" si="5">C84</x:f>
        <x:v>1</x:v>
      </x:c>
      <x:c r="L84" s="5" t="str">
        <x:v>ud</x:v>
      </x:c>
      <x:c r="M84" s="5" t="str">
        <x:v>TT10_C05_PC_10</x:v>
      </x:c>
      <x:c r="N84" s="5" t="str">
        <x:v>Dimensiones y mecanizados según plano nativo actualizado.</x:v>
      </x:c>
    </x:row>
    <x:row r="85" ht="36" customHeight="1">
      <x:c r="A85" s="8" t="n">
        <x:v>178</x:v>
      </x:c>
      <x:c r="B85" s="4" t="str">
        <x:v>TT10_D_CARTELA_MOTOR_1</x:v>
      </x:c>
      <x:c r="C85" s="8" t="n">
        <x:v>1</x:v>
      </x:c>
      <x:c r="D85" s="4" t="str">
        <x:v>Según plano</x:v>
      </x:c>
      <x:c r="E85" s="4" t="str">
        <x:v>ASTM A36</x:v>
      </x:c>
      <x:c r="F85" s="4" t="str">
        <x:v>Apoyo lateral desmontable de bancada</x:v>
      </x:c>
      <x:c r="G85" s="11"/>
      <x:c r="H85" s="11"/>
      <x:c r="I85" s="11"/>
      <x:c r="J85" s="11"/>
      <x:c r="K85" s="11" t="n">
        <x:f t="shared" si="5">C85</x:f>
        <x:v>1</x:v>
      </x:c>
      <x:c r="L85" s="4" t="str">
        <x:v>ud</x:v>
      </x:c>
      <x:c r="M85" s="4" t="str">
        <x:v>TT10_C05_PC_10</x:v>
      </x:c>
      <x:c r="N85" s="4" t="str">
        <x:v>Dimensiones y mecanizados según plano nativo actualizado.</x:v>
      </x:c>
    </x:row>
    <x:row r="86" ht="36" customHeight="1">
      <x:c r="A86" s="9" t="n">
        <x:v>179</x:v>
      </x:c>
      <x:c r="B86" s="5" t="str">
        <x:v>TT10_D_COLUMNA_MOTOR</x:v>
      </x:c>
      <x:c r="C86" s="9" t="n">
        <x:v>1</x:v>
      </x:c>
      <x:c r="D86" s="5" t="str">
        <x:v>Según plano</x:v>
      </x:c>
      <x:c r="E86" s="5" t="str">
        <x:v>S275J0H / EN 10219-1</x:v>
      </x:c>
      <x:c r="F86" s="5" t="str">
        <x:v>Columna adicional RHS200x200; asiento sobre placa base</x:v>
      </x:c>
      <x:c r="G86" s="12"/>
      <x:c r="H86" s="12"/>
      <x:c r="I86" s="12"/>
      <x:c r="J86" s="12"/>
      <x:c r="K86" s="12" t="n">
        <x:f t="shared" si="5">C86</x:f>
        <x:v>1</x:v>
      </x:c>
      <x:c r="L86" s="5" t="str">
        <x:v>ud</x:v>
      </x:c>
      <x:c r="M86" s="5" t="str">
        <x:v>TT10_C05_PC_10</x:v>
      </x:c>
      <x:c r="N86" s="5" t="str">
        <x:v>Dimensiones y mecanizados según plano nativo actualizado.</x:v>
      </x:c>
    </x:row>
    <x:row r="87" ht="36" customHeight="1">
      <x:c r="A87" s="8" t="n">
        <x:v>180</x:v>
      </x:c>
      <x:c r="B87" s="4" t="str">
        <x:v>TT10_D_CUBO_N</x:v>
      </x:c>
      <x:c r="C87" s="8" t="n">
        <x:v>1</x:v>
      </x:c>
      <x:c r="D87" s="4" t="str">
        <x:v>Según plano</x:v>
      </x:c>
      <x:c r="E87" s="4" t="str">
        <x:v>AISI 4140 bonificado</x:v>
      </x:c>
      <x:c r="F87" s="4" t="str">
        <x:v>Cubo de conexión por apriete y brida de disco N</x:v>
      </x:c>
      <x:c r="G87" s="11"/>
      <x:c r="H87" s="11"/>
      <x:c r="I87" s="11"/>
      <x:c r="J87" s="11"/>
      <x:c r="K87" s="11" t="n">
        <x:f t="shared" si="5">C87</x:f>
        <x:v>1</x:v>
      </x:c>
      <x:c r="L87" s="4" t="str">
        <x:v>ud</x:v>
      </x:c>
      <x:c r="M87" s="4" t="str">
        <x:v>TT10_C05_PC_09</x:v>
      </x:c>
      <x:c r="N87" s="4" t="str">
        <x:v>Dimensiones y mecanizados según plano nativo actualizado.</x:v>
      </x:c>
    </x:row>
    <x:row r="88" ht="36" customHeight="1">
      <x:c r="A88" s="9" t="n">
        <x:v>181</x:v>
      </x:c>
      <x:c r="B88" s="5" t="str">
        <x:v>TT10_D_CUBO_P</x:v>
      </x:c>
      <x:c r="C88" s="9" t="n">
        <x:v>1</x:v>
      </x:c>
      <x:c r="D88" s="5" t="str">
        <x:v>Según plano</x:v>
      </x:c>
      <x:c r="E88" s="5" t="str">
        <x:v>AISI 4140 bonificado</x:v>
      </x:c>
      <x:c r="F88" s="5" t="str">
        <x:v>Cubo de conexión por apriete y brida de disco P</x:v>
      </x:c>
      <x:c r="G88" s="12"/>
      <x:c r="H88" s="12"/>
      <x:c r="I88" s="12"/>
      <x:c r="J88" s="12"/>
      <x:c r="K88" s="12" t="n">
        <x:f t="shared" si="5">C88</x:f>
        <x:v>1</x:v>
      </x:c>
      <x:c r="L88" s="5" t="str">
        <x:v>ud</x:v>
      </x:c>
      <x:c r="M88" s="5" t="str">
        <x:v>TT10_C05_PC_09</x:v>
      </x:c>
      <x:c r="N88" s="5" t="str">
        <x:v>Dimensiones y mecanizados según plano nativo actualizado.</x:v>
      </x:c>
    </x:row>
    <x:row r="89" ht="36" customHeight="1">
      <x:c r="A89" s="8" t="n">
        <x:v>188</x:v>
      </x:c>
      <x:c r="B89" s="4" t="str">
        <x:v>TT10_D_MANDO_PRESENTE</x:v>
      </x:c>
      <x:c r="C89" s="8" t="n">
        <x:v>1</x:v>
      </x:c>
      <x:c r="D89" s="4" t="str">
        <x:v>Según plano</x:v>
      </x:c>
      <x:c r="E89" s="4" t="str">
        <x:v>ASTM A36</x:v>
      </x:c>
      <x:c r="F89" s="4" t="str">
        <x:v>Palanca de hombre presente para liberación manual nominal</x:v>
      </x:c>
      <x:c r="G89" s="11"/>
      <x:c r="H89" s="11"/>
      <x:c r="I89" s="11"/>
      <x:c r="J89" s="11"/>
      <x:c r="K89" s="11" t="n">
        <x:f>C89</x:f>
        <x:v>1</x:v>
      </x:c>
      <x:c r="L89" s="4" t="str">
        <x:v>ud</x:v>
      </x:c>
      <x:c r="M89" s="4" t="str">
        <x:v>TT10_C05_PC_25</x:v>
      </x:c>
      <x:c r="N89" s="4" t="str">
        <x:v>Dimensiones y mecanizados según plano nativo actualizado.</x:v>
      </x:c>
    </x:row>
    <x:row r="90" ht="36" customHeight="1">
      <x:c r="A90" s="9" t="n">
        <x:v>190</x:v>
      </x:c>
      <x:c r="B90" s="5" t="str">
        <x:v>TT10_D_PALANCA_PESTILLO_N</x:v>
      </x:c>
      <x:c r="C90" s="9" t="n">
        <x:v>1</x:v>
      </x:c>
      <x:c r="D90" s="5" t="str">
        <x:v>Según plano</x:v>
      </x:c>
      <x:c r="E90" s="5" t="str">
        <x:v>AISI 4140 bonificado</x:v>
      </x:c>
      <x:c r="F90" s="5" t="str">
        <x:v>Palanca accesible de recuperación del pestillo por cable</x:v>
      </x:c>
      <x:c r="G90" s="12"/>
      <x:c r="H90" s="12"/>
      <x:c r="I90" s="12"/>
      <x:c r="J90" s="12"/>
      <x:c r="K90" s="12" t="n">
        <x:f>C90</x:f>
        <x:v>1</x:v>
      </x:c>
      <x:c r="L90" s="5" t="str">
        <x:v>ud</x:v>
      </x:c>
      <x:c r="M90" s="5" t="str">
        <x:v>TT10_C05_PC_14</x:v>
      </x:c>
      <x:c r="N90" s="5" t="str">
        <x:v>Dimensiones y mecanizados según plano nativo actualizado.</x:v>
      </x:c>
    </x:row>
    <x:row r="91" ht="36" customHeight="1">
      <x:c r="A91" s="8" t="n">
        <x:v>191</x:v>
      </x:c>
      <x:c r="B91" s="4" t="str">
        <x:v>TT10_D_PALANCA_PESTILLO_P</x:v>
      </x:c>
      <x:c r="C91" s="8" t="n">
        <x:v>1</x:v>
      </x:c>
      <x:c r="D91" s="4" t="str">
        <x:v>Según plano</x:v>
      </x:c>
      <x:c r="E91" s="4" t="str">
        <x:v>AISI 4140 bonificado</x:v>
      </x:c>
      <x:c r="F91" s="4" t="str">
        <x:v>Palanca accesible de recuperación del pestillo por cable</x:v>
      </x:c>
      <x:c r="G91" s="11"/>
      <x:c r="H91" s="11"/>
      <x:c r="I91" s="11"/>
      <x:c r="J91" s="11"/>
      <x:c r="K91" s="11" t="n">
        <x:f>C91</x:f>
        <x:v>1</x:v>
      </x:c>
      <x:c r="L91" s="4" t="str">
        <x:v>ud</x:v>
      </x:c>
      <x:c r="M91" s="4" t="str">
        <x:v>TT10_C05_PC_14</x:v>
      </x:c>
      <x:c r="N91" s="4" t="str">
        <x:v>Dimensiones y mecanizados según plano nativo actualizado.</x:v>
      </x:c>
    </x:row>
    <x:row r="92" ht="36" customHeight="1">
      <x:c r="A92" s="9" t="n">
        <x:v>192</x:v>
      </x:c>
      <x:c r="B92" s="5" t="str">
        <x:v>TT10_D_PALANCA_SELECTOR</x:v>
      </x:c>
      <x:c r="C92" s="9" t="n">
        <x:v>1</x:v>
      </x:c>
      <x:c r="D92" s="5" t="str">
        <x:v>Según plano</x:v>
      </x:c>
      <x:c r="E92" s="5" t="str">
        <x:v>ASTM A36</x:v>
      </x:c>
      <x:c r="F92" s="5" t="str">
        <x:v>Selector E-0-M a altura accesible; transmisión por varilla</x:v>
      </x:c>
      <x:c r="G92" s="12"/>
      <x:c r="H92" s="12"/>
      <x:c r="I92" s="12"/>
      <x:c r="J92" s="12"/>
      <x:c r="K92" s="12" t="n">
        <x:f>C92</x:f>
        <x:v>1</x:v>
      </x:c>
      <x:c r="L92" s="5" t="str">
        <x:v>ud</x:v>
      </x:c>
      <x:c r="M92" s="5" t="str">
        <x:v>TT10_C05_PC_26</x:v>
      </x:c>
      <x:c r="N92" s="5" t="str">
        <x:v>Dimensiones y mecanizados según plano nativo actualizado.</x:v>
      </x:c>
    </x:row>
    <x:row r="93" ht="36" customHeight="1">
      <x:c r="A93" s="8" t="n">
        <x:v>197</x:v>
      </x:c>
      <x:c r="B93" s="4" t="str">
        <x:v>TT10_D_PEDESTAL_AUX</x:v>
      </x:c>
      <x:c r="C93" s="8" t="n">
        <x:v>1</x:v>
      </x:c>
      <x:c r="D93" s="4" t="str">
        <x:v>Según plano</x:v>
      </x:c>
      <x:c r="E93" s="4" t="str">
        <x:v>ASTM A36</x:v>
      </x:c>
      <x:c r="F93" s="4" t="str">
        <x:v>Pedestal bajo reducción auxiliar</x:v>
      </x:c>
      <x:c r="G93" s="11"/>
      <x:c r="H93" s="11"/>
      <x:c r="I93" s="11"/>
      <x:c r="J93" s="11"/>
      <x:c r="K93" s="11" t="n">
        <x:f>C93</x:f>
        <x:v>1</x:v>
      </x:c>
      <x:c r="L93" s="4" t="str">
        <x:v>ud</x:v>
      </x:c>
      <x:c r="M93" s="4" t="str">
        <x:v>TT10_C05_PC_10</x:v>
      </x:c>
      <x:c r="N93" s="4" t="str">
        <x:v>Dimensiones y mecanizados según plano nativo actualizado.</x:v>
      </x:c>
    </x:row>
    <x:row r="94" ht="36" customHeight="1">
      <x:c r="A94" s="9" t="n">
        <x:v>198</x:v>
      </x:c>
      <x:c r="B94" s="5" t="str">
        <x:v>TT10_D_PEDESTAL_MOTOR</x:v>
      </x:c>
      <x:c r="C94" s="9" t="n">
        <x:v>1</x:v>
      </x:c>
      <x:c r="D94" s="5" t="str">
        <x:v>Según plano</x:v>
      </x:c>
      <x:c r="E94" s="5" t="str">
        <x:v>ASTM A36</x:v>
      </x:c>
      <x:c r="F94" s="5" t="str">
        <x:v>Soporte común de pies del motor</x:v>
      </x:c>
      <x:c r="G94" s="12"/>
      <x:c r="H94" s="12"/>
      <x:c r="I94" s="12"/>
      <x:c r="J94" s="12"/>
      <x:c r="K94" s="12" t="n">
        <x:f>C94</x:f>
        <x:v>1</x:v>
      </x:c>
      <x:c r="L94" s="5" t="str">
        <x:v>ud</x:v>
      </x:c>
      <x:c r="M94" s="5" t="str">
        <x:v>TT10_C05_PC_10</x:v>
      </x:c>
      <x:c r="N94" s="5" t="str">
        <x:v>Dimensiones y mecanizados según plano nativo actualizado.</x:v>
      </x:c>
    </x:row>
    <x:row r="95" ht="36" customHeight="1">
      <x:c r="A95" s="8" t="n">
        <x:v>201</x:v>
      </x:c>
      <x:c r="B95" s="4" t="str">
        <x:v>TT10_D_PLATAFORMA</x:v>
      </x:c>
      <x:c r="C95" s="8" t="n">
        <x:v>1</x:v>
      </x:c>
      <x:c r="D95" s="4" t="str">
        <x:v>Según plano</x:v>
      </x:c>
      <x:c r="E95" s="4" t="str">
        <x:v>ASTM A36</x:v>
      </x:c>
      <x:c r="F95" s="4" t="str">
        <x:v>Plataforma t40 con paso abierto de cadena ancho100, extremo R50; geometría nativa vigente</x:v>
      </x:c>
      <x:c r="G95" s="11"/>
      <x:c r="H95" s="11"/>
      <x:c r="I95" s="11"/>
      <x:c r="J95" s="11"/>
      <x:c r="K95" s="11" t="n">
        <x:f>C95</x:f>
        <x:v>1</x:v>
      </x:c>
      <x:c r="L95" s="4" t="str">
        <x:v>ud</x:v>
      </x:c>
      <x:c r="M95" s="4" t="str">
        <x:v>TT10_C05_PC_10</x:v>
      </x:c>
      <x:c r="N95" s="4" t="str">
        <x:v>Dimensiones y mecanizados según plano nativo actualizado.</x:v>
      </x:c>
    </x:row>
    <x:row r="96" ht="36" customHeight="1">
      <x:c r="A96" s="9" t="n">
        <x:v>202</x:v>
      </x:c>
      <x:c r="B96" s="5" t="str">
        <x:v>TT10_D_POSTE_ARMARIO</x:v>
      </x:c>
      <x:c r="C96" s="9" t="n">
        <x:v>1</x:v>
      </x:c>
      <x:c r="D96" s="5" t="str">
        <x:v>Según plano</x:v>
      </x:c>
      <x:c r="E96" s="5" t="str">
        <x:v>ASTM A36</x:v>
      </x:c>
      <x:c r="F96" s="5" t="str">
        <x:v>Soporte de armario</x:v>
      </x:c>
      <x:c r="G96" s="12"/>
      <x:c r="H96" s="12"/>
      <x:c r="I96" s="12"/>
      <x:c r="J96" s="12"/>
      <x:c r="K96" s="12" t="n">
        <x:f t="shared" ref="K96:K103" si="6">C96</x:f>
        <x:v>1</x:v>
      </x:c>
      <x:c r="L96" s="5" t="str">
        <x:v>ud</x:v>
      </x:c>
      <x:c r="M96" s="5" t="str">
        <x:v>TT10_C05_PC_25</x:v>
      </x:c>
      <x:c r="N96" s="5" t="str">
        <x:v>Dimensiones y mecanizados según plano nativo actualizado.</x:v>
      </x:c>
    </x:row>
    <x:row r="97" ht="36" customHeight="1">
      <x:c r="A97" s="8" t="n">
        <x:v>203</x:v>
      </x:c>
      <x:c r="B97" s="4" t="str">
        <x:v>TT10_D_POSTE_BOTONERA</x:v>
      </x:c>
      <x:c r="C97" s="8" t="n">
        <x:v>1</x:v>
      </x:c>
      <x:c r="D97" s="4" t="str">
        <x:v>Según plano</x:v>
      </x:c>
      <x:c r="E97" s="4" t="str">
        <x:v>ASTM A36</x:v>
      </x:c>
      <x:c r="F97" s="4" t="str">
        <x:v>Poste de botonera fuera del plano de giro</x:v>
      </x:c>
      <x:c r="G97" s="11"/>
      <x:c r="H97" s="11"/>
      <x:c r="I97" s="11"/>
      <x:c r="J97" s="11"/>
      <x:c r="K97" s="11" t="n">
        <x:f t="shared" si="6">C97</x:f>
        <x:v>1</x:v>
      </x:c>
      <x:c r="L97" s="4" t="str">
        <x:v>ud</x:v>
      </x:c>
      <x:c r="M97" s="4" t="str">
        <x:v>TT10_C05_PC_25</x:v>
      </x:c>
      <x:c r="N97" s="4" t="str">
        <x:v>Dimensiones y mecanizados según plano nativo actualizado.</x:v>
      </x:c>
    </x:row>
    <x:row r="98" ht="36" customHeight="1">
      <x:c r="A98" s="9" t="n">
        <x:v>204</x:v>
      </x:c>
      <x:c r="B98" s="5" t="str">
        <x:v>TT10_D_POSTE_FRENO_N</x:v>
      </x:c>
      <x:c r="C98" s="9" t="n">
        <x:v>1</x:v>
      </x:c>
      <x:c r="D98" s="5" t="str">
        <x:v>Según plano</x:v>
      </x:c>
      <x:c r="E98" s="5" t="str">
        <x:v>ASTM A36</x:v>
      </x:c>
      <x:c r="F98" s="5" t="str">
        <x:v>Pedestal del freno N</x:v>
      </x:c>
      <x:c r="G98" s="12"/>
      <x:c r="H98" s="12"/>
      <x:c r="I98" s="12"/>
      <x:c r="J98" s="12"/>
      <x:c r="K98" s="12" t="n">
        <x:f t="shared" si="6">C98</x:f>
        <x:v>1</x:v>
      </x:c>
      <x:c r="L98" s="5" t="str">
        <x:v>ud</x:v>
      </x:c>
      <x:c r="M98" s="5" t="str">
        <x:v>TT10_C05_PC_11</x:v>
      </x:c>
      <x:c r="N98" s="5" t="str">
        <x:v>Dimensiones y mecanizados según plano nativo actualizado.</x:v>
      </x:c>
    </x:row>
    <x:row r="99" ht="36" customHeight="1">
      <x:c r="A99" s="8" t="n">
        <x:v>205</x:v>
      </x:c>
      <x:c r="B99" s="4" t="str">
        <x:v>TT10_D_POSTE_FRENO_P</x:v>
      </x:c>
      <x:c r="C99" s="8" t="n">
        <x:v>1</x:v>
      </x:c>
      <x:c r="D99" s="4" t="str">
        <x:v>Según plano</x:v>
      </x:c>
      <x:c r="E99" s="4" t="str">
        <x:v>ASTM A36</x:v>
      </x:c>
      <x:c r="F99" s="4" t="str">
        <x:v>Pedestal del freno P</x:v>
      </x:c>
      <x:c r="G99" s="11"/>
      <x:c r="H99" s="11"/>
      <x:c r="I99" s="11"/>
      <x:c r="J99" s="11"/>
      <x:c r="K99" s="11" t="n">
        <x:f t="shared" si="6">C99</x:f>
        <x:v>1</x:v>
      </x:c>
      <x:c r="L99" s="4" t="str">
        <x:v>ud</x:v>
      </x:c>
      <x:c r="M99" s="4" t="str">
        <x:v>TT10_C05_PC_11</x:v>
      </x:c>
      <x:c r="N99" s="4" t="str">
        <x:v>Dimensiones y mecanizados según plano nativo actualizado.</x:v>
      </x:c>
    </x:row>
    <x:row r="100" ht="36" customHeight="1">
      <x:c r="A100" s="9" t="n">
        <x:v>206</x:v>
      </x:c>
      <x:c r="B100" s="5" t="str">
        <x:v>TT10_D_POSTE_MANDO</x:v>
      </x:c>
      <x:c r="C100" s="9" t="n">
        <x:v>1</x:v>
      </x:c>
      <x:c r="D100" s="5" t="str">
        <x:v>Según plano</x:v>
      </x:c>
      <x:c r="E100" s="5" t="str">
        <x:v>ASTM A36</x:v>
      </x:c>
      <x:c r="F100" s="5" t="str">
        <x:v>Soporte del mando manual fuera del plano del volante</x:v>
      </x:c>
      <x:c r="G100" s="12"/>
      <x:c r="H100" s="12"/>
      <x:c r="I100" s="12"/>
      <x:c r="J100" s="12"/>
      <x:c r="K100" s="12" t="n">
        <x:f t="shared" si="6">C100</x:f>
        <x:v>1</x:v>
      </x:c>
      <x:c r="L100" s="5" t="str">
        <x:v>ud</x:v>
      </x:c>
      <x:c r="M100" s="5" t="str">
        <x:v>TT10_C05_PC_26</x:v>
      </x:c>
      <x:c r="N100" s="5" t="str">
        <x:v>Dimensiones y mecanizados según plano nativo actualizado.</x:v>
      </x:c>
    </x:row>
    <x:row r="101" ht="36" customHeight="1">
      <x:c r="A101" s="8" t="n">
        <x:v>207</x:v>
      </x:c>
      <x:c r="B101" s="4" t="str">
        <x:v>TT10_D_POSTE_RECUP_N</x:v>
      </x:c>
      <x:c r="C101" s="8" t="n">
        <x:v>1</x:v>
      </x:c>
      <x:c r="D101" s="4" t="str">
        <x:v>Según plano</x:v>
      </x:c>
      <x:c r="E101" s="4" t="str">
        <x:v>ASTM A36</x:v>
      </x:c>
      <x:c r="F101" s="4" t="str">
        <x:v>Soporte de manivela y desbloqueo manual N</x:v>
      </x:c>
      <x:c r="G101" s="11"/>
      <x:c r="H101" s="11"/>
      <x:c r="I101" s="11"/>
      <x:c r="J101" s="11"/>
      <x:c r="K101" s="11" t="n">
        <x:f t="shared" si="6">C101</x:f>
        <x:v>1</x:v>
      </x:c>
      <x:c r="L101" s="4" t="str">
        <x:v>ud</x:v>
      </x:c>
      <x:c r="M101" s="4" t="str">
        <x:v>TT10_C05_PC_24</x:v>
      </x:c>
      <x:c r="N101" s="4" t="str">
        <x:v>Dimensiones y mecanizados según plano nativo actualizado.</x:v>
      </x:c>
    </x:row>
    <x:row r="102" ht="36" customHeight="1">
      <x:c r="A102" s="9" t="n">
        <x:v>208</x:v>
      </x:c>
      <x:c r="B102" s="5" t="str">
        <x:v>TT10_D_POSTE_RECUP_P</x:v>
      </x:c>
      <x:c r="C102" s="9" t="n">
        <x:v>1</x:v>
      </x:c>
      <x:c r="D102" s="5" t="str">
        <x:v>Según plano</x:v>
      </x:c>
      <x:c r="E102" s="5" t="str">
        <x:v>ASTM A36</x:v>
      </x:c>
      <x:c r="F102" s="5" t="str">
        <x:v>Soporte de manivela y desbloqueo manual P</x:v>
      </x:c>
      <x:c r="G102" s="12"/>
      <x:c r="H102" s="12"/>
      <x:c r="I102" s="12"/>
      <x:c r="J102" s="12"/>
      <x:c r="K102" s="12" t="n">
        <x:f t="shared" si="6">C102</x:f>
        <x:v>1</x:v>
      </x:c>
      <x:c r="L102" s="5" t="str">
        <x:v>ud</x:v>
      </x:c>
      <x:c r="M102" s="5" t="str">
        <x:v>TT10_C05_PC_24</x:v>
      </x:c>
      <x:c r="N102" s="5" t="str">
        <x:v>Dimensiones y mecanizados según plano nativo actualizado.</x:v>
      </x:c>
    </x:row>
    <x:row r="103" ht="36" customHeight="1">
      <x:c r="A103" s="8" t="n">
        <x:v>212</x:v>
      </x:c>
      <x:c r="B103" s="4" t="str">
        <x:v>TT10_D_ROD_SELECTOR</x:v>
      </x:c>
      <x:c r="C103" s="8" t="n">
        <x:v>1</x:v>
      </x:c>
      <x:c r="D103" s="4" t="str">
        <x:v>Según plano</x:v>
      </x:c>
      <x:c r="E103" s="4" t="str">
        <x:v>ASTM A36</x:v>
      </x:c>
      <x:c r="F103" s="4" t="str">
        <x:v>Eje de conexión geométrica ROD_SELECTOR</x:v>
      </x:c>
      <x:c r="G103" s="11"/>
      <x:c r="H103" s="11"/>
      <x:c r="I103" s="11"/>
      <x:c r="J103" s="11"/>
      <x:c r="K103" s="11" t="n">
        <x:f t="shared" si="6">C103</x:f>
        <x:v>1</x:v>
      </x:c>
      <x:c r="L103" s="4" t="str">
        <x:v>ud</x:v>
      </x:c>
      <x:c r="M103" s="4" t="str">
        <x:v>TT10_C05_PC_26</x:v>
      </x:c>
      <x:c r="N103" s="4" t="str">
        <x:v>Dimensiones y mecanizados según plano nativo actualizado.</x:v>
      </x:c>
    </x:row>
    <x:row r="104" ht="36" customHeight="1">
      <x:c r="A104" s="9" t="n">
        <x:v>216</x:v>
      </x:c>
      <x:c r="B104" s="5" t="str">
        <x:v>TT10_D_SOPORTE_FRENO_N</x:v>
      </x:c>
      <x:c r="C104" s="9" t="n">
        <x:v>1</x:v>
      </x:c>
      <x:c r="D104" s="5" t="str">
        <x:v>Según plano</x:v>
      </x:c>
      <x:c r="E104" s="5" t="str">
        <x:v>ASTM A36</x:v>
      </x:c>
      <x:c r="F104" s="5" t="str">
        <x:v>Placa de montaje de pinza N</x:v>
      </x:c>
      <x:c r="G104" s="12"/>
      <x:c r="H104" s="12"/>
      <x:c r="I104" s="12"/>
      <x:c r="J104" s="12"/>
      <x:c r="K104" s="12" t="n">
        <x:f>C104</x:f>
        <x:v>1</x:v>
      </x:c>
      <x:c r="L104" s="5" t="str">
        <x:v>ud</x:v>
      </x:c>
      <x:c r="M104" s="5" t="str">
        <x:v>TT10_C05_PC_11</x:v>
      </x:c>
      <x:c r="N104" s="5" t="str">
        <x:v>Dimensiones y mecanizados según plano nativo actualizado.</x:v>
      </x:c>
    </x:row>
    <x:row r="105" ht="36" customHeight="1">
      <x:c r="A105" s="8" t="n">
        <x:v>217</x:v>
      </x:c>
      <x:c r="B105" s="4" t="str">
        <x:v>TT10_D_SOPORTE_FRENO_P</x:v>
      </x:c>
      <x:c r="C105" s="8" t="n">
        <x:v>1</x:v>
      </x:c>
      <x:c r="D105" s="4" t="str">
        <x:v>Según plano</x:v>
      </x:c>
      <x:c r="E105" s="4" t="str">
        <x:v>ASTM A36</x:v>
      </x:c>
      <x:c r="F105" s="4" t="str">
        <x:v>Placa de montaje de pinza P</x:v>
      </x:c>
      <x:c r="G105" s="11"/>
      <x:c r="H105" s="11"/>
      <x:c r="I105" s="11"/>
      <x:c r="J105" s="11"/>
      <x:c r="K105" s="11" t="n">
        <x:f>C105</x:f>
        <x:v>1</x:v>
      </x:c>
      <x:c r="L105" s="4" t="str">
        <x:v>ud</x:v>
      </x:c>
      <x:c r="M105" s="4" t="str">
        <x:v>TT10_C05_PC_11</x:v>
      </x:c>
      <x:c r="N105" s="4" t="str">
        <x:v>Dimensiones y mecanizados según plano nativo actualizado.</x:v>
      </x:c>
    </x:row>
    <x:row r="106" ht="36" customHeight="1">
      <x:c r="A106" s="9" t="n">
        <x:v>218</x:v>
      </x:c>
      <x:c r="B106" s="5" t="str">
        <x:v>TT10_F416</x:v>
      </x:c>
      <x:c r="C106" s="9" t="n">
        <x:v>1</x:v>
      </x:c>
      <x:c r="D106" s="5" t="str">
        <x:v>Según plano</x:v>
      </x:c>
      <x:c r="E106" s="5" t="str">
        <x:v>Strenx700E t50; Rp0.2min700MPa</x:v>
      </x:c>
      <x:c r="F106" s="5" t="str">
        <x:v>Placa base 600 x 500 x 50; 8 agujeros Ø40, centros X ±220, Y ±150 y ±50</x:v>
      </x:c>
      <x:c r="G106" s="12"/>
      <x:c r="H106" s="12"/>
      <x:c r="I106" s="12"/>
      <x:c r="J106" s="12"/>
      <x:c r="K106" s="12" t="n">
        <x:f>C106</x:f>
        <x:v>1</x:v>
      </x:c>
      <x:c r="L106" s="5" t="str">
        <x:v>ud</x:v>
      </x:c>
      <x:c r="M106" s="5" t="str">
        <x:v>TT10_C05_PC_03</x:v>
      </x:c>
      <x:c r="N106" s="5" t="str">
        <x:v>Dimensiones y mecanizados según plano nativo actualizado.</x:v>
      </x:c>
    </x:row>
    <x:row r="107" ht="36" customHeight="1">
      <x:c r="A107" s="8" t="n">
        <x:v>219</x:v>
      </x:c>
      <x:c r="B107" s="4" t="str">
        <x:v>TT10_F426</x:v>
      </x:c>
      <x:c r="C107" s="8" t="n">
        <x:v>1</x:v>
      </x:c>
      <x:c r="D107" s="4" t="str">
        <x:v>Según plano</x:v>
      </x:c>
      <x:c r="E107" s="4" t="str">
        <x:v>ASTM A36</x:v>
      </x:c>
      <x:c r="F107" s="4" t="str">
        <x:v>Tope inclinado: cara inferior mecanizada para asiento horizontal</x:v>
      </x:c>
      <x:c r="G107" s="11"/>
      <x:c r="H107" s="11"/>
      <x:c r="I107" s="11"/>
      <x:c r="J107" s="11"/>
      <x:c r="K107" s="11" t="n">
        <x:f>C107</x:f>
        <x:v>1</x:v>
      </x:c>
      <x:c r="L107" s="4" t="str">
        <x:v>ud</x:v>
      </x:c>
      <x:c r="M107" s="4" t="str">
        <x:v>TT10_C05_PC_03</x:v>
      </x:c>
      <x:c r="N107" s="4" t="str">
        <x:v>Dimensiones y mecanizados según plano nativo actualizado.</x:v>
      </x:c>
    </x:row>
    <x:row r="108" ht="36" customHeight="1">
      <x:c r="A108" s="9" t="n">
        <x:v>220</x:v>
      </x:c>
      <x:c r="B108" s="5" t="str">
        <x:v>TT10_F431</x:v>
      </x:c>
      <x:c r="C108" s="9" t="n">
        <x:v>1</x:v>
      </x:c>
      <x:c r="D108" s="5" t="str">
        <x:v>Según plano</x:v>
      </x:c>
      <x:c r="E108" s="5" t="str">
        <x:v>ASTM A36</x:v>
      </x:c>
      <x:c r="F108" s="5" t="str">
        <x:v>Pieza TT10_F431</x:v>
      </x:c>
      <x:c r="G108" s="12"/>
      <x:c r="H108" s="12"/>
      <x:c r="I108" s="12"/>
      <x:c r="J108" s="12"/>
      <x:c r="K108" s="12" t="n">
        <x:f>C108</x:f>
        <x:v>1</x:v>
      </x:c>
      <x:c r="L108" s="5" t="str">
        <x:v>ud</x:v>
      </x:c>
      <x:c r="M108" s="5" t="str">
        <x:v>TT10_C05_PC_02</x:v>
      </x:c>
      <x:c r="N108" s="5" t="str">
        <x:v>Dimensiones y mecanizados según plano nativo actualizado.</x:v>
      </x:c>
    </x:row>
    <x:row r="109" ht="36" customHeight="1">
      <x:c r="A109" s="8" t="n">
        <x:v>221</x:v>
      </x:c>
      <x:c r="B109" s="4" t="str">
        <x:v>TT10_F441</x:v>
      </x:c>
      <x:c r="C109" s="8" t="n">
        <x:v>1</x:v>
      </x:c>
      <x:c r="D109" s="4" t="str">
        <x:v>Según plano</x:v>
      </x:c>
      <x:c r="E109" s="4" t="str">
        <x:v>ASTM A36</x:v>
      </x:c>
      <x:c r="F109" s="4" t="str">
        <x:v>Placa80 con cuatro roscas M30 ciegas60, paso540x140; pernos desde arriba</x:v>
      </x:c>
      <x:c r="G109" s="11"/>
      <x:c r="H109" s="11"/>
      <x:c r="I109" s="11"/>
      <x:c r="J109" s="11"/>
      <x:c r="K109" s="11" t="n">
        <x:f>C109</x:f>
        <x:v>1</x:v>
      </x:c>
      <x:c r="L109" s="4" t="str">
        <x:v>ud</x:v>
      </x:c>
      <x:c r="M109" s="4" t="str">
        <x:v>TT10_C05_PC_02</x:v>
      </x:c>
      <x:c r="N109" s="4" t="str">
        <x:v>Dimensiones y mecanizados según plano nativo actualizado.</x:v>
      </x:c>
    </x:row>
    <x:row r="110" ht="36" customHeight="1">
      <x:c r="A110" s="9" t="n">
        <x:v>222</x:v>
      </x:c>
      <x:c r="B110" s="5" t="str">
        <x:v>TT10_F446</x:v>
      </x:c>
      <x:c r="C110" s="9" t="n">
        <x:v>1</x:v>
      </x:c>
      <x:c r="D110" s="5" t="str">
        <x:v>Según plano</x:v>
      </x:c>
      <x:c r="E110" s="5" t="str">
        <x:v>ASTM A36</x:v>
      </x:c>
      <x:c r="F110" s="5" t="str">
        <x:v>Placa80 con cuatro roscas M30 ciegas60, paso540x140; pernos desde arriba</x:v>
      </x:c>
      <x:c r="G110" s="12"/>
      <x:c r="H110" s="12"/>
      <x:c r="I110" s="12"/>
      <x:c r="J110" s="12"/>
      <x:c r="K110" s="12" t="n">
        <x:f>C110</x:f>
        <x:v>1</x:v>
      </x:c>
      <x:c r="L110" s="5" t="str">
        <x:v>ud</x:v>
      </x:c>
      <x:c r="M110" s="5" t="str">
        <x:v>TT10_C05_PC_02</x:v>
      </x:c>
      <x:c r="N110" s="5" t="str">
        <x:v>Dimensiones y mecanizados según plano nativo actualizado.</x:v>
      </x:c>
    </x:row>
    <x:row r="111" ht="36" customHeight="1">
      <x:c r="A111" s="8" t="n">
        <x:v>225</x:v>
      </x:c>
      <x:c r="B111" s="4" t="str">
        <x:v>TT10_F471</x:v>
      </x:c>
      <x:c r="C111" s="8" t="n">
        <x:v>1</x:v>
      </x:c>
      <x:c r="D111" s="4" t="str">
        <x:v>Según plano</x:v>
      </x:c>
      <x:c r="E111" s="4" t="str">
        <x:v>S275J0H / EN 10219-1</x:v>
      </x:c>
      <x:c r="F111" s="4" t="str">
        <x:v>Perfil tubular 350 x 200 x 12; L 6300</x:v>
      </x:c>
      <x:c r="G111" s="11"/>
      <x:c r="H111" s="11"/>
      <x:c r="I111" s="11"/>
      <x:c r="J111" s="11"/>
      <x:c r="K111" s="11" t="n">
        <x:f>C111</x:f>
        <x:v>1</x:v>
      </x:c>
      <x:c r="L111" s="4" t="str">
        <x:v>ud</x:v>
      </x:c>
      <x:c r="M111" s="4" t="str">
        <x:v>TT10_C05_PC_02</x:v>
      </x:c>
      <x:c r="N111" s="4" t="str">
        <x:v>Dimensiones y mecanizados según plano nativo actualizado.</x:v>
      </x:c>
    </x:row>
    <x:row r="112" ht="36" customHeight="1">
      <x:c r="A112" s="9" t="n">
        <x:v>226</x:v>
      </x:c>
      <x:c r="B112" s="5" t="str">
        <x:v>TT10_F476</x:v>
      </x:c>
      <x:c r="C112" s="9" t="n">
        <x:v>1</x:v>
      </x:c>
      <x:c r="D112" s="5" t="str">
        <x:v>Según plano</x:v>
      </x:c>
      <x:c r="E112" s="5" t="str">
        <x:v>S275J0H / EN 10219-1</x:v>
      </x:c>
      <x:c r="F112" s="5" t="str">
        <x:v>Perfil tubular 350 x 200 x 12; L 6300</x:v>
      </x:c>
      <x:c r="G112" s="12"/>
      <x:c r="H112" s="12"/>
      <x:c r="I112" s="12"/>
      <x:c r="J112" s="12"/>
      <x:c r="K112" s="12" t="n">
        <x:f>C112</x:f>
        <x:v>1</x:v>
      </x:c>
      <x:c r="L112" s="5" t="str">
        <x:v>ud</x:v>
      </x:c>
      <x:c r="M112" s="5" t="str">
        <x:v>TT10_C05_PC_02</x:v>
      </x:c>
      <x:c r="N112" s="5" t="str">
        <x:v>Dimensiones y mecanizados según plano nativo actualizado.</x:v>
      </x:c>
    </x:row>
    <x:row r="113" ht="36" customHeight="1">
      <x:c r="A113" s="8" t="n">
        <x:v>227</x:v>
      </x:c>
      <x:c r="B113" s="4" t="str">
        <x:v>TT10_F481</x:v>
      </x:c>
      <x:c r="C113" s="8" t="n">
        <x:v>1</x:v>
      </x:c>
      <x:c r="D113" s="4" t="str">
        <x:v>Según plano</x:v>
      </x:c>
      <x:c r="E113" s="4" t="str">
        <x:v>ASTM A36</x:v>
      </x:c>
      <x:c r="F113" s="4" t="str">
        <x:v>Pieza TT10_F481</x:v>
      </x:c>
      <x:c r="G113" s="11"/>
      <x:c r="H113" s="11"/>
      <x:c r="I113" s="11"/>
      <x:c r="J113" s="11"/>
      <x:c r="K113" s="11" t="n">
        <x:f>C113</x:f>
        <x:v>1</x:v>
      </x:c>
      <x:c r="L113" s="4" t="str">
        <x:v>ud</x:v>
      </x:c>
      <x:c r="M113" s="4" t="str">
        <x:v>TT10_C05_PC_02</x:v>
      </x:c>
      <x:c r="N113" s="4" t="str">
        <x:v>Dimensiones y mecanizados según plano nativo actualizado.</x:v>
      </x:c>
    </x:row>
    <x:row r="114" ht="36" customHeight="1">
      <x:c r="A114" s="9" t="n">
        <x:v>228</x:v>
      </x:c>
      <x:c r="B114" s="5" t="str">
        <x:v>TT10_F486</x:v>
      </x:c>
      <x:c r="C114" s="9" t="n">
        <x:v>1</x:v>
      </x:c>
      <x:c r="D114" s="5" t="str">
        <x:v>Según plano</x:v>
      </x:c>
      <x:c r="E114" s="5" t="str">
        <x:v>Strenx700E t40; Rp0.2min700MPa</x:v>
      </x:c>
      <x:c r="F114" s="5" t="str">
        <x:v>Oreja fija 400 x 250 x 40; agujero Ø65 H8; Strenx 700E</x:v>
      </x:c>
      <x:c r="G114" s="12"/>
      <x:c r="H114" s="12"/>
      <x:c r="I114" s="12"/>
      <x:c r="J114" s="12"/>
      <x:c r="K114" s="12" t="n">
        <x:f>C114</x:f>
        <x:v>1</x:v>
      </x:c>
      <x:c r="L114" s="5" t="str">
        <x:v>ud</x:v>
      </x:c>
      <x:c r="M114" s="5" t="str">
        <x:v>TT10_C05_PC_03</x:v>
      </x:c>
      <x:c r="N114" s="5" t="str">
        <x:v>Dimensiones y mecanizados según plano nativo actualizado.</x:v>
      </x:c>
    </x:row>
    <x:row r="115" ht="36" customHeight="1">
      <x:c r="A115" s="8" t="n">
        <x:v>230</x:v>
      </x:c>
      <x:c r="B115" s="4" t="str">
        <x:v>TT10_F501</x:v>
      </x:c>
      <x:c r="C115" s="8" t="n">
        <x:v>1</x:v>
      </x:c>
      <x:c r="D115" s="4" t="str">
        <x:v>Según plano</x:v>
      </x:c>
      <x:c r="E115" s="4" t="str">
        <x:v>Strenx700E t40; Rp0.2min700MPa</x:v>
      </x:c>
      <x:c r="F115" s="4" t="str">
        <x:v>Oreja fija 400 x 250 x 40; agujero Ø65 H8; Strenx 700E</x:v>
      </x:c>
      <x:c r="G115" s="11"/>
      <x:c r="H115" s="11"/>
      <x:c r="I115" s="11"/>
      <x:c r="J115" s="11"/>
      <x:c r="K115" s="11" t="n">
        <x:f>C115</x:f>
        <x:v>1</x:v>
      </x:c>
      <x:c r="L115" s="4" t="str">
        <x:v>ud</x:v>
      </x:c>
      <x:c r="M115" s="4" t="str">
        <x:v>TT10_C05_PC_03</x:v>
      </x:c>
      <x:c r="N115" s="4" t="str">
        <x:v>Dimensiones y mecanizados según plano nativo actualizado.</x:v>
      </x:c>
    </x:row>
    <x:row r="116" ht="36" customHeight="1">
      <x:c r="A116" s="9" t="n">
        <x:v>231</x:v>
      </x:c>
      <x:c r="B116" s="5" t="str">
        <x:v>TT10_F506</x:v>
      </x:c>
      <x:c r="C116" s="9" t="n">
        <x:v>1</x:v>
      </x:c>
      <x:c r="D116" s="5" t="str">
        <x:v>Según plano</x:v>
      </x:c>
      <x:c r="E116" s="5" t="str">
        <x:v>Strenx700E t20; Rp0.2min700MPa</x:v>
      </x:c>
      <x:c r="F116" s="5" t="str">
        <x:v>Poste independiente cajón 300 x 200 x 2395, t20; 2 diafragmas 260 x 160 x 20</x:v>
      </x:c>
      <x:c r="G116" s="12"/>
      <x:c r="H116" s="12"/>
      <x:c r="I116" s="12"/>
      <x:c r="J116" s="12"/>
      <x:c r="K116" s="12" t="n">
        <x:f>C116</x:f>
        <x:v>1</x:v>
      </x:c>
      <x:c r="L116" s="5" t="str">
        <x:v>ud</x:v>
      </x:c>
      <x:c r="M116" s="5" t="str">
        <x:v>TT10_C05_PC_02</x:v>
      </x:c>
      <x:c r="N116" s="5" t="str">
        <x:v>Despiece de chapas en pestaña Chapas cajones.</x:v>
      </x:c>
    </x:row>
    <x:row r="117" ht="36" customHeight="1">
      <x:c r="A117" s="8" t="n">
        <x:v>232</x:v>
      </x:c>
      <x:c r="B117" s="4" t="str">
        <x:v>TT10_F511</x:v>
      </x:c>
      <x:c r="C117" s="8" t="n">
        <x:v>1</x:v>
      </x:c>
      <x:c r="D117" s="4" t="str">
        <x:v>Según plano</x:v>
      </x:c>
      <x:c r="E117" s="4" t="str">
        <x:v>ASTM A36</x:v>
      </x:c>
      <x:c r="F117" s="4" t="str">
        <x:v>Pieza TT10_F511</x:v>
      </x:c>
      <x:c r="G117" s="11"/>
      <x:c r="H117" s="11"/>
      <x:c r="I117" s="11"/>
      <x:c r="J117" s="11"/>
      <x:c r="K117" s="11" t="n">
        <x:f>C117</x:f>
        <x:v>1</x:v>
      </x:c>
      <x:c r="L117" s="4" t="str">
        <x:v>ud</x:v>
      </x:c>
      <x:c r="M117" s="4" t="str">
        <x:v>TT10_C05_PC_02</x:v>
      </x:c>
      <x:c r="N117" s="4" t="str">
        <x:v>Dimensiones y mecanizados según plano nativo actualizado.</x:v>
      </x:c>
    </x:row>
    <x:row r="118" ht="36" customHeight="1">
      <x:c r="A118" s="9" t="n">
        <x:v>233</x:v>
      </x:c>
      <x:c r="B118" s="5" t="str">
        <x:v>TT10_F516</x:v>
      </x:c>
      <x:c r="C118" s="9" t="n">
        <x:v>1</x:v>
      </x:c>
      <x:c r="D118" s="5" t="str">
        <x:v>Según plano</x:v>
      </x:c>
      <x:c r="E118" s="5" t="str">
        <x:v>ASTM A36</x:v>
      </x:c>
      <x:c r="F118" s="5" t="str">
        <x:v>Pieza TT10_F516</x:v>
      </x:c>
      <x:c r="G118" s="12"/>
      <x:c r="H118" s="12"/>
      <x:c r="I118" s="12"/>
      <x:c r="J118" s="12"/>
      <x:c r="K118" s="12" t="n">
        <x:f>C118</x:f>
        <x:v>1</x:v>
      </x:c>
      <x:c r="L118" s="5" t="str">
        <x:v>ud</x:v>
      </x:c>
      <x:c r="M118" s="5" t="str">
        <x:v>TT10_C05_PC_02</x:v>
      </x:c>
      <x:c r="N118" s="5" t="str">
        <x:v>Dimensiones y mecanizados según plano nativo actualizado.</x:v>
      </x:c>
    </x:row>
    <x:row r="119" ht="36" customHeight="1">
      <x:c r="A119" s="8" t="n">
        <x:v>234</x:v>
      </x:c>
      <x:c r="B119" s="4" t="str">
        <x:v>TT10_F521</x:v>
      </x:c>
      <x:c r="C119" s="8" t="n">
        <x:v>1</x:v>
      </x:c>
      <x:c r="D119" s="4" t="str">
        <x:v>Según plano</x:v>
      </x:c>
      <x:c r="E119" s="4" t="str">
        <x:v>ASTM A36</x:v>
      </x:c>
      <x:c r="F119" s="4" t="str">
        <x:v>Columna accionamiento apoyada sobre placa base</x:v>
      </x:c>
      <x:c r="G119" s="11"/>
      <x:c r="H119" s="11"/>
      <x:c r="I119" s="11"/>
      <x:c r="J119" s="11"/>
      <x:c r="K119" s="11" t="n">
        <x:f>C119</x:f>
        <x:v>1</x:v>
      </x:c>
      <x:c r="L119" s="4" t="str">
        <x:v>ud</x:v>
      </x:c>
      <x:c r="M119" s="4" t="str">
        <x:v>TT10_C05_PC_10</x:v>
      </x:c>
      <x:c r="N119" s="4" t="str">
        <x:v>Dimensiones y mecanizados según plano nativo actualizado.</x:v>
      </x:c>
    </x:row>
    <x:row r="120" ht="36" customHeight="1">
      <x:c r="A120" s="9" t="n">
        <x:v>235</x:v>
      </x:c>
      <x:c r="B120" s="5" t="str">
        <x:v>TT10_F526</x:v>
      </x:c>
      <x:c r="C120" s="9" t="n">
        <x:v>1</x:v>
      </x:c>
      <x:c r="D120" s="5" t="str">
        <x:v>Según plano</x:v>
      </x:c>
      <x:c r="E120" s="5" t="str">
        <x:v>S275J0H / EN 10219-1</x:v>
      </x:c>
      <x:c r="F120" s="5" t="str">
        <x:v>Perfil tubular 350 x 300 x 12; L 4800</x:v>
      </x:c>
      <x:c r="G120" s="12"/>
      <x:c r="H120" s="12"/>
      <x:c r="I120" s="12"/>
      <x:c r="J120" s="12"/>
      <x:c r="K120" s="12" t="n">
        <x:f>C120</x:f>
        <x:v>1</x:v>
      </x:c>
      <x:c r="L120" s="5" t="str">
        <x:v>ud</x:v>
      </x:c>
      <x:c r="M120" s="5" t="str">
        <x:v>TT10_C05_PC_02</x:v>
      </x:c>
      <x:c r="N120" s="5" t="str">
        <x:v>Dimensiones y mecanizados según plano nativo actualizado.</x:v>
      </x:c>
    </x:row>
    <x:row r="121" ht="36" customHeight="1">
      <x:c r="A121" s="8" t="n">
        <x:v>236</x:v>
      </x:c>
      <x:c r="B121" s="4" t="str">
        <x:v>TT10_F531</x:v>
      </x:c>
      <x:c r="C121" s="8" t="n">
        <x:v>1</x:v>
      </x:c>
      <x:c r="D121" s="4" t="str">
        <x:v>Según plano</x:v>
      </x:c>
      <x:c r="E121" s="4" t="str">
        <x:v>S275J0H / EN 10219-1</x:v>
      </x:c>
      <x:c r="F121" s="4" t="str">
        <x:v>Perfil tubular 350 x 300 x 12; L 4800</x:v>
      </x:c>
      <x:c r="G121" s="11"/>
      <x:c r="H121" s="11"/>
      <x:c r="I121" s="11"/>
      <x:c r="J121" s="11"/>
      <x:c r="K121" s="11" t="n">
        <x:f>C121</x:f>
        <x:v>1</x:v>
      </x:c>
      <x:c r="L121" s="4" t="str">
        <x:v>ud</x:v>
      </x:c>
      <x:c r="M121" s="4" t="str">
        <x:v>TT10_C05_PC_02</x:v>
      </x:c>
      <x:c r="N121" s="4" t="str">
        <x:v>Dimensiones y mecanizados según plano nativo actualizado.</x:v>
      </x:c>
    </x:row>
    <x:row r="122" ht="36" customHeight="1">
      <x:c r="A122" s="9" t="n">
        <x:v>237</x:v>
      </x:c>
      <x:c r="B122" s="5" t="str">
        <x:v>TT10_F536</x:v>
      </x:c>
      <x:c r="C122" s="9" t="n">
        <x:v>1</x:v>
      </x:c>
      <x:c r="D122" s="5" t="str">
        <x:v>Según plano</x:v>
      </x:c>
      <x:c r="E122" s="5" t="str">
        <x:v>ASTM A36</x:v>
      </x:c>
      <x:c r="F122" s="5" t="str">
        <x:v>Soporte tope terminado en cara interior de columna</x:v>
      </x:c>
      <x:c r="G122" s="12"/>
      <x:c r="H122" s="12"/>
      <x:c r="I122" s="12"/>
      <x:c r="J122" s="12"/>
      <x:c r="K122" s="12" t="n">
        <x:f>C122</x:f>
        <x:v>1</x:v>
      </x:c>
      <x:c r="L122" s="5" t="str">
        <x:v>ud</x:v>
      </x:c>
      <x:c r="M122" s="5" t="str">
        <x:v>TT10_C05_PC_03</x:v>
      </x:c>
      <x:c r="N122" s="5" t="str">
        <x:v>Dimensiones y mecanizados según plano nativo actualizado.</x:v>
      </x:c>
    </x:row>
    <x:row r="123" ht="36" customHeight="1">
      <x:c r="A123" s="8" t="n">
        <x:v>238</x:v>
      </x:c>
      <x:c r="B123" s="4" t="str">
        <x:v>TT10_F541</x:v>
      </x:c>
      <x:c r="C123" s="8" t="n">
        <x:v>1</x:v>
      </x:c>
      <x:c r="D123" s="4" t="str">
        <x:v>Según plano</x:v>
      </x:c>
      <x:c r="E123" s="4" t="str">
        <x:v>S275J0H / EN 10219-1</x:v>
      </x:c>
      <x:c r="F123" s="4" t="str">
        <x:v>Diagonal CHS168.3x10 con cortes de asiento; sin penetrar columnas ni placas</x:v>
      </x:c>
      <x:c r="G123" s="11"/>
      <x:c r="H123" s="11"/>
      <x:c r="I123" s="11"/>
      <x:c r="J123" s="11"/>
      <x:c r="K123" s="11" t="n">
        <x:f>C123</x:f>
        <x:v>1</x:v>
      </x:c>
      <x:c r="L123" s="4" t="str">
        <x:v>ud</x:v>
      </x:c>
      <x:c r="M123" s="4" t="str">
        <x:v>TT10_C05_PC_02</x:v>
      </x:c>
      <x:c r="N123" s="4" t="str">
        <x:v>Dimensiones y mecanizados según plano nativo actualizado.</x:v>
      </x:c>
    </x:row>
    <x:row r="124" ht="36" customHeight="1">
      <x:c r="A124" s="9" t="n">
        <x:v>239</x:v>
      </x:c>
      <x:c r="B124" s="5" t="str">
        <x:v>TT10_F546</x:v>
      </x:c>
      <x:c r="C124" s="9" t="n">
        <x:v>1</x:v>
      </x:c>
      <x:c r="D124" s="5" t="str">
        <x:v>Según plano</x:v>
      </x:c>
      <x:c r="E124" s="5" t="str">
        <x:v>S275J0H / EN 10219-1</x:v>
      </x:c>
      <x:c r="F124" s="5" t="str">
        <x:v>Puente RHS200x150x10 L1005; fuera del plano de las diagonales</x:v>
      </x:c>
      <x:c r="G124" s="12"/>
      <x:c r="H124" s="12"/>
      <x:c r="I124" s="12"/>
      <x:c r="J124" s="12"/>
      <x:c r="K124" s="12" t="n">
        <x:f>C124</x:f>
        <x:v>1</x:v>
      </x:c>
      <x:c r="L124" s="5" t="str">
        <x:v>ud</x:v>
      </x:c>
      <x:c r="M124" s="5" t="str">
        <x:v>TT10_C05_PC_02</x:v>
      </x:c>
      <x:c r="N124" s="5" t="str">
        <x:v>Dimensiones y mecanizados según plano nativo actualizado.</x:v>
      </x:c>
    </x:row>
    <x:row r="125" ht="36" customHeight="1">
      <x:c r="A125" s="8" t="n">
        <x:v>241</x:v>
      </x:c>
      <x:c r="B125" s="4" t="str">
        <x:v>TT10_F556</x:v>
      </x:c>
      <x:c r="C125" s="8" t="n">
        <x:v>1</x:v>
      </x:c>
      <x:c r="D125" s="4" t="str">
        <x:v>Según plano</x:v>
      </x:c>
      <x:c r="E125" s="4" t="str">
        <x:v>ASTM A36</x:v>
      </x:c>
      <x:c r="F125" s="4" t="str">
        <x:v>Soporte tope terminado en cara interior de columna</x:v>
      </x:c>
      <x:c r="G125" s="11"/>
      <x:c r="H125" s="11"/>
      <x:c r="I125" s="11"/>
      <x:c r="J125" s="11"/>
      <x:c r="K125" s="11" t="n">
        <x:f>C125</x:f>
        <x:v>1</x:v>
      </x:c>
      <x:c r="L125" s="4" t="str">
        <x:v>ud</x:v>
      </x:c>
      <x:c r="M125" s="4" t="str">
        <x:v>TT10_C05_PC_03</x:v>
      </x:c>
      <x:c r="N125" s="4" t="str">
        <x:v>Dimensiones y mecanizados según plano nativo actualizado.</x:v>
      </x:c>
    </x:row>
    <x:row r="126" ht="36" customHeight="1">
      <x:c r="A126" s="9" t="n">
        <x:v>242</x:v>
      </x:c>
      <x:c r="B126" s="5" t="str">
        <x:v>TT10_F561</x:v>
      </x:c>
      <x:c r="C126" s="9" t="n">
        <x:v>1</x:v>
      </x:c>
      <x:c r="D126" s="5" t="str">
        <x:v>Según plano</x:v>
      </x:c>
      <x:c r="E126" s="5" t="str">
        <x:v>ASTM A36</x:v>
      </x:c>
      <x:c r="F126" s="5" t="str">
        <x:v>Pieza TT10_F561</x:v>
      </x:c>
      <x:c r="G126" s="12"/>
      <x:c r="H126" s="12"/>
      <x:c r="I126" s="12"/>
      <x:c r="J126" s="12"/>
      <x:c r="K126" s="12" t="n">
        <x:f>C126</x:f>
        <x:v>1</x:v>
      </x:c>
      <x:c r="L126" s="5" t="str">
        <x:v>ud</x:v>
      </x:c>
      <x:c r="M126" s="5" t="str">
        <x:v>TT10_C05_PC_02</x:v>
      </x:c>
      <x:c r="N126" s="5" t="str">
        <x:v>Dimensiones y mecanizados según plano nativo actualizado.</x:v>
      </x:c>
    </x:row>
    <x:row r="127" ht="36" customHeight="1">
      <x:c r="A127" s="8" t="n">
        <x:v>243</x:v>
      </x:c>
      <x:c r="B127" s="4" t="str">
        <x:v>TT10_F566</x:v>
      </x:c>
      <x:c r="C127" s="8" t="n">
        <x:v>1</x:v>
      </x:c>
      <x:c r="D127" s="4" t="str">
        <x:v>Según plano</x:v>
      </x:c>
      <x:c r="E127" s="4" t="str">
        <x:v>ASTM A36</x:v>
      </x:c>
      <x:c r="F127" s="4" t="str">
        <x:v>Pieza TT10_F566</x:v>
      </x:c>
      <x:c r="G127" s="11"/>
      <x:c r="H127" s="11"/>
      <x:c r="I127" s="11"/>
      <x:c r="J127" s="11"/>
      <x:c r="K127" s="11" t="n">
        <x:f>C127</x:f>
        <x:v>1</x:v>
      </x:c>
      <x:c r="L127" s="4" t="str">
        <x:v>ud</x:v>
      </x:c>
      <x:c r="M127" s="4" t="str">
        <x:v>TT10_C05_PC_02</x:v>
      </x:c>
      <x:c r="N127" s="4" t="str">
        <x:v>Dimensiones y mecanizados según plano nativo actualizado.</x:v>
      </x:c>
    </x:row>
    <x:row r="128" ht="36" customHeight="1">
      <x:c r="A128" s="9" t="n">
        <x:v>244</x:v>
      </x:c>
      <x:c r="B128" s="5" t="str">
        <x:v>TT10_F571</x:v>
      </x:c>
      <x:c r="C128" s="9" t="n">
        <x:v>1</x:v>
      </x:c>
      <x:c r="D128" s="5" t="str">
        <x:v>Según plano</x:v>
      </x:c>
      <x:c r="E128" s="5" t="str">
        <x:v>ASTM A36</x:v>
      </x:c>
      <x:c r="F128" s="5" t="str">
        <x:v>Pieza TT10_F571</x:v>
      </x:c>
      <x:c r="G128" s="12"/>
      <x:c r="H128" s="12"/>
      <x:c r="I128" s="12"/>
      <x:c r="J128" s="12"/>
      <x:c r="K128" s="12" t="n">
        <x:f>C128</x:f>
        <x:v>1</x:v>
      </x:c>
      <x:c r="L128" s="5" t="str">
        <x:v>ud</x:v>
      </x:c>
      <x:c r="M128" s="5" t="str">
        <x:v>TT10_C05_PC_02</x:v>
      </x:c>
      <x:c r="N128" s="5" t="str">
        <x:v>Dimensiones y mecanizados según plano nativo actualizado.</x:v>
      </x:c>
    </x:row>
    <x:row r="129" ht="36" customHeight="1">
      <x:c r="A129" s="8" t="n">
        <x:v>245</x:v>
      </x:c>
      <x:c r="B129" s="4" t="str">
        <x:v>TT10_F576</x:v>
      </x:c>
      <x:c r="C129" s="8" t="n">
        <x:v>1</x:v>
      </x:c>
      <x:c r="D129" s="4" t="str">
        <x:v>Según plano</x:v>
      </x:c>
      <x:c r="E129" s="4" t="str">
        <x:v>Strenx700E t40; Rp0.2min700MPa</x:v>
      </x:c>
      <x:c r="F129" s="4" t="str">
        <x:v>Oreja fija 400 x 250 x 40; agujero Ø65 H8; Strenx 700E</x:v>
      </x:c>
      <x:c r="G129" s="11"/>
      <x:c r="H129" s="11"/>
      <x:c r="I129" s="11"/>
      <x:c r="J129" s="11"/>
      <x:c r="K129" s="11" t="n">
        <x:f>C129</x:f>
        <x:v>1</x:v>
      </x:c>
      <x:c r="L129" s="4" t="str">
        <x:v>ud</x:v>
      </x:c>
      <x:c r="M129" s="4" t="str">
        <x:v>TT10_C05_PC_03</x:v>
      </x:c>
      <x:c r="N129" s="4" t="str">
        <x:v>Dimensiones y mecanizados según plano nativo actualizado.</x:v>
      </x:c>
    </x:row>
    <x:row r="130" ht="36" customHeight="1">
      <x:c r="A130" s="9" t="n">
        <x:v>246</x:v>
      </x:c>
      <x:c r="B130" s="5" t="str">
        <x:v>TT10_F581</x:v>
      </x:c>
      <x:c r="C130" s="9" t="n">
        <x:v>1</x:v>
      </x:c>
      <x:c r="D130" s="5" t="str">
        <x:v>Según plano</x:v>
      </x:c>
      <x:c r="E130" s="5" t="str">
        <x:v>S275J0H / EN 10219-1</x:v>
      </x:c>
      <x:c r="F130" s="5" t="str">
        <x:v>Diagonal CHS168.3x10 con cortes de asiento; sin penetrar columnas ni placas</x:v>
      </x:c>
      <x:c r="G130" s="12"/>
      <x:c r="H130" s="12"/>
      <x:c r="I130" s="12"/>
      <x:c r="J130" s="12"/>
      <x:c r="K130" s="12" t="n">
        <x:f>C130</x:f>
        <x:v>1</x:v>
      </x:c>
      <x:c r="L130" s="5" t="str">
        <x:v>ud</x:v>
      </x:c>
      <x:c r="M130" s="5" t="str">
        <x:v>TT10_C05_PC_02</x:v>
      </x:c>
      <x:c r="N130" s="5" t="str">
        <x:v>Dimensiones y mecanizados según plano nativo actualizado.</x:v>
      </x:c>
    </x:row>
    <x:row r="131" ht="36" customHeight="1">
      <x:c r="A131" s="8" t="n">
        <x:v>247</x:v>
      </x:c>
      <x:c r="B131" s="4" t="str">
        <x:v>TT10_F586</x:v>
      </x:c>
      <x:c r="C131" s="8" t="n">
        <x:v>1</x:v>
      </x:c>
      <x:c r="D131" s="4" t="str">
        <x:v>Según plano</x:v>
      </x:c>
      <x:c r="E131" s="4" t="str">
        <x:v>Strenx700E t40; Rp0.2min700MPa</x:v>
      </x:c>
      <x:c r="F131" s="4" t="str">
        <x:v>Oreja fija 400 x 250 x 40; agujero Ø65 H8; Strenx 700E</x:v>
      </x:c>
      <x:c r="G131" s="11"/>
      <x:c r="H131" s="11"/>
      <x:c r="I131" s="11"/>
      <x:c r="J131" s="11"/>
      <x:c r="K131" s="11" t="n">
        <x:f>C131</x:f>
        <x:v>1</x:v>
      </x:c>
      <x:c r="L131" s="4" t="str">
        <x:v>ud</x:v>
      </x:c>
      <x:c r="M131" s="4" t="str">
        <x:v>TT10_C05_PC_03</x:v>
      </x:c>
      <x:c r="N131" s="4" t="str">
        <x:v>Dimensiones y mecanizados según plano nativo actualizado.</x:v>
      </x:c>
    </x:row>
    <x:row r="132" ht="36" customHeight="1">
      <x:c r="A132" s="9" t="n">
        <x:v>248</x:v>
      </x:c>
      <x:c r="B132" s="5" t="str">
        <x:v>TT10_F591</x:v>
      </x:c>
      <x:c r="C132" s="9" t="n">
        <x:v>1</x:v>
      </x:c>
      <x:c r="D132" s="5" t="str">
        <x:v>Según plano</x:v>
      </x:c>
      <x:c r="E132" s="5" t="str">
        <x:v>Strenx700E t50; Rp0.2min700MPa</x:v>
      </x:c>
      <x:c r="F132" s="5" t="str">
        <x:v>Placa base 600 x 500 x 50; 8 agujeros Ø40, centros X ±220, Y ±150 y ±50</x:v>
      </x:c>
      <x:c r="G132" s="12"/>
      <x:c r="H132" s="12"/>
      <x:c r="I132" s="12"/>
      <x:c r="J132" s="12"/>
      <x:c r="K132" s="12" t="n">
        <x:f>C132</x:f>
        <x:v>1</x:v>
      </x:c>
      <x:c r="L132" s="5" t="str">
        <x:v>ud</x:v>
      </x:c>
      <x:c r="M132" s="5" t="str">
        <x:v>TT10_C05_PC_03</x:v>
      </x:c>
      <x:c r="N132" s="5" t="str">
        <x:v>Dimensiones y mecanizados según plano nativo actualizado.</x:v>
      </x:c>
    </x:row>
    <x:row r="133" ht="36" customHeight="1">
      <x:c r="A133" s="8" t="n">
        <x:v>249</x:v>
      </x:c>
      <x:c r="B133" s="4" t="str">
        <x:v>TT10_F596</x:v>
      </x:c>
      <x:c r="C133" s="8" t="n">
        <x:v>1</x:v>
      </x:c>
      <x:c r="D133" s="4" t="str">
        <x:v>Según plano</x:v>
      </x:c>
      <x:c r="E133" s="4" t="str">
        <x:v>ASTM A36</x:v>
      </x:c>
      <x:c r="F133" s="4" t="str">
        <x:v>Tope inclinado: cara inferior mecanizada para asiento horizontal</x:v>
      </x:c>
      <x:c r="G133" s="11"/>
      <x:c r="H133" s="11"/>
      <x:c r="I133" s="11"/>
      <x:c r="J133" s="11"/>
      <x:c r="K133" s="11" t="n">
        <x:f>C133</x:f>
        <x:v>1</x:v>
      </x:c>
      <x:c r="L133" s="4" t="str">
        <x:v>ud</x:v>
      </x:c>
      <x:c r="M133" s="4" t="str">
        <x:v>TT10_C05_PC_03</x:v>
      </x:c>
      <x:c r="N133" s="4" t="str">
        <x:v>Dimensiones y mecanizados según plano nativo actualizado.</x:v>
      </x:c>
    </x:row>
    <x:row r="134" ht="36" customHeight="1">
      <x:c r="A134" s="9" t="n">
        <x:v>250</x:v>
      </x:c>
      <x:c r="B134" s="5" t="str">
        <x:v>TT10_F601</x:v>
      </x:c>
      <x:c r="C134" s="9" t="n">
        <x:v>1</x:v>
      </x:c>
      <x:c r="D134" s="5" t="str">
        <x:v>Según plano</x:v>
      </x:c>
      <x:c r="E134" s="5" t="str">
        <x:v>S275J0H / EN 10219-1</x:v>
      </x:c>
      <x:c r="F134" s="5" t="str">
        <x:v>Diagonal CHS168.3x10 con cortes de asiento; sin penetrar columnas ni placas</x:v>
      </x:c>
      <x:c r="G134" s="12"/>
      <x:c r="H134" s="12"/>
      <x:c r="I134" s="12"/>
      <x:c r="J134" s="12"/>
      <x:c r="K134" s="12" t="n">
        <x:f>C134</x:f>
        <x:v>1</x:v>
      </x:c>
      <x:c r="L134" s="5" t="str">
        <x:v>ud</x:v>
      </x:c>
      <x:c r="M134" s="5" t="str">
        <x:v>TT10_C05_PC_02</x:v>
      </x:c>
      <x:c r="N134" s="5" t="str">
        <x:v>Dimensiones y mecanizados según plano nativo actualizado.</x:v>
      </x:c>
    </x:row>
    <x:row r="135" ht="36" customHeight="1">
      <x:c r="A135" s="8" t="n">
        <x:v>251</x:v>
      </x:c>
      <x:c r="B135" s="4" t="str">
        <x:v>TT10_F606</x:v>
      </x:c>
      <x:c r="C135" s="8" t="n">
        <x:v>1</x:v>
      </x:c>
      <x:c r="D135" s="4" t="str">
        <x:v>Según plano</x:v>
      </x:c>
      <x:c r="E135" s="4" t="str">
        <x:v>S275J0H / EN 10219-1</x:v>
      </x:c>
      <x:c r="F135" s="4" t="str">
        <x:v>Diagonal CHS168.3x10 con cortes de asiento; sin penetrar columnas ni placas</x:v>
      </x:c>
      <x:c r="G135" s="11"/>
      <x:c r="H135" s="11"/>
      <x:c r="I135" s="11"/>
      <x:c r="J135" s="11"/>
      <x:c r="K135" s="11" t="n">
        <x:f>C135</x:f>
        <x:v>1</x:v>
      </x:c>
      <x:c r="L135" s="4" t="str">
        <x:v>ud</x:v>
      </x:c>
      <x:c r="M135" s="4" t="str">
        <x:v>TT10_C05_PC_02</x:v>
      </x:c>
      <x:c r="N135" s="4" t="str">
        <x:v>Dimensiones y mecanizados según plano nativo actualizado.</x:v>
      </x:c>
    </x:row>
    <x:row r="136" ht="36" customHeight="1">
      <x:c r="A136" s="9" t="n">
        <x:v>252</x:v>
      </x:c>
      <x:c r="B136" s="5" t="str">
        <x:v>TT10_F611</x:v>
      </x:c>
      <x:c r="C136" s="9" t="n">
        <x:v>1</x:v>
      </x:c>
      <x:c r="D136" s="5" t="str">
        <x:v>Según plano</x:v>
      </x:c>
      <x:c r="E136" s="5" t="str">
        <x:v>Strenx700E t20; Rp0.2min700MPa</x:v>
      </x:c>
      <x:c r="F136" s="5" t="str">
        <x:v>Poste independiente cajón 300 x 200 x 2395, t20; 2 diafragmas 260 x 160 x 20</x:v>
      </x:c>
      <x:c r="G136" s="12"/>
      <x:c r="H136" s="12"/>
      <x:c r="I136" s="12"/>
      <x:c r="J136" s="12"/>
      <x:c r="K136" s="12" t="n">
        <x:f>C136</x:f>
        <x:v>1</x:v>
      </x:c>
      <x:c r="L136" s="5" t="str">
        <x:v>ud</x:v>
      </x:c>
      <x:c r="M136" s="5" t="str">
        <x:v>TT10_C05_PC_02</x:v>
      </x:c>
      <x:c r="N136" s="5" t="str">
        <x:v>Despiece de chapas en pestaña Chapas cajones.</x:v>
      </x:c>
    </x:row>
    <x:row r="137" ht="36" customHeight="1">
      <x:c r="A137" s="8" t="n">
        <x:v>254</x:v>
      </x:c>
      <x:c r="B137" s="4" t="str">
        <x:v>TT10_F621</x:v>
      </x:c>
      <x:c r="C137" s="8" t="n">
        <x:v>1</x:v>
      </x:c>
      <x:c r="D137" s="4" t="str">
        <x:v>Según plano</x:v>
      </x:c>
      <x:c r="E137" s="4" t="str">
        <x:v>S275J0H / EN 10219-1</x:v>
      </x:c>
      <x:c r="F137" s="4" t="str">
        <x:v>Puente RHS200x150x10 L1005; fuera del plano de las diagonales</x:v>
      </x:c>
      <x:c r="G137" s="11"/>
      <x:c r="H137" s="11"/>
      <x:c r="I137" s="11"/>
      <x:c r="J137" s="11"/>
      <x:c r="K137" s="11" t="n">
        <x:f>C137</x:f>
        <x:v>1</x:v>
      </x:c>
      <x:c r="L137" s="4" t="str">
        <x:v>ud</x:v>
      </x:c>
      <x:c r="M137" s="4" t="str">
        <x:v>TT10_C05_PC_02</x:v>
      </x:c>
      <x:c r="N137" s="4" t="str">
        <x:v>Dimensiones y mecanizados según plano nativo actualizado.</x:v>
      </x:c>
    </x:row>
    <x:row r="138" ht="36" customHeight="1">
      <x:c r="A138" s="9" t="n">
        <x:v>255</x:v>
      </x:c>
      <x:c r="B138" s="5" t="str">
        <x:v>TT10_F626</x:v>
      </x:c>
      <x:c r="C138" s="9" t="n">
        <x:v>1</x:v>
      </x:c>
      <x:c r="D138" s="5" t="str">
        <x:v>Según plano</x:v>
      </x:c>
      <x:c r="E138" s="5" t="str">
        <x:v>ASTM A36</x:v>
      </x:c>
      <x:c r="F138" s="5" t="str">
        <x:v>Pieza TT10_F626</x:v>
      </x:c>
      <x:c r="G138" s="12"/>
      <x:c r="H138" s="12"/>
      <x:c r="I138" s="12"/>
      <x:c r="J138" s="12"/>
      <x:c r="K138" s="12" t="n">
        <x:f>C138</x:f>
        <x:v>1</x:v>
      </x:c>
      <x:c r="L138" s="5" t="str">
        <x:v>ud</x:v>
      </x:c>
      <x:c r="M138" s="5" t="str">
        <x:v>TT10_C05_PC_02</x:v>
      </x:c>
      <x:c r="N138" s="5" t="str">
        <x:v>Dimensiones y mecanizados según plano nativo actualizado.</x:v>
      </x:c>
    </x:row>
    <x:row r="139" ht="36" customHeight="1">
      <x:c r="A139" s="8" t="n">
        <x:v>256</x:v>
      </x:c>
      <x:c r="B139" s="4" t="str">
        <x:v>TT10_F631</x:v>
      </x:c>
      <x:c r="C139" s="8" t="n">
        <x:v>1</x:v>
      </x:c>
      <x:c r="D139" s="4" t="str">
        <x:v>Según plano</x:v>
      </x:c>
      <x:c r="E139" s="4" t="str">
        <x:v>ASTM A36</x:v>
      </x:c>
      <x:c r="F139" s="4" t="str">
        <x:v>Pieza TT10_F631</x:v>
      </x:c>
      <x:c r="G139" s="11"/>
      <x:c r="H139" s="11"/>
      <x:c r="I139" s="11"/>
      <x:c r="J139" s="11"/>
      <x:c r="K139" s="11" t="n">
        <x:f>C139</x:f>
        <x:v>1</x:v>
      </x:c>
      <x:c r="L139" s="4" t="str">
        <x:v>ud</x:v>
      </x:c>
      <x:c r="M139" s="4" t="str">
        <x:v>TT10_C05_PC_02</x:v>
      </x:c>
      <x:c r="N139" s="4" t="str">
        <x:v>Dimensiones y mecanizados según plano nativo actualizado.</x:v>
      </x:c>
    </x:row>
    <x:row r="140" ht="36" customHeight="1">
      <x:c r="A140" s="9" t="n">
        <x:v>257</x:v>
      </x:c>
      <x:c r="B140" s="5" t="str">
        <x:v>TT10_F636</x:v>
      </x:c>
      <x:c r="C140" s="9" t="n">
        <x:v>1</x:v>
      </x:c>
      <x:c r="D140" s="5" t="str">
        <x:v>Según plano</x:v>
      </x:c>
      <x:c r="E140" s="5" t="str">
        <x:v>S355J2; certificado 3.1 requerido</x:v>
      </x:c>
      <x:c r="F140" s="5" t="str">
        <x:v>Columna principal recortada para placa80 y altura de centro SKF220</x:v>
      </x:c>
      <x:c r="G140" s="12"/>
      <x:c r="H140" s="12"/>
      <x:c r="I140" s="12"/>
      <x:c r="J140" s="12"/>
      <x:c r="K140" s="12" t="n">
        <x:f>C140</x:f>
        <x:v>1</x:v>
      </x:c>
      <x:c r="L140" s="5" t="str">
        <x:v>ud</x:v>
      </x:c>
      <x:c r="M140" s="5" t="str">
        <x:v>TT10_C05_PC_02</x:v>
      </x:c>
      <x:c r="N140" s="5" t="str">
        <x:v>Dimensiones y mecanizados según plano nativo actualizado.</x:v>
      </x:c>
    </x:row>
    <x:row r="141" ht="36" customHeight="1">
      <x:c r="A141" s="8" t="n">
        <x:v>258</x:v>
      </x:c>
      <x:c r="B141" s="4" t="str">
        <x:v>TT10_F641</x:v>
      </x:c>
      <x:c r="C141" s="8" t="n">
        <x:v>1</x:v>
      </x:c>
      <x:c r="D141" s="4" t="str">
        <x:v>Según plano</x:v>
      </x:c>
      <x:c r="E141" s="4" t="str">
        <x:v>S355J2; certificado 3.1 requerido</x:v>
      </x:c>
      <x:c r="F141" s="4" t="str">
        <x:v>Columna principal recortada para placa80 y altura de centro SKF220</x:v>
      </x:c>
      <x:c r="G141" s="11"/>
      <x:c r="H141" s="11"/>
      <x:c r="I141" s="11"/>
      <x:c r="J141" s="11"/>
      <x:c r="K141" s="11" t="n">
        <x:f>C141</x:f>
        <x:v>1</x:v>
      </x:c>
      <x:c r="L141" s="4" t="str">
        <x:v>ud</x:v>
      </x:c>
      <x:c r="M141" s="4" t="str">
        <x:v>TT10_C05_PC_02</x:v>
      </x:c>
      <x:c r="N141" s="4" t="str">
        <x:v>Dimensiones y mecanizados según plano nativo actualizado.</x:v>
      </x:c>
    </x:row>
    <x:row r="142" ht="36" customHeight="1">
      <x:c r="A142" s="9" t="n">
        <x:v>262</x:v>
      </x:c>
      <x:c r="B142" s="5" t="str">
        <x:v>TT10_GUIA_N</x:v>
      </x:c>
      <x:c r="C142" s="9" t="n">
        <x:v>1</x:v>
      </x:c>
      <x:c r="D142" s="5" t="str">
        <x:v>Según plano</x:v>
      </x:c>
      <x:c r="E142" s="5" t="str">
        <x:v>ASTM A36</x:v>
      </x:c>
      <x:c r="F142" s="5" t="str">
        <x:v>Guía con alojamiento Ø69 H7; casquillo69/65.5; fuera del camino resistente</x:v>
      </x:c>
      <x:c r="G142" s="12"/>
      <x:c r="H142" s="12"/>
      <x:c r="I142" s="12"/>
      <x:c r="J142" s="12"/>
      <x:c r="K142" s="12" t="n">
        <x:f>C142</x:f>
        <x:v>1</x:v>
      </x:c>
      <x:c r="L142" s="5" t="str">
        <x:v>ud</x:v>
      </x:c>
      <x:c r="M142" s="5" t="str">
        <x:v>TT10_C05_PC_03</x:v>
      </x:c>
      <x:c r="N142" s="5" t="str">
        <x:v>Dimensiones y mecanizados según plano nativo actualizado.</x:v>
      </x:c>
    </x:row>
    <x:row r="143" ht="36" customHeight="1">
      <x:c r="A143" s="8" t="n">
        <x:v>263</x:v>
      </x:c>
      <x:c r="B143" s="4" t="str">
        <x:v>TT10_GUIA_P</x:v>
      </x:c>
      <x:c r="C143" s="8" t="n">
        <x:v>1</x:v>
      </x:c>
      <x:c r="D143" s="4" t="str">
        <x:v>Según plano</x:v>
      </x:c>
      <x:c r="E143" s="4" t="str">
        <x:v>ASTM A36</x:v>
      </x:c>
      <x:c r="F143" s="4" t="str">
        <x:v>Guía con alojamiento Ø69 H7; casquillo69/65.5; fuera del camino resistente</x:v>
      </x:c>
      <x:c r="G143" s="11"/>
      <x:c r="H143" s="11"/>
      <x:c r="I143" s="11"/>
      <x:c r="J143" s="11"/>
      <x:c r="K143" s="11" t="n">
        <x:f>C143</x:f>
        <x:v>1</x:v>
      </x:c>
      <x:c r="L143" s="4" t="str">
        <x:v>ud</x:v>
      </x:c>
      <x:c r="M143" s="4" t="str">
        <x:v>TT10_C05_PC_03</x:v>
      </x:c>
      <x:c r="N143" s="4" t="str">
        <x:v>Dimensiones y mecanizados según plano nativo actualizado.</x:v>
      </x:c>
    </x:row>
    <x:row r="144" ht="36" customHeight="1">
      <x:c r="A144" s="9" t="n">
        <x:v>267</x:v>
      </x:c>
      <x:c r="B144" s="5" t="str">
        <x:v>TT10_LIN_0_0_C</x:v>
      </x:c>
      <x:c r="C144" s="9" t="n">
        <x:v>32</x:v>
      </x:c>
      <x:c r="D144" s="5" t="str">
        <x:v>Según plano</x:v>
      </x:c>
      <x:c r="E144" s="5" t="str">
        <x:v>Acero C45</x:v>
      </x:c>
      <x:c r="F144" s="5" t="str">
        <x:v>Casquillo30/18 L25 limita compresión de elastómero</x:v>
      </x:c>
      <x:c r="G144" s="12"/>
      <x:c r="H144" s="12"/>
      <x:c r="I144" s="12"/>
      <x:c r="J144" s="12"/>
      <x:c r="K144" s="12" t="n">
        <x:f>C144</x:f>
        <x:v>32</x:v>
      </x:c>
      <x:c r="L144" s="5" t="str">
        <x:v>ud</x:v>
      </x:c>
      <x:c r="M144" s="5" t="str">
        <x:v>TT10_C05_PC_08</x:v>
      </x:c>
      <x:c r="N144" s="5" t="str">
        <x:v>Dimensiones y mecanizados según plano nativo actualizado.</x:v>
      </x:c>
    </x:row>
    <x:row r="145" ht="36" customHeight="1">
      <x:c r="A145" s="8" t="n">
        <x:v>282</x:v>
      </x:c>
      <x:c r="B145" s="4" t="str">
        <x:v>TT10_LK_GUIA</x:v>
      </x:c>
      <x:c r="C145" s="8" t="n">
        <x:v>2</x:v>
      </x:c>
      <x:c r="D145" s="4" t="str">
        <x:v>Según plano</x:v>
      </x:c>
      <x:c r="E145" s="4" t="str">
        <x:v>ASTM A36</x:v>
      </x:c>
      <x:c r="F145" s="4" t="str">
        <x:v>Pestillo: guia abierta20.4x20.4, brazo25x42, pie80x12; asiento solenoide110/88</x:v>
      </x:c>
      <x:c r="G145" s="11"/>
      <x:c r="H145" s="11"/>
      <x:c r="I145" s="11"/>
      <x:c r="J145" s="11"/>
      <x:c r="K145" s="11" t="n">
        <x:f>C145</x:f>
        <x:v>2</x:v>
      </x:c>
      <x:c r="L145" s="4" t="str">
        <x:v>ud</x:v>
      </x:c>
      <x:c r="M145" s="4" t="str">
        <x:v>TT10_C05_PC_14</x:v>
      </x:c>
      <x:c r="N145" s="4" t="str">
        <x:v>Dimensiones y mecanizados según plano nativo actualizado.</x:v>
      </x:c>
    </x:row>
    <x:row r="146" ht="36" customHeight="1">
      <x:c r="A146" s="9" t="n">
        <x:v>283</x:v>
      </x:c>
      <x:c r="B146" s="5" t="str">
        <x:v>TT10_LK_LAMINA</x:v>
      </x:c>
      <x:c r="C146" s="9" t="n">
        <x:v>2</x:v>
      </x:c>
      <x:c r="D146" s="5" t="str">
        <x:v>Según plano</x:v>
      </x:c>
      <x:c r="E146" s="5" t="str">
        <x:v>51CrV4 templado/revenido; Rp0.2≥1000MPa,Rm≥1250MPa; superficie y fatiga por verificar</x:v>
      </x:c>
      <x:c r="F146" s="5" t="str">
        <x:v>Resorte de lamina20x1.8, longitud activa330, precarga equivalente50mm; forma instalada; horquillaU R6.5, sin esquina interna recta</x:v>
      </x:c>
      <x:c r="G146" s="12"/>
      <x:c r="H146" s="12"/>
      <x:c r="I146" s="12"/>
      <x:c r="J146" s="12"/>
      <x:c r="K146" s="12" t="n">
        <x:f>C146</x:f>
        <x:v>2</x:v>
      </x:c>
      <x:c r="L146" s="5" t="str">
        <x:v>ud</x:v>
      </x:c>
      <x:c r="M146" s="5" t="str">
        <x:v>TT10_C05_PC_14</x:v>
      </x:c>
      <x:c r="N146" s="5" t="str">
        <x:v>Dimensiones y mecanizados según plano nativo actualizado.</x:v>
      </x:c>
    </x:row>
    <x:row r="147" ht="36" customHeight="1">
      <x:c r="A147" s="8" t="n">
        <x:v>284</x:v>
      </x:c>
      <x:c r="B147" s="4" t="str">
        <x:v>TT10_LK_MORDAZA_LAMINA</x:v>
      </x:c>
      <x:c r="C147" s="8" t="n">
        <x:v>2</x:v>
      </x:c>
      <x:c r="D147" s="4" t="str">
        <x:v>Según plano</x:v>
      </x:c>
      <x:c r="E147" s="4" t="str">
        <x:v>ASTM A36</x:v>
      </x:c>
      <x:c r="F147" s="4" t="str">
        <x:v>Mordaza30x20x9.1 para resorte; no soldar ni taladrar zona activa de la lamina</x:v>
      </x:c>
      <x:c r="G147" s="11"/>
      <x:c r="H147" s="11"/>
      <x:c r="I147" s="11"/>
      <x:c r="J147" s="11"/>
      <x:c r="K147" s="11" t="n">
        <x:f>C147</x:f>
        <x:v>2</x:v>
      </x:c>
      <x:c r="L147" s="4" t="str">
        <x:v>ud</x:v>
      </x:c>
      <x:c r="M147" s="4" t="str">
        <x:v>TT10_C05_PC_14</x:v>
      </x:c>
      <x:c r="N147" s="4" t="str">
        <x:v>Dimensiones y mecanizados según plano nativo actualizado.</x:v>
      </x:c>
    </x:row>
    <x:row r="148" ht="36" customHeight="1">
      <x:c r="A148" s="9" t="n">
        <x:v>287</x:v>
      </x:c>
      <x:c r="B148" s="5" t="str">
        <x:v>TT10_LK_PESTILLO</x:v>
      </x:c>
      <x:c r="C148" s="9" t="n">
        <x:v>2</x:v>
      </x:c>
      <x:c r="D148" s="5" t="str">
        <x:v>Según plano</x:v>
      </x:c>
      <x:c r="E148" s="5" t="str">
        <x:v>AISI 4140 bonificado</x:v>
      </x:c>
      <x:c r="F148" s="5" t="str">
        <x:v>Pestillo42CrMo4+QT, punta20x20, enganche radial nominal9mm, retirada25mm; M12 liberacion</x:v>
      </x:c>
      <x:c r="G148" s="12"/>
      <x:c r="H148" s="12"/>
      <x:c r="I148" s="12"/>
      <x:c r="J148" s="12"/>
      <x:c r="K148" s="12" t="n">
        <x:f>C148</x:f>
        <x:v>2</x:v>
      </x:c>
      <x:c r="L148" s="5" t="str">
        <x:v>ud</x:v>
      </x:c>
      <x:c r="M148" s="5" t="str">
        <x:v>TT10_C05_PC_14</x:v>
      </x:c>
      <x:c r="N148" s="5" t="str">
        <x:v>Dimensiones y mecanizados según plano nativo actualizado.</x:v>
      </x:c>
    </x:row>
    <x:row r="149" ht="36" customHeight="1">
      <x:c r="A149" s="8" t="n">
        <x:v>289</x:v>
      </x:c>
      <x:c r="B149" s="4" t="str">
        <x:v>TT10_LK_SOP_SENSOR</x:v>
      </x:c>
      <x:c r="C149" s="8" t="n">
        <x:v>2</x:v>
      </x:c>
      <x:c r="D149" s="4" t="str">
        <x:v>Según plano</x:v>
      </x:c>
      <x:c r="E149" s="4" t="str">
        <x:v>ASTM A36</x:v>
      </x:c>
      <x:c r="F149" s="4" t="str">
        <x:v>Soporte desmontable: sensor a cara real del pestillo; dosM6x20, sin soldar a la guia</x:v>
      </x:c>
      <x:c r="G149" s="11"/>
      <x:c r="H149" s="11"/>
      <x:c r="I149" s="11"/>
      <x:c r="J149" s="11"/>
      <x:c r="K149" s="11" t="n">
        <x:f>C149</x:f>
        <x:v>2</x:v>
      </x:c>
      <x:c r="L149" s="4" t="str">
        <x:v>ud</x:v>
      </x:c>
      <x:c r="M149" s="4" t="str">
        <x:v>TT10_C05_PC_14</x:v>
      </x:c>
      <x:c r="N149" s="4" t="str">
        <x:v>Dimensiones y mecanizados según plano nativo actualizado.</x:v>
      </x:c>
    </x:row>
    <x:row r="150" ht="36" customHeight="1">
      <x:c r="A150" s="9" t="n">
        <x:v>291</x:v>
      </x:c>
      <x:c r="B150" s="5" t="str">
        <x:v>TT10_LK_TIRANTE</x:v>
      </x:c>
      <x:c r="C150" s="9" t="n">
        <x:v>2</x:v>
      </x:c>
      <x:c r="D150" s="5" t="str">
        <x:v>Según plano</x:v>
      </x:c>
      <x:c r="E150" s="5" t="str">
        <x:v>ASTM A36</x:v>
      </x:c>
      <x:c r="F150" s="5" t="str">
        <x:v>TiranteM12 nominal entre pestillo y solenoide; longitud ajustable, conexion OEM por verificar</x:v>
      </x:c>
      <x:c r="G150" s="12"/>
      <x:c r="H150" s="12"/>
      <x:c r="I150" s="12"/>
      <x:c r="J150" s="12"/>
      <x:c r="K150" s="12" t="n">
        <x:f>C150</x:f>
        <x:v>2</x:v>
      </x:c>
      <x:c r="L150" s="5" t="str">
        <x:v>ud</x:v>
      </x:c>
      <x:c r="M150" s="5" t="str">
        <x:v>TT10_C05_PC_14</x:v>
      </x:c>
      <x:c r="N150" s="5" t="str">
        <x:v>Dimensiones y mecanizados según plano nativo actualizado.</x:v>
      </x:c>
    </x:row>
    <x:row r="151" ht="36" customHeight="1">
      <x:c r="A151" s="8" t="n">
        <x:v>305</x:v>
      </x:c>
      <x:c r="B151" s="4" t="str">
        <x:v>TT10_M006</x:v>
      </x:c>
      <x:c r="C151" s="8" t="n">
        <x:v>1</x:v>
      </x:c>
      <x:c r="D151" s="4" t="str">
        <x:v>Según plano</x:v>
      </x:c>
      <x:c r="E151" s="4" t="str">
        <x:v>S275J0H / EN 10219-1</x:v>
      </x:c>
      <x:c r="F151" s="4" t="str">
        <x:v>Perfil tubular 200 x 150 x 10; L 2200</x:v>
      </x:c>
      <x:c r="G151" s="11"/>
      <x:c r="H151" s="11"/>
      <x:c r="I151" s="11"/>
      <x:c r="J151" s="11"/>
      <x:c r="K151" s="11" t="n">
        <x:f>C151</x:f>
        <x:v>1</x:v>
      </x:c>
      <x:c r="L151" s="4" t="str">
        <x:v>ud</x:v>
      </x:c>
      <x:c r="M151" s="4" t="str">
        <x:v>TT10_C05_PC_05</x:v>
      </x:c>
      <x:c r="N151" s="4" t="str">
        <x:v>Dimensiones y mecanizados según plano nativo actualizado.</x:v>
      </x:c>
    </x:row>
    <x:row r="152" ht="36" customHeight="1">
      <x:c r="A152" s="9" t="n">
        <x:v>306</x:v>
      </x:c>
      <x:c r="B152" s="5" t="str">
        <x:v>TT10_M011</x:v>
      </x:c>
      <x:c r="C152" s="9" t="n">
        <x:v>1</x:v>
      </x:c>
      <x:c r="D152" s="5" t="str">
        <x:v>Según plano</x:v>
      </x:c>
      <x:c r="E152" s="5" t="str">
        <x:v>S275J0H / EN 10219-1</x:v>
      </x:c>
      <x:c r="F152" s="5" t="str">
        <x:v>Perfil tubular 200 x 150 x 10; L 2200</x:v>
      </x:c>
      <x:c r="G152" s="12"/>
      <x:c r="H152" s="12"/>
      <x:c r="I152" s="12"/>
      <x:c r="J152" s="12"/>
      <x:c r="K152" s="12" t="n">
        <x:f>C152</x:f>
        <x:v>1</x:v>
      </x:c>
      <x:c r="L152" s="5" t="str">
        <x:v>ud</x:v>
      </x:c>
      <x:c r="M152" s="5" t="str">
        <x:v>TT10_C05_PC_05</x:v>
      </x:c>
      <x:c r="N152" s="5" t="str">
        <x:v>Dimensiones y mecanizados según plano nativo actualizado.</x:v>
      </x:c>
    </x:row>
    <x:row r="153" ht="36" customHeight="1">
      <x:c r="A153" s="8" t="n">
        <x:v>307</x:v>
      </x:c>
      <x:c r="B153" s="4" t="str">
        <x:v>TT10_M016</x:v>
      </x:c>
      <x:c r="C153" s="8" t="n">
        <x:v>1</x:v>
      </x:c>
      <x:c r="D153" s="4" t="str">
        <x:v>Según plano</x:v>
      </x:c>
      <x:c r="E153" s="4" t="str">
        <x:v>S275J0H / EN 10219-1</x:v>
      </x:c>
      <x:c r="F153" s="4" t="str">
        <x:v>Perfil tubular 150 x 100 x 8; L 4800</x:v>
      </x:c>
      <x:c r="G153" s="11"/>
      <x:c r="H153" s="11"/>
      <x:c r="I153" s="11"/>
      <x:c r="J153" s="11"/>
      <x:c r="K153" s="11" t="n">
        <x:f>C153</x:f>
        <x:v>1</x:v>
      </x:c>
      <x:c r="L153" s="4" t="str">
        <x:v>ud</x:v>
      </x:c>
      <x:c r="M153" s="4" t="str">
        <x:v>TT10_C05_PC_05</x:v>
      </x:c>
      <x:c r="N153" s="4" t="str">
        <x:v>Dimensiones y mecanizados según plano nativo actualizado.</x:v>
      </x:c>
    </x:row>
    <x:row r="154" ht="36" customHeight="1">
      <x:c r="A154" s="9" t="n">
        <x:v>308</x:v>
      </x:c>
      <x:c r="B154" s="5" t="str">
        <x:v>TT10_M021</x:v>
      </x:c>
      <x:c r="C154" s="9" t="n">
        <x:v>1</x:v>
      </x:c>
      <x:c r="D154" s="5" t="str">
        <x:v>Según plano</x:v>
      </x:c>
      <x:c r="E154" s="5" t="str">
        <x:v>S275J0H / EN 10219-1</x:v>
      </x:c>
      <x:c r="F154" s="5" t="str">
        <x:v>Perfil tubular 200 x 150 x 10; L 2200</x:v>
      </x:c>
      <x:c r="G154" s="12"/>
      <x:c r="H154" s="12"/>
      <x:c r="I154" s="12"/>
      <x:c r="J154" s="12"/>
      <x:c r="K154" s="12" t="n">
        <x:f>C154</x:f>
        <x:v>1</x:v>
      </x:c>
      <x:c r="L154" s="5" t="str">
        <x:v>ud</x:v>
      </x:c>
      <x:c r="M154" s="5" t="str">
        <x:v>TT10_C05_PC_05</x:v>
      </x:c>
      <x:c r="N154" s="5" t="str">
        <x:v>Dimensiones y mecanizados según plano nativo actualizado.</x:v>
      </x:c>
    </x:row>
    <x:row r="155" ht="36" customHeight="1">
      <x:c r="A155" s="8" t="n">
        <x:v>309</x:v>
      </x:c>
      <x:c r="B155" s="4" t="str">
        <x:v>TT10_M026</x:v>
      </x:c>
      <x:c r="C155" s="8" t="n">
        <x:v>1</x:v>
      </x:c>
      <x:c r="D155" s="4" t="str">
        <x:v>Según plano</x:v>
      </x:c>
      <x:c r="E155" s="4" t="str">
        <x:v>S275J0H / EN 10219-1</x:v>
      </x:c>
      <x:c r="F155" s="4" t="str">
        <x:v>Perfil tubular 150 x 100 x 8; L 3600</x:v>
      </x:c>
      <x:c r="G155" s="11"/>
      <x:c r="H155" s="11"/>
      <x:c r="I155" s="11"/>
      <x:c r="J155" s="11"/>
      <x:c r="K155" s="11" t="n">
        <x:f>C155</x:f>
        <x:v>1</x:v>
      </x:c>
      <x:c r="L155" s="4" t="str">
        <x:v>ud</x:v>
      </x:c>
      <x:c r="M155" s="4" t="str">
        <x:v>TT10_C05_PC_05</x:v>
      </x:c>
      <x:c r="N155" s="4" t="str">
        <x:v>Dimensiones y mecanizados según plano nativo actualizado.</x:v>
      </x:c>
    </x:row>
    <x:row r="156" ht="36" customHeight="1">
      <x:c r="A156" s="9" t="n">
        <x:v>310</x:v>
      </x:c>
      <x:c r="B156" s="5" t="str">
        <x:v>TT10_M031</x:v>
      </x:c>
      <x:c r="C156" s="9" t="n">
        <x:v>1</x:v>
      </x:c>
      <x:c r="D156" s="5" t="str">
        <x:v>Según plano</x:v>
      </x:c>
      <x:c r="E156" s="5" t="str">
        <x:v>ASTM A36</x:v>
      </x:c>
      <x:c r="F156" s="5" t="str">
        <x:v>Pieza TT10_M031</x:v>
      </x:c>
      <x:c r="G156" s="12"/>
      <x:c r="H156" s="12"/>
      <x:c r="I156" s="12"/>
      <x:c r="J156" s="12"/>
      <x:c r="K156" s="12" t="n">
        <x:f>C156</x:f>
        <x:v>1</x:v>
      </x:c>
      <x:c r="L156" s="5" t="str">
        <x:v>ud</x:v>
      </x:c>
      <x:c r="M156" s="5" t="str">
        <x:v>TT10_C05_PC_07</x:v>
      </x:c>
      <x:c r="N156" s="5" t="str">
        <x:v>Dimensiones y mecanizados según plano nativo actualizado.</x:v>
      </x:c>
    </x:row>
    <x:row r="157" ht="36" customHeight="1">
      <x:c r="A157" s="8" t="n">
        <x:v>311</x:v>
      </x:c>
      <x:c r="B157" s="4" t="str">
        <x:v>TT10_M036</x:v>
      </x:c>
      <x:c r="C157" s="8" t="n">
        <x:v>1</x:v>
      </x:c>
      <x:c r="D157" s="4" t="str">
        <x:v>Según plano</x:v>
      </x:c>
      <x:c r="E157" s="4" t="str">
        <x:v>ASTM A36</x:v>
      </x:c>
      <x:c r="F157" s="4" t="str">
        <x:v>Pieza TT10_M036</x:v>
      </x:c>
      <x:c r="G157" s="11"/>
      <x:c r="H157" s="11"/>
      <x:c r="I157" s="11"/>
      <x:c r="J157" s="11"/>
      <x:c r="K157" s="11" t="n">
        <x:f>C157</x:f>
        <x:v>1</x:v>
      </x:c>
      <x:c r="L157" s="4" t="str">
        <x:v>ud</x:v>
      </x:c>
      <x:c r="M157" s="4" t="str">
        <x:v>TT10_C05_PC_06</x:v>
      </x:c>
      <x:c r="N157" s="4" t="str">
        <x:v>Dimensiones y mecanizados según plano nativo actualizado.</x:v>
      </x:c>
    </x:row>
    <x:row r="158" ht="36" customHeight="1">
      <x:c r="A158" s="9" t="n">
        <x:v>312</x:v>
      </x:c>
      <x:c r="B158" s="5" t="str">
        <x:v>TT10_M041</x:v>
      </x:c>
      <x:c r="C158" s="9" t="n">
        <x:v>1</x:v>
      </x:c>
      <x:c r="D158" s="5" t="str">
        <x:v>Según plano</x:v>
      </x:c>
      <x:c r="E158" s="5" t="str">
        <x:v>S275J0H / EN 10219-1</x:v>
      </x:c>
      <x:c r="F158" s="5" t="str">
        <x:v>Perfil tubular 200 x 150 x 10; L 2200</x:v>
      </x:c>
      <x:c r="G158" s="12"/>
      <x:c r="H158" s="12"/>
      <x:c r="I158" s="12"/>
      <x:c r="J158" s="12"/>
      <x:c r="K158" s="12" t="n">
        <x:f>C158</x:f>
        <x:v>1</x:v>
      </x:c>
      <x:c r="L158" s="5" t="str">
        <x:v>ud</x:v>
      </x:c>
      <x:c r="M158" s="5" t="str">
        <x:v>TT10_C05_PC_05</x:v>
      </x:c>
      <x:c r="N158" s="5" t="str">
        <x:v>Dimensiones y mecanizados según plano nativo actualizado.</x:v>
      </x:c>
    </x:row>
    <x:row r="159" ht="36" customHeight="1">
      <x:c r="A159" s="8" t="n">
        <x:v>313</x:v>
      </x:c>
      <x:c r="B159" s="4" t="str">
        <x:v>TT10_M046</x:v>
      </x:c>
      <x:c r="C159" s="8" t="n">
        <x:v>1</x:v>
      </x:c>
      <x:c r="D159" s="4" t="str">
        <x:v>Según plano</x:v>
      </x:c>
      <x:c r="E159" s="4" t="str">
        <x:v>S275J0H / EN 10219-1</x:v>
      </x:c>
      <x:c r="F159" s="4" t="str">
        <x:v>Perfil tubular 400 x 200 x 16; L 5600</x:v>
      </x:c>
      <x:c r="G159" s="11"/>
      <x:c r="H159" s="11"/>
      <x:c r="I159" s="11"/>
      <x:c r="J159" s="11"/>
      <x:c r="K159" s="11" t="n">
        <x:f>C159</x:f>
        <x:v>1</x:v>
      </x:c>
      <x:c r="L159" s="4" t="str">
        <x:v>ud</x:v>
      </x:c>
      <x:c r="M159" s="4" t="str">
        <x:v>TT10_C05_PC_05</x:v>
      </x:c>
      <x:c r="N159" s="4" t="str">
        <x:v>Dimensiones y mecanizados según plano nativo actualizado.</x:v>
      </x:c>
    </x:row>
    <x:row r="160" ht="36" customHeight="1">
      <x:c r="A160" s="9" t="n">
        <x:v>314</x:v>
      </x:c>
      <x:c r="B160" s="5" t="str">
        <x:v>TT10_M051</x:v>
      </x:c>
      <x:c r="C160" s="9" t="n">
        <x:v>1</x:v>
      </x:c>
      <x:c r="D160" s="5" t="str">
        <x:v>Según plano</x:v>
      </x:c>
      <x:c r="E160" s="5" t="str">
        <x:v>ASTM A36</x:v>
      </x:c>
      <x:c r="F160" s="5" t="str">
        <x:v>Pieza TT10_M051</x:v>
      </x:c>
      <x:c r="G160" s="12"/>
      <x:c r="H160" s="12"/>
      <x:c r="I160" s="12"/>
      <x:c r="J160" s="12"/>
      <x:c r="K160" s="12" t="n">
        <x:f>C160</x:f>
        <x:v>1</x:v>
      </x:c>
      <x:c r="L160" s="5" t="str">
        <x:v>ud</x:v>
      </x:c>
      <x:c r="M160" s="5" t="str">
        <x:v>TT10_C05_PC_07</x:v>
      </x:c>
      <x:c r="N160" s="5" t="str">
        <x:v>Dimensiones y mecanizados según plano nativo actualizado.</x:v>
      </x:c>
    </x:row>
    <x:row r="161" ht="36" customHeight="1">
      <x:c r="A161" s="8" t="n">
        <x:v>315</x:v>
      </x:c>
      <x:c r="B161" s="4" t="str">
        <x:v>TT10_M056</x:v>
      </x:c>
      <x:c r="C161" s="8" t="n">
        <x:v>1</x:v>
      </x:c>
      <x:c r="D161" s="4" t="str">
        <x:v>Según plano</x:v>
      </x:c>
      <x:c r="E161" s="4" t="str">
        <x:v>Elastómero; curva dinámica de compresión por definir</x:v>
      </x:c>
      <x:c r="F161" s="4" t="str">
        <x:v>Cama elastomérica25 perforada para casquillos limitadores</x:v>
      </x:c>
      <x:c r="G161" s="11"/>
      <x:c r="H161" s="11"/>
      <x:c r="I161" s="11"/>
      <x:c r="J161" s="11"/>
      <x:c r="K161" s="11" t="n">
        <x:f>C161</x:f>
        <x:v>1</x:v>
      </x:c>
      <x:c r="L161" s="4" t="str">
        <x:v>ud</x:v>
      </x:c>
      <x:c r="M161" s="4" t="str">
        <x:v>TT10_C05_PC_08</x:v>
      </x:c>
      <x:c r="N161" s="4" t="str">
        <x:v>Dimensiones y mecanizados según plano nativo actualizado.</x:v>
      </x:c>
    </x:row>
    <x:row r="162" ht="36" customHeight="1">
      <x:c r="A162" s="9" t="n">
        <x:v>316</x:v>
      </x:c>
      <x:c r="B162" s="5" t="str">
        <x:v>TT10_M061</x:v>
      </x:c>
      <x:c r="C162" s="9" t="n">
        <x:v>1</x:v>
      </x:c>
      <x:c r="D162" s="5" t="str">
        <x:v>Según plano</x:v>
      </x:c>
      <x:c r="E162" s="5" t="str">
        <x:v>ASTM A36</x:v>
      </x:c>
      <x:c r="F162" s="5" t="str">
        <x:v>Pieza TT10_M061</x:v>
      </x:c>
      <x:c r="G162" s="12"/>
      <x:c r="H162" s="12"/>
      <x:c r="I162" s="12"/>
      <x:c r="J162" s="12"/>
      <x:c r="K162" s="12" t="n">
        <x:f>C162</x:f>
        <x:v>1</x:v>
      </x:c>
      <x:c r="L162" s="5" t="str">
        <x:v>ud</x:v>
      </x:c>
      <x:c r="M162" s="5" t="str">
        <x:v>TT10_C05_PC_06</x:v>
      </x:c>
      <x:c r="N162" s="5" t="str">
        <x:v>Dimensiones y mecanizados según plano nativo actualizado.</x:v>
      </x:c>
    </x:row>
    <x:row r="163" ht="36" customHeight="1">
      <x:c r="A163" s="8" t="n">
        <x:v>317</x:v>
      </x:c>
      <x:c r="B163" s="4" t="str">
        <x:v>TT10_M066</x:v>
      </x:c>
      <x:c r="C163" s="8" t="n">
        <x:v>1</x:v>
      </x:c>
      <x:c r="D163" s="4" t="str">
        <x:v>Según plano</x:v>
      </x:c>
      <x:c r="E163" s="4" t="str">
        <x:v>ASTM A36</x:v>
      </x:c>
      <x:c r="F163" s="4" t="str">
        <x:v>Pieza TT10_M066</x:v>
      </x:c>
      <x:c r="G163" s="11"/>
      <x:c r="H163" s="11"/>
      <x:c r="I163" s="11"/>
      <x:c r="J163" s="11"/>
      <x:c r="K163" s="11" t="n">
        <x:f>C163</x:f>
        <x:v>1</x:v>
      </x:c>
      <x:c r="L163" s="4" t="str">
        <x:v>ud</x:v>
      </x:c>
      <x:c r="M163" s="4" t="str">
        <x:v>TT10_C05_PC_06</x:v>
      </x:c>
      <x:c r="N163" s="4" t="str">
        <x:v>Dimensiones y mecanizados según plano nativo actualizado.</x:v>
      </x:c>
    </x:row>
    <x:row r="164" ht="36" customHeight="1">
      <x:c r="A164" s="9" t="n">
        <x:v>318</x:v>
      </x:c>
      <x:c r="B164" s="5" t="str">
        <x:v>TT10_M071</x:v>
      </x:c>
      <x:c r="C164" s="9" t="n">
        <x:v>1</x:v>
      </x:c>
      <x:c r="D164" s="5" t="str">
        <x:v>Según plano</x:v>
      </x:c>
      <x:c r="E164" s="5" t="str">
        <x:v>ASTM A36</x:v>
      </x:c>
      <x:c r="F164" s="5" t="str">
        <x:v>Pieza TT10_M071</x:v>
      </x:c>
      <x:c r="G164" s="12"/>
      <x:c r="H164" s="12"/>
      <x:c r="I164" s="12"/>
      <x:c r="J164" s="12"/>
      <x:c r="K164" s="12" t="n">
        <x:f>C164</x:f>
        <x:v>1</x:v>
      </x:c>
      <x:c r="L164" s="5" t="str">
        <x:v>ud</x:v>
      </x:c>
      <x:c r="M164" s="5" t="str">
        <x:v>TT10_C05_PC_07</x:v>
      </x:c>
      <x:c r="N164" s="5" t="str">
        <x:v>Dimensiones y mecanizados según plano nativo actualizado.</x:v>
      </x:c>
    </x:row>
    <x:row r="165" ht="36" customHeight="1">
      <x:c r="A165" s="8" t="n">
        <x:v>319</x:v>
      </x:c>
      <x:c r="B165" s="4" t="str">
        <x:v>TT10_M076</x:v>
      </x:c>
      <x:c r="C165" s="8" t="n">
        <x:v>1</x:v>
      </x:c>
      <x:c r="D165" s="4" t="str">
        <x:v>Según plano</x:v>
      </x:c>
      <x:c r="E165" s="4" t="str">
        <x:v>AISI 4140 bonificado</x:v>
      </x:c>
      <x:c r="F165" s="4" t="str">
        <x:v>Muñón forjado integral con brida550, hombro220, asiento200, R3 y retención exterior</x:v>
      </x:c>
      <x:c r="G165" s="11"/>
      <x:c r="H165" s="11"/>
      <x:c r="I165" s="11"/>
      <x:c r="J165" s="11"/>
      <x:c r="K165" s="11" t="n">
        <x:f>C165</x:f>
        <x:v>1</x:v>
      </x:c>
      <x:c r="L165" s="4" t="str">
        <x:v>ud</x:v>
      </x:c>
      <x:c r="M165" s="4" t="str">
        <x:v>TT10_C05_PC_09</x:v>
      </x:c>
      <x:c r="N165" s="4" t="str">
        <x:v>Dimensiones y mecanizados según plano nativo actualizado.</x:v>
      </x:c>
    </x:row>
    <x:row r="166" ht="36" customHeight="1">
      <x:c r="A166" s="9" t="n">
        <x:v>320</x:v>
      </x:c>
      <x:c r="B166" s="5" t="str">
        <x:v>TT10_M081</x:v>
      </x:c>
      <x:c r="C166" s="9" t="n">
        <x:v>1</x:v>
      </x:c>
      <x:c r="D166" s="5" t="str">
        <x:v>Según plano</x:v>
      </x:c>
      <x:c r="E166" s="5" t="str">
        <x:v>ASTM A36</x:v>
      </x:c>
      <x:c r="F166" s="5" t="str">
        <x:v>Pieza TT10_M081</x:v>
      </x:c>
      <x:c r="G166" s="12"/>
      <x:c r="H166" s="12"/>
      <x:c r="I166" s="12"/>
      <x:c r="J166" s="12"/>
      <x:c r="K166" s="12" t="n">
        <x:f>C166</x:f>
        <x:v>1</x:v>
      </x:c>
      <x:c r="L166" s="5" t="str">
        <x:v>ud</x:v>
      </x:c>
      <x:c r="M166" s="5" t="str">
        <x:v>TT10_C05_PC_07</x:v>
      </x:c>
      <x:c r="N166" s="5" t="str">
        <x:v>Dimensiones y mecanizados según plano nativo actualizado.</x:v>
      </x:c>
    </x:row>
    <x:row r="167" ht="36" customHeight="1">
      <x:c r="A167" s="8" t="n">
        <x:v>321</x:v>
      </x:c>
      <x:c r="B167" s="4" t="str">
        <x:v>TT10_M086</x:v>
      </x:c>
      <x:c r="C167" s="8" t="n">
        <x:v>1</x:v>
      </x:c>
      <x:c r="D167" s="4" t="str">
        <x:v>Según plano</x:v>
      </x:c>
      <x:c r="E167" s="4" t="str">
        <x:v>AISI 4140 bonificado</x:v>
      </x:c>
      <x:c r="F167" s="4" t="str">
        <x:v>Muñón forjado integral con brida550, hombro220, asiento200, R3 y retención exterior</x:v>
      </x:c>
      <x:c r="G167" s="11"/>
      <x:c r="H167" s="11"/>
      <x:c r="I167" s="11"/>
      <x:c r="J167" s="11"/>
      <x:c r="K167" s="11" t="n">
        <x:f>C167</x:f>
        <x:v>1</x:v>
      </x:c>
      <x:c r="L167" s="4" t="str">
        <x:v>ud</x:v>
      </x:c>
      <x:c r="M167" s="4" t="str">
        <x:v>TT10_C05_PC_09</x:v>
      </x:c>
      <x:c r="N167" s="4" t="str">
        <x:v>Dimensiones y mecanizados según plano nativo actualizado.</x:v>
      </x:c>
    </x:row>
    <x:row r="168" ht="36" customHeight="1">
      <x:c r="A168" s="9" t="n">
        <x:v>322</x:v>
      </x:c>
      <x:c r="B168" s="5" t="str">
        <x:v>TT10_M091</x:v>
      </x:c>
      <x:c r="C168" s="9" t="n">
        <x:v>1</x:v>
      </x:c>
      <x:c r="D168" s="5" t="str">
        <x:v>Según plano</x:v>
      </x:c>
      <x:c r="E168" s="5" t="str">
        <x:v>ASTM A36</x:v>
      </x:c>
      <x:c r="F168" s="5" t="str">
        <x:v>Pieza TT10_M091</x:v>
      </x:c>
      <x:c r="G168" s="12"/>
      <x:c r="H168" s="12"/>
      <x:c r="I168" s="12"/>
      <x:c r="J168" s="12"/>
      <x:c r="K168" s="12" t="n">
        <x:f>C168</x:f>
        <x:v>1</x:v>
      </x:c>
      <x:c r="L168" s="5" t="str">
        <x:v>ud</x:v>
      </x:c>
      <x:c r="M168" s="5" t="str">
        <x:v>TT10_C05_PC_06</x:v>
      </x:c>
      <x:c r="N168" s="5" t="str">
        <x:v>Dimensiones y mecanizados según plano nativo actualizado.</x:v>
      </x:c>
    </x:row>
    <x:row r="169" ht="36" customHeight="1">
      <x:c r="A169" s="8" t="n">
        <x:v>323</x:v>
      </x:c>
      <x:c r="B169" s="4" t="str">
        <x:v>TT10_M096</x:v>
      </x:c>
      <x:c r="C169" s="8" t="n">
        <x:v>1</x:v>
      </x:c>
      <x:c r="D169" s="4" t="str">
        <x:v>Según plano</x:v>
      </x:c>
      <x:c r="E169" s="4" t="str">
        <x:v>ASTM A36</x:v>
      </x:c>
      <x:c r="F169" s="4" t="str">
        <x:v>Pieza TT10_M096</x:v>
      </x:c>
      <x:c r="G169" s="11"/>
      <x:c r="H169" s="11"/>
      <x:c r="I169" s="11"/>
      <x:c r="J169" s="11"/>
      <x:c r="K169" s="11" t="n">
        <x:f>C169</x:f>
        <x:v>1</x:v>
      </x:c>
      <x:c r="L169" s="4" t="str">
        <x:v>ud</x:v>
      </x:c>
      <x:c r="M169" s="4" t="str">
        <x:v>TT10_C05_PC_07</x:v>
      </x:c>
      <x:c r="N169" s="4" t="str">
        <x:v>Dimensiones y mecanizados según plano nativo actualizado.</x:v>
      </x:c>
    </x:row>
    <x:row r="170" ht="36" customHeight="1">
      <x:c r="A170" s="9" t="n">
        <x:v>324</x:v>
      </x:c>
      <x:c r="B170" s="5" t="str">
        <x:v>TT10_M101</x:v>
      </x:c>
      <x:c r="C170" s="9" t="n">
        <x:v>1</x:v>
      </x:c>
      <x:c r="D170" s="5" t="str">
        <x:v>Según plano</x:v>
      </x:c>
      <x:c r="E170" s="5" t="str">
        <x:v>S275J0H / EN 10219-1</x:v>
      </x:c>
      <x:c r="F170" s="5" t="str">
        <x:v>Perfil tubular 200 x 100 x 10; L 250</x:v>
      </x:c>
      <x:c r="G170" s="12"/>
      <x:c r="H170" s="12"/>
      <x:c r="I170" s="12"/>
      <x:c r="J170" s="12"/>
      <x:c r="K170" s="12" t="n">
        <x:f>C170</x:f>
        <x:v>1</x:v>
      </x:c>
      <x:c r="L170" s="5" t="str">
        <x:v>ud</x:v>
      </x:c>
      <x:c r="M170" s="5" t="str">
        <x:v>TT10_C05_PC_05</x:v>
      </x:c>
      <x:c r="N170" s="5" t="str">
        <x:v>Dimensiones y mecanizados según plano nativo actualizado.</x:v>
      </x:c>
    </x:row>
    <x:row r="171" ht="36" customHeight="1">
      <x:c r="A171" s="8" t="n">
        <x:v>325</x:v>
      </x:c>
      <x:c r="B171" s="4" t="str">
        <x:v>TT10_M106</x:v>
      </x:c>
      <x:c r="C171" s="8" t="n">
        <x:v>1</x:v>
      </x:c>
      <x:c r="D171" s="4" t="str">
        <x:v>Según plano</x:v>
      </x:c>
      <x:c r="E171" s="4" t="str">
        <x:v>ASTM A36</x:v>
      </x:c>
      <x:c r="F171" s="4" t="str">
        <x:v>Contraplaca80 con doce M30 ciegas78 PCD450, apriete desde exterior</x:v>
      </x:c>
      <x:c r="G171" s="11"/>
      <x:c r="H171" s="11"/>
      <x:c r="I171" s="11"/>
      <x:c r="J171" s="11"/>
      <x:c r="K171" s="11" t="n">
        <x:f>C171</x:f>
        <x:v>1</x:v>
      </x:c>
      <x:c r="L171" s="4" t="str">
        <x:v>ud</x:v>
      </x:c>
      <x:c r="M171" s="4" t="str">
        <x:v>TT10_C05_PC_09</x:v>
      </x:c>
      <x:c r="N171" s="4" t="str">
        <x:v>Dimensiones y mecanizados según plano nativo actualizado.</x:v>
      </x:c>
    </x:row>
    <x:row r="172" ht="36" customHeight="1">
      <x:c r="A172" s="9" t="n">
        <x:v>326</x:v>
      </x:c>
      <x:c r="B172" s="5" t="str">
        <x:v>TT10_M111</x:v>
      </x:c>
      <x:c r="C172" s="9" t="n">
        <x:v>1</x:v>
      </x:c>
      <x:c r="D172" s="5" t="str">
        <x:v>Según plano</x:v>
      </x:c>
      <x:c r="E172" s="5" t="str">
        <x:v>ASTM A36</x:v>
      </x:c>
      <x:c r="F172" s="5" t="str">
        <x:v>Pieza TT10_M111</x:v>
      </x:c>
      <x:c r="G172" s="12"/>
      <x:c r="H172" s="12"/>
      <x:c r="I172" s="12"/>
      <x:c r="J172" s="12"/>
      <x:c r="K172" s="12" t="n">
        <x:f>C172</x:f>
        <x:v>1</x:v>
      </x:c>
      <x:c r="L172" s="5" t="str">
        <x:v>ud</x:v>
      </x:c>
      <x:c r="M172" s="5" t="str">
        <x:v>TT10_C05_PC_06</x:v>
      </x:c>
      <x:c r="N172" s="5" t="str">
        <x:v>Dimensiones y mecanizados según plano nativo actualizado.</x:v>
      </x:c>
    </x:row>
    <x:row r="173" ht="36" customHeight="1">
      <x:c r="A173" s="8" t="n">
        <x:v>327</x:v>
      </x:c>
      <x:c r="B173" s="4" t="str">
        <x:v>TT10_M116</x:v>
      </x:c>
      <x:c r="C173" s="8" t="n">
        <x:v>1</x:v>
      </x:c>
      <x:c r="D173" s="4" t="str">
        <x:v>Según plano</x:v>
      </x:c>
      <x:c r="E173" s="4" t="str">
        <x:v>ASTM A36</x:v>
      </x:c>
      <x:c r="F173" s="4" t="str">
        <x:v>Pieza TT10_M116</x:v>
      </x:c>
      <x:c r="G173" s="11"/>
      <x:c r="H173" s="11"/>
      <x:c r="I173" s="11"/>
      <x:c r="J173" s="11"/>
      <x:c r="K173" s="11" t="n">
        <x:f>C173</x:f>
        <x:v>1</x:v>
      </x:c>
      <x:c r="L173" s="4" t="str">
        <x:v>ud</x:v>
      </x:c>
      <x:c r="M173" s="4" t="str">
        <x:v>TT10_C05_PC_06</x:v>
      </x:c>
      <x:c r="N173" s="4" t="str">
        <x:v>Dimensiones y mecanizados según plano nativo actualizado.</x:v>
      </x:c>
    </x:row>
    <x:row r="174" ht="36" customHeight="1">
      <x:c r="A174" s="9" t="n">
        <x:v>328</x:v>
      </x:c>
      <x:c r="B174" s="5" t="str">
        <x:v>TT10_M121</x:v>
      </x:c>
      <x:c r="C174" s="9" t="n">
        <x:v>1</x:v>
      </x:c>
      <x:c r="D174" s="5" t="str">
        <x:v>Según plano</x:v>
      </x:c>
      <x:c r="E174" s="5" t="str">
        <x:v>ASTM A36</x:v>
      </x:c>
      <x:c r="F174" s="5" t="str">
        <x:v>Pieza TT10_M121</x:v>
      </x:c>
      <x:c r="G174" s="12"/>
      <x:c r="H174" s="12"/>
      <x:c r="I174" s="12"/>
      <x:c r="J174" s="12"/>
      <x:c r="K174" s="12" t="n">
        <x:f>C174</x:f>
        <x:v>1</x:v>
      </x:c>
      <x:c r="L174" s="5" t="str">
        <x:v>ud</x:v>
      </x:c>
      <x:c r="M174" s="5" t="str">
        <x:v>TT10_C05_PC_05</x:v>
      </x:c>
      <x:c r="N174" s="5" t="str">
        <x:v>Dimensiones y mecanizados según plano nativo actualizado.</x:v>
      </x:c>
    </x:row>
    <x:row r="175" ht="36" customHeight="1">
      <x:c r="A175" s="8" t="n">
        <x:v>329</x:v>
      </x:c>
      <x:c r="B175" s="4" t="str">
        <x:v>TT10_M131</x:v>
      </x:c>
      <x:c r="C175" s="8" t="n">
        <x:v>1</x:v>
      </x:c>
      <x:c r="D175" s="4" t="str">
        <x:v>Según plano</x:v>
      </x:c>
      <x:c r="E175" s="4" t="str">
        <x:v>Strenx700E t40; Rp0.2min700MPa</x:v>
      </x:c>
      <x:c r="F175" s="4" t="str">
        <x:v>Cabezal cajón 200 x 200 x 1200, t40; 2 diafragmas 120 x 120 x 40</x:v>
      </x:c>
      <x:c r="G175" s="11"/>
      <x:c r="H175" s="11"/>
      <x:c r="I175" s="11"/>
      <x:c r="J175" s="11"/>
      <x:c r="K175" s="11" t="n">
        <x:f>C175</x:f>
        <x:v>1</x:v>
      </x:c>
      <x:c r="L175" s="4" t="str">
        <x:v>ud</x:v>
      </x:c>
      <x:c r="M175" s="4" t="str">
        <x:v>TT10_C05_PC_05</x:v>
      </x:c>
      <x:c r="N175" s="4" t="str">
        <x:v>Despiece de chapas en pestaña Chapas cajones.</x:v>
      </x:c>
    </x:row>
    <x:row r="176" ht="36" customHeight="1">
      <x:c r="A176" s="9" t="n">
        <x:v>330</x:v>
      </x:c>
      <x:c r="B176" s="5" t="str">
        <x:v>TT10_M136</x:v>
      </x:c>
      <x:c r="C176" s="9" t="n">
        <x:v>1</x:v>
      </x:c>
      <x:c r="D176" s="5" t="str">
        <x:v>Según plano</x:v>
      </x:c>
      <x:c r="E176" s="5" t="str">
        <x:v>ASTM A36</x:v>
      </x:c>
      <x:c r="F176" s="5" t="str">
        <x:v>Pieza TT10_M136</x:v>
      </x:c>
      <x:c r="G176" s="12"/>
      <x:c r="H176" s="12"/>
      <x:c r="I176" s="12"/>
      <x:c r="J176" s="12"/>
      <x:c r="K176" s="12" t="n">
        <x:f>C176</x:f>
        <x:v>1</x:v>
      </x:c>
      <x:c r="L176" s="5" t="str">
        <x:v>ud</x:v>
      </x:c>
      <x:c r="M176" s="5" t="str">
        <x:v>TT10_C05_PC_07</x:v>
      </x:c>
      <x:c r="N176" s="5" t="str">
        <x:v>Dimensiones y mecanizados según plano nativo actualizado.</x:v>
      </x:c>
    </x:row>
    <x:row r="177" ht="36" customHeight="1">
      <x:c r="A177" s="8" t="n">
        <x:v>331</x:v>
      </x:c>
      <x:c r="B177" s="4" t="str">
        <x:v>TT10_M141</x:v>
      </x:c>
      <x:c r="C177" s="8" t="n">
        <x:v>1</x:v>
      </x:c>
      <x:c r="D177" s="4" t="str">
        <x:v>Según plano</x:v>
      </x:c>
      <x:c r="E177" s="4" t="str">
        <x:v>ASTM A36</x:v>
      </x:c>
      <x:c r="F177" s="4" t="str">
        <x:v>Pieza TT10_M141</x:v>
      </x:c>
      <x:c r="G177" s="11"/>
      <x:c r="H177" s="11"/>
      <x:c r="I177" s="11"/>
      <x:c r="J177" s="11"/>
      <x:c r="K177" s="11" t="n">
        <x:f>C177</x:f>
        <x:v>1</x:v>
      </x:c>
      <x:c r="L177" s="4" t="str">
        <x:v>ud</x:v>
      </x:c>
      <x:c r="M177" s="4" t="str">
        <x:v>TT10_C05_PC_06</x:v>
      </x:c>
      <x:c r="N177" s="4" t="str">
        <x:v>Dimensiones y mecanizados según plano nativo actualizado.</x:v>
      </x:c>
    </x:row>
    <x:row r="178" ht="36" customHeight="1">
      <x:c r="A178" s="9" t="n">
        <x:v>332</x:v>
      </x:c>
      <x:c r="B178" s="5" t="str">
        <x:v>TT10_M146</x:v>
      </x:c>
      <x:c r="C178" s="9" t="n">
        <x:v>1</x:v>
      </x:c>
      <x:c r="D178" s="5" t="str">
        <x:v>Según plano</x:v>
      </x:c>
      <x:c r="E178" s="5" t="str">
        <x:v>ASTM A36</x:v>
      </x:c>
      <x:c r="F178" s="5" t="str">
        <x:v>Pieza TT10_M146</x:v>
      </x:c>
      <x:c r="G178" s="12"/>
      <x:c r="H178" s="12"/>
      <x:c r="I178" s="12"/>
      <x:c r="J178" s="12"/>
      <x:c r="K178" s="12" t="n">
        <x:f>C178</x:f>
        <x:v>1</x:v>
      </x:c>
      <x:c r="L178" s="5" t="str">
        <x:v>ud</x:v>
      </x:c>
      <x:c r="M178" s="5" t="str">
        <x:v>TT10_C05_PC_06</x:v>
      </x:c>
      <x:c r="N178" s="5" t="str">
        <x:v>Dimensiones y mecanizados según plano nativo actualizado.</x:v>
      </x:c>
    </x:row>
    <x:row r="179" ht="36" customHeight="1">
      <x:c r="A179" s="8" t="n">
        <x:v>333</x:v>
      </x:c>
      <x:c r="B179" s="4" t="str">
        <x:v>TT10_M151</x:v>
      </x:c>
      <x:c r="C179" s="8" t="n">
        <x:v>1</x:v>
      </x:c>
      <x:c r="D179" s="4" t="str">
        <x:v>Según plano</x:v>
      </x:c>
      <x:c r="E179" s="4" t="str">
        <x:v>ASTM A36</x:v>
      </x:c>
      <x:c r="F179" s="4" t="str">
        <x:v>Pieza TT10_M151</x:v>
      </x:c>
      <x:c r="G179" s="11"/>
      <x:c r="H179" s="11"/>
      <x:c r="I179" s="11"/>
      <x:c r="J179" s="11"/>
      <x:c r="K179" s="11" t="n">
        <x:f>C179</x:f>
        <x:v>1</x:v>
      </x:c>
      <x:c r="L179" s="4" t="str">
        <x:v>ud</x:v>
      </x:c>
      <x:c r="M179" s="4" t="str">
        <x:v>TT10_C05_PC_05</x:v>
      </x:c>
      <x:c r="N179" s="4" t="str">
        <x:v>Dimensiones y mecanizados según plano nativo actualizado.</x:v>
      </x:c>
    </x:row>
    <x:row r="180" ht="36" customHeight="1">
      <x:c r="A180" s="9" t="n">
        <x:v>335</x:v>
      </x:c>
      <x:c r="B180" s="5" t="str">
        <x:v>TT10_M161</x:v>
      </x:c>
      <x:c r="C180" s="9" t="n">
        <x:v>1</x:v>
      </x:c>
      <x:c r="D180" s="5" t="str">
        <x:v>Según plano</x:v>
      </x:c>
      <x:c r="E180" s="5" t="str">
        <x:v>Strenx700E t30; Rp0.2min700MPa</x:v>
      </x:c>
      <x:c r="F180" s="5" t="str">
        <x:v>Yugo cajón 400 x 200 x 1116, t30; 2 diafragmas 340 x 140 x 30; agujero Ø202</x:v>
      </x:c>
      <x:c r="G180" s="12"/>
      <x:c r="H180" s="12"/>
      <x:c r="I180" s="12"/>
      <x:c r="J180" s="12"/>
      <x:c r="K180" s="12" t="n">
        <x:f>C180</x:f>
        <x:v>1</x:v>
      </x:c>
      <x:c r="L180" s="5" t="str">
        <x:v>ud</x:v>
      </x:c>
      <x:c r="M180" s="5" t="str">
        <x:v>TT10_C05_PC_05</x:v>
      </x:c>
      <x:c r="N180" s="5" t="str">
        <x:v>Despiece de chapas en pestaña Chapas cajones.</x:v>
      </x:c>
    </x:row>
    <x:row r="181" ht="36" customHeight="1">
      <x:c r="A181" s="8" t="n">
        <x:v>336</x:v>
      </x:c>
      <x:c r="B181" s="4" t="str">
        <x:v>TT10_M166</x:v>
      </x:c>
      <x:c r="C181" s="8" t="n">
        <x:v>1</x:v>
      </x:c>
      <x:c r="D181" s="4" t="str">
        <x:v>Según plano</x:v>
      </x:c>
      <x:c r="E181" s="4" t="str">
        <x:v>S275J0H / EN 10219-1</x:v>
      </x:c>
      <x:c r="F181" s="4" t="str">
        <x:v>Perfil tubular 150 x 100 x 8; L 4800</x:v>
      </x:c>
      <x:c r="G181" s="11"/>
      <x:c r="H181" s="11"/>
      <x:c r="I181" s="11"/>
      <x:c r="J181" s="11"/>
      <x:c r="K181" s="11" t="n">
        <x:f>C181</x:f>
        <x:v>1</x:v>
      </x:c>
      <x:c r="L181" s="4" t="str">
        <x:v>ud</x:v>
      </x:c>
      <x:c r="M181" s="4" t="str">
        <x:v>TT10_C05_PC_05</x:v>
      </x:c>
      <x:c r="N181" s="4" t="str">
        <x:v>Dimensiones y mecanizados según plano nativo actualizado.</x:v>
      </x:c>
    </x:row>
    <x:row r="182" ht="36" customHeight="1">
      <x:c r="A182" s="9" t="n">
        <x:v>337</x:v>
      </x:c>
      <x:c r="B182" s="5" t="str">
        <x:v>TT10_M171</x:v>
      </x:c>
      <x:c r="C182" s="9" t="n">
        <x:v>1</x:v>
      </x:c>
      <x:c r="D182" s="5" t="str">
        <x:v>Según plano</x:v>
      </x:c>
      <x:c r="E182" s="5" t="str">
        <x:v>ASTM A36</x:v>
      </x:c>
      <x:c r="F182" s="5" t="str">
        <x:v>Pieza TT10_M171</x:v>
      </x:c>
      <x:c r="G182" s="12"/>
      <x:c r="H182" s="12"/>
      <x:c r="I182" s="12"/>
      <x:c r="J182" s="12"/>
      <x:c r="K182" s="12" t="n">
        <x:f>C182</x:f>
        <x:v>1</x:v>
      </x:c>
      <x:c r="L182" s="5" t="str">
        <x:v>ud</x:v>
      </x:c>
      <x:c r="M182" s="5" t="str">
        <x:v>TT10_C05_PC_07</x:v>
      </x:c>
      <x:c r="N182" s="5" t="str">
        <x:v>Dimensiones y mecanizados según plano nativo actualizado.</x:v>
      </x:c>
    </x:row>
    <x:row r="183" ht="36" customHeight="1">
      <x:c r="A183" s="8" t="n">
        <x:v>338</x:v>
      </x:c>
      <x:c r="B183" s="4" t="str">
        <x:v>TT10_M176</x:v>
      </x:c>
      <x:c r="C183" s="8" t="n">
        <x:v>1</x:v>
      </x:c>
      <x:c r="D183" s="4" t="str">
        <x:v>Según plano</x:v>
      </x:c>
      <x:c r="E183" s="4" t="str">
        <x:v>ASTM A36</x:v>
      </x:c>
      <x:c r="F183" s="4" t="str">
        <x:v>Fondo16 con taladros de revestimientos desmontables</x:v>
      </x:c>
      <x:c r="G183" s="11"/>
      <x:c r="H183" s="11"/>
      <x:c r="I183" s="11"/>
      <x:c r="J183" s="11"/>
      <x:c r="K183" s="11" t="n">
        <x:f>C183</x:f>
        <x:v>1</x:v>
      </x:c>
      <x:c r="L183" s="4" t="str">
        <x:v>ud</x:v>
      </x:c>
      <x:c r="M183" s="4" t="str">
        <x:v>TT10_C05_PC_07</x:v>
      </x:c>
      <x:c r="N183" s="4" t="str">
        <x:v>Dimensiones y mecanizados según plano nativo actualizado.</x:v>
      </x:c>
    </x:row>
    <x:row r="184" ht="36" customHeight="1">
      <x:c r="A184" s="9" t="n">
        <x:v>339</x:v>
      </x:c>
      <x:c r="B184" s="5" t="str">
        <x:v>TT10_M181</x:v>
      </x:c>
      <x:c r="C184" s="9" t="n">
        <x:v>1</x:v>
      </x:c>
      <x:c r="D184" s="5" t="str">
        <x:v>Según plano</x:v>
      </x:c>
      <x:c r="E184" s="5" t="str">
        <x:v>ASTM A36</x:v>
      </x:c>
      <x:c r="F184" s="5" t="str">
        <x:v>Pieza TT10_M181</x:v>
      </x:c>
      <x:c r="G184" s="12"/>
      <x:c r="H184" s="12"/>
      <x:c r="I184" s="12"/>
      <x:c r="J184" s="12"/>
      <x:c r="K184" s="12" t="n">
        <x:f>C184</x:f>
        <x:v>1</x:v>
      </x:c>
      <x:c r="L184" s="5" t="str">
        <x:v>ud</x:v>
      </x:c>
      <x:c r="M184" s="5" t="str">
        <x:v>TT10_C05_PC_07</x:v>
      </x:c>
      <x:c r="N184" s="5" t="str">
        <x:v>Dimensiones y mecanizados según plano nativo actualizado.</x:v>
      </x:c>
    </x:row>
    <x:row r="185" ht="36" customHeight="1">
      <x:c r="A185" s="8" t="n">
        <x:v>340</x:v>
      </x:c>
      <x:c r="B185" s="4" t="str">
        <x:v>TT10_M186</x:v>
      </x:c>
      <x:c r="C185" s="8" t="n">
        <x:v>1</x:v>
      </x:c>
      <x:c r="D185" s="4" t="str">
        <x:v>Según plano</x:v>
      </x:c>
      <x:c r="E185" s="4" t="str">
        <x:v>S275J0H / EN 10219-1</x:v>
      </x:c>
      <x:c r="F185" s="4" t="str">
        <x:v>Perfil tubular 200 x 150 x 10; L 2200</x:v>
      </x:c>
      <x:c r="G185" s="11"/>
      <x:c r="H185" s="11"/>
      <x:c r="I185" s="11"/>
      <x:c r="J185" s="11"/>
      <x:c r="K185" s="11" t="n">
        <x:f>C185</x:f>
        <x:v>1</x:v>
      </x:c>
      <x:c r="L185" s="4" t="str">
        <x:v>ud</x:v>
      </x:c>
      <x:c r="M185" s="4" t="str">
        <x:v>TT10_C05_PC_05</x:v>
      </x:c>
      <x:c r="N185" s="4" t="str">
        <x:v>Dimensiones y mecanizados según plano nativo actualizado.</x:v>
      </x:c>
    </x:row>
    <x:row r="186" ht="36" customHeight="1">
      <x:c r="A186" s="9" t="n">
        <x:v>341</x:v>
      </x:c>
      <x:c r="B186" s="5" t="str">
        <x:v>TT10_M191</x:v>
      </x:c>
      <x:c r="C186" s="9" t="n">
        <x:v>1</x:v>
      </x:c>
      <x:c r="D186" s="5" t="str">
        <x:v>Según plano</x:v>
      </x:c>
      <x:c r="E186" s="5" t="str">
        <x:v>ASTM A36</x:v>
      </x:c>
      <x:c r="F186" s="5" t="str">
        <x:v>Pieza TT10_M191</x:v>
      </x:c>
      <x:c r="G186" s="12"/>
      <x:c r="H186" s="12"/>
      <x:c r="I186" s="12"/>
      <x:c r="J186" s="12"/>
      <x:c r="K186" s="12" t="n">
        <x:f>C186</x:f>
        <x:v>1</x:v>
      </x:c>
      <x:c r="L186" s="5" t="str">
        <x:v>ud</x:v>
      </x:c>
      <x:c r="M186" s="5" t="str">
        <x:v>TT10_C05_PC_05</x:v>
      </x:c>
      <x:c r="N186" s="5" t="str">
        <x:v>Dimensiones y mecanizados según plano nativo actualizado.</x:v>
      </x:c>
    </x:row>
    <x:row r="187" ht="36" customHeight="1">
      <x:c r="A187" s="8" t="n">
        <x:v>342</x:v>
      </x:c>
      <x:c r="B187" s="4" t="str">
        <x:v>TT10_M196</x:v>
      </x:c>
      <x:c r="C187" s="8" t="n">
        <x:v>1</x:v>
      </x:c>
      <x:c r="D187" s="4" t="str">
        <x:v>Según plano</x:v>
      </x:c>
      <x:c r="E187" s="4" t="str">
        <x:v>ASTM A36</x:v>
      </x:c>
      <x:c r="F187" s="4" t="str">
        <x:v>Pieza TT10_M196</x:v>
      </x:c>
      <x:c r="G187" s="11"/>
      <x:c r="H187" s="11"/>
      <x:c r="I187" s="11"/>
      <x:c r="J187" s="11"/>
      <x:c r="K187" s="11" t="n">
        <x:f>C187</x:f>
        <x:v>1</x:v>
      </x:c>
      <x:c r="L187" s="4" t="str">
        <x:v>ud</x:v>
      </x:c>
      <x:c r="M187" s="4" t="str">
        <x:v>TT10_C05_PC_06</x:v>
      </x:c>
      <x:c r="N187" s="4" t="str">
        <x:v>Dimensiones y mecanizados según plano nativo actualizado.</x:v>
      </x:c>
    </x:row>
    <x:row r="188" ht="36" customHeight="1">
      <x:c r="A188" s="9" t="n">
        <x:v>343</x:v>
      </x:c>
      <x:c r="B188" s="5" t="str">
        <x:v>TT10_M201</x:v>
      </x:c>
      <x:c r="C188" s="9" t="n">
        <x:v>1</x:v>
      </x:c>
      <x:c r="D188" s="5" t="str">
        <x:v>Según plano</x:v>
      </x:c>
      <x:c r="E188" s="5" t="str">
        <x:v>Strenx700E t40; Rp0.2min700MPa</x:v>
      </x:c>
      <x:c r="F188" s="5" t="str">
        <x:v>Cabezal cajón 200 x 200 x 1200, t40; 2 diafragmas 120 x 120 x 40</x:v>
      </x:c>
      <x:c r="G188" s="12"/>
      <x:c r="H188" s="12"/>
      <x:c r="I188" s="12"/>
      <x:c r="J188" s="12"/>
      <x:c r="K188" s="12" t="n">
        <x:f>C188</x:f>
        <x:v>1</x:v>
      </x:c>
      <x:c r="L188" s="5" t="str">
        <x:v>ud</x:v>
      </x:c>
      <x:c r="M188" s="5" t="str">
        <x:v>TT10_C05_PC_05</x:v>
      </x:c>
      <x:c r="N188" s="5" t="str">
        <x:v>Despiece de chapas en pestaña Chapas cajones.</x:v>
      </x:c>
    </x:row>
    <x:row r="189" ht="36" customHeight="1">
      <x:c r="A189" s="8" t="n">
        <x:v>344</x:v>
      </x:c>
      <x:c r="B189" s="4" t="str">
        <x:v>TT10_M206</x:v>
      </x:c>
      <x:c r="C189" s="8" t="n">
        <x:v>1</x:v>
      </x:c>
      <x:c r="D189" s="4" t="str">
        <x:v>Según plano</x:v>
      </x:c>
      <x:c r="E189" s="4" t="str">
        <x:v>ASTM A36</x:v>
      </x:c>
      <x:c r="F189" s="4" t="str">
        <x:v>Pieza TT10_M206</x:v>
      </x:c>
      <x:c r="G189" s="11"/>
      <x:c r="H189" s="11"/>
      <x:c r="I189" s="11"/>
      <x:c r="J189" s="11"/>
      <x:c r="K189" s="11" t="n">
        <x:f>C189</x:f>
        <x:v>1</x:v>
      </x:c>
      <x:c r="L189" s="4" t="str">
        <x:v>ud</x:v>
      </x:c>
      <x:c r="M189" s="4" t="str">
        <x:v>TT10_C05_PC_05</x:v>
      </x:c>
      <x:c r="N189" s="4" t="str">
        <x:v>Dimensiones y mecanizados según plano nativo actualizado.</x:v>
      </x:c>
    </x:row>
    <x:row r="190" ht="36" customHeight="1">
      <x:c r="A190" s="9" t="n">
        <x:v>345</x:v>
      </x:c>
      <x:c r="B190" s="5" t="str">
        <x:v>TT10_M211</x:v>
      </x:c>
      <x:c r="C190" s="9" t="n">
        <x:v>1</x:v>
      </x:c>
      <x:c r="D190" s="5" t="str">
        <x:v>Según plano</x:v>
      </x:c>
      <x:c r="E190" s="5" t="str">
        <x:v>Elastómero; curva dinámica de compresión por definir</x:v>
      </x:c>
      <x:c r="F190" s="5" t="str">
        <x:v>Cama elastomérica25 perforada para casquillos limitadores</x:v>
      </x:c>
      <x:c r="G190" s="12"/>
      <x:c r="H190" s="12"/>
      <x:c r="I190" s="12"/>
      <x:c r="J190" s="12"/>
      <x:c r="K190" s="12" t="n">
        <x:f>C190</x:f>
        <x:v>1</x:v>
      </x:c>
      <x:c r="L190" s="5" t="str">
        <x:v>ud</x:v>
      </x:c>
      <x:c r="M190" s="5" t="str">
        <x:v>TT10_C05_PC_08</x:v>
      </x:c>
      <x:c r="N190" s="5" t="str">
        <x:v>Dimensiones y mecanizados según plano nativo actualizado.</x:v>
      </x:c>
    </x:row>
    <x:row r="191" ht="36" customHeight="1">
      <x:c r="A191" s="8" t="n">
        <x:v>346</x:v>
      </x:c>
      <x:c r="B191" s="4" t="str">
        <x:v>TT10_M216</x:v>
      </x:c>
      <x:c r="C191" s="8" t="n">
        <x:v>1</x:v>
      </x:c>
      <x:c r="D191" s="4" t="str">
        <x:v>Según plano</x:v>
      </x:c>
      <x:c r="E191" s="4" t="str">
        <x:v>ASTM A36</x:v>
      </x:c>
      <x:c r="F191" s="4" t="str">
        <x:v>Pieza TT10_M216</x:v>
      </x:c>
      <x:c r="G191" s="11"/>
      <x:c r="H191" s="11"/>
      <x:c r="I191" s="11"/>
      <x:c r="J191" s="11"/>
      <x:c r="K191" s="11" t="n">
        <x:f>C191</x:f>
        <x:v>1</x:v>
      </x:c>
      <x:c r="L191" s="4" t="str">
        <x:v>ud</x:v>
      </x:c>
      <x:c r="M191" s="4" t="str">
        <x:v>TT10_C05_PC_07</x:v>
      </x:c>
      <x:c r="N191" s="4" t="str">
        <x:v>Dimensiones y mecanizados según plano nativo actualizado.</x:v>
      </x:c>
    </x:row>
    <x:row r="192" ht="36" customHeight="1">
      <x:c r="A192" s="9" t="n">
        <x:v>347</x:v>
      </x:c>
      <x:c r="B192" s="5" t="str">
        <x:v>TT10_M221</x:v>
      </x:c>
      <x:c r="C192" s="9" t="n">
        <x:v>1</x:v>
      </x:c>
      <x:c r="D192" s="5" t="str">
        <x:v>Según plano</x:v>
      </x:c>
      <x:c r="E192" s="5" t="str">
        <x:v>Elastómero; curva dinámica de compresión por definir</x:v>
      </x:c>
      <x:c r="F192" s="5" t="str">
        <x:v>Cama elastomérica25 perforada para casquillos limitadores</x:v>
      </x:c>
      <x:c r="G192" s="12"/>
      <x:c r="H192" s="12"/>
      <x:c r="I192" s="12"/>
      <x:c r="J192" s="12"/>
      <x:c r="K192" s="12" t="n">
        <x:f>C192</x:f>
        <x:v>1</x:v>
      </x:c>
      <x:c r="L192" s="5" t="str">
        <x:v>ud</x:v>
      </x:c>
      <x:c r="M192" s="5" t="str">
        <x:v>TT10_C05_PC_08</x:v>
      </x:c>
      <x:c r="N192" s="5" t="str">
        <x:v>Dimensiones y mecanizados según plano nativo actualizado.</x:v>
      </x:c>
    </x:row>
    <x:row r="193" ht="36" customHeight="1">
      <x:c r="A193" s="8" t="n">
        <x:v>348</x:v>
      </x:c>
      <x:c r="B193" s="4" t="str">
        <x:v>TT10_M226</x:v>
      </x:c>
      <x:c r="C193" s="8" t="n">
        <x:v>1</x:v>
      </x:c>
      <x:c r="D193" s="4" t="str">
        <x:v>Según plano</x:v>
      </x:c>
      <x:c r="E193" s="4" t="str">
        <x:v>S275J0H / EN 10219-1</x:v>
      </x:c>
      <x:c r="F193" s="4" t="str">
        <x:v>Perfil tubular 200 x 150 x 10; L 2200</x:v>
      </x:c>
      <x:c r="G193" s="11"/>
      <x:c r="H193" s="11"/>
      <x:c r="I193" s="11"/>
      <x:c r="J193" s="11"/>
      <x:c r="K193" s="11" t="n">
        <x:f>C193</x:f>
        <x:v>1</x:v>
      </x:c>
      <x:c r="L193" s="4" t="str">
        <x:v>ud</x:v>
      </x:c>
      <x:c r="M193" s="4" t="str">
        <x:v>TT10_C05_PC_05</x:v>
      </x:c>
      <x:c r="N193" s="4" t="str">
        <x:v>Dimensiones y mecanizados según plano nativo actualizado.</x:v>
      </x:c>
    </x:row>
    <x:row r="194" ht="36" customHeight="1">
      <x:c r="A194" s="9" t="n">
        <x:v>349</x:v>
      </x:c>
      <x:c r="B194" s="5" t="str">
        <x:v>TT10_M231</x:v>
      </x:c>
      <x:c r="C194" s="9" t="n">
        <x:v>1</x:v>
      </x:c>
      <x:c r="D194" s="5" t="str">
        <x:v>Según plano</x:v>
      </x:c>
      <x:c r="E194" s="5" t="str">
        <x:v>ASTM A36</x:v>
      </x:c>
      <x:c r="F194" s="5" t="str">
        <x:v>Pieza TT10_M231</x:v>
      </x:c>
      <x:c r="G194" s="12"/>
      <x:c r="H194" s="12"/>
      <x:c r="I194" s="12"/>
      <x:c r="J194" s="12"/>
      <x:c r="K194" s="12" t="n">
        <x:f>C194</x:f>
        <x:v>1</x:v>
      </x:c>
      <x:c r="L194" s="5" t="str">
        <x:v>ud</x:v>
      </x:c>
      <x:c r="M194" s="5" t="str">
        <x:v>TT10_C05_PC_06</x:v>
      </x:c>
      <x:c r="N194" s="5" t="str">
        <x:v>Dimensiones y mecanizados según plano nativo actualizado.</x:v>
      </x:c>
    </x:row>
    <x:row r="195" ht="36" customHeight="1">
      <x:c r="A195" s="8" t="n">
        <x:v>350</x:v>
      </x:c>
      <x:c r="B195" s="4" t="str">
        <x:v>TT10_M236</x:v>
      </x:c>
      <x:c r="C195" s="8" t="n">
        <x:v>1</x:v>
      </x:c>
      <x:c r="D195" s="4" t="str">
        <x:v>Según plano</x:v>
      </x:c>
      <x:c r="E195" s="4" t="str">
        <x:v>S275J0H / EN 10219-1</x:v>
      </x:c>
      <x:c r="F195" s="4" t="str">
        <x:v>Perfil tubular 150 x 100 x 8; L 3600</x:v>
      </x:c>
      <x:c r="G195" s="11"/>
      <x:c r="H195" s="11"/>
      <x:c r="I195" s="11"/>
      <x:c r="J195" s="11"/>
      <x:c r="K195" s="11" t="n">
        <x:f>C195</x:f>
        <x:v>1</x:v>
      </x:c>
      <x:c r="L195" s="4" t="str">
        <x:v>ud</x:v>
      </x:c>
      <x:c r="M195" s="4" t="str">
        <x:v>TT10_C05_PC_05</x:v>
      </x:c>
      <x:c r="N195" s="4" t="str">
        <x:v>Dimensiones y mecanizados según plano nativo actualizado.</x:v>
      </x:c>
    </x:row>
    <x:row r="196" ht="36" customHeight="1">
      <x:c r="A196" s="9" t="n">
        <x:v>351</x:v>
      </x:c>
      <x:c r="B196" s="5" t="str">
        <x:v>TT10_M241</x:v>
      </x:c>
      <x:c r="C196" s="9" t="n">
        <x:v>1</x:v>
      </x:c>
      <x:c r="D196" s="5" t="str">
        <x:v>Según plano</x:v>
      </x:c>
      <x:c r="E196" s="5" t="str">
        <x:v>Elastómero; curva dinámica de compresión por definir</x:v>
      </x:c>
      <x:c r="F196" s="5" t="str">
        <x:v>Cama elastomérica25 perforada para casquillos limitadores</x:v>
      </x:c>
      <x:c r="G196" s="12"/>
      <x:c r="H196" s="12"/>
      <x:c r="I196" s="12"/>
      <x:c r="J196" s="12"/>
      <x:c r="K196" s="12" t="n">
        <x:f>C196</x:f>
        <x:v>1</x:v>
      </x:c>
      <x:c r="L196" s="5" t="str">
        <x:v>ud</x:v>
      </x:c>
      <x:c r="M196" s="5" t="str">
        <x:v>TT10_C05_PC_08</x:v>
      </x:c>
      <x:c r="N196" s="5" t="str">
        <x:v>Dimensiones y mecanizados según plano nativo actualizado.</x:v>
      </x:c>
    </x:row>
    <x:row r="197" ht="36" customHeight="1">
      <x:c r="A197" s="8" t="n">
        <x:v>352</x:v>
      </x:c>
      <x:c r="B197" s="4" t="str">
        <x:v>TT10_M246</x:v>
      </x:c>
      <x:c r="C197" s="8" t="n">
        <x:v>1</x:v>
      </x:c>
      <x:c r="D197" s="4" t="str">
        <x:v>Según plano</x:v>
      </x:c>
      <x:c r="E197" s="4" t="str">
        <x:v>ASTM A36</x:v>
      </x:c>
      <x:c r="F197" s="4" t="str">
        <x:v>Pieza TT10_M246</x:v>
      </x:c>
      <x:c r="G197" s="11"/>
      <x:c r="H197" s="11"/>
      <x:c r="I197" s="11"/>
      <x:c r="J197" s="11"/>
      <x:c r="K197" s="11" t="n">
        <x:f>C197</x:f>
        <x:v>1</x:v>
      </x:c>
      <x:c r="L197" s="4" t="str">
        <x:v>ud</x:v>
      </x:c>
      <x:c r="M197" s="4" t="str">
        <x:v>TT10_C05_PC_07</x:v>
      </x:c>
      <x:c r="N197" s="4" t="str">
        <x:v>Dimensiones y mecanizados según plano nativo actualizado.</x:v>
      </x:c>
    </x:row>
    <x:row r="198" ht="36" customHeight="1">
      <x:c r="A198" s="9" t="n">
        <x:v>353</x:v>
      </x:c>
      <x:c r="B198" s="5" t="str">
        <x:v>TT10_M251</x:v>
      </x:c>
      <x:c r="C198" s="9" t="n">
        <x:v>1</x:v>
      </x:c>
      <x:c r="D198" s="5" t="str">
        <x:v>Según plano</x:v>
      </x:c>
      <x:c r="E198" s="5" t="str">
        <x:v>ASTM A36</x:v>
      </x:c>
      <x:c r="F198" s="5" t="str">
        <x:v>Pieza TT10_M251</x:v>
      </x:c>
      <x:c r="G198" s="12"/>
      <x:c r="H198" s="12"/>
      <x:c r="I198" s="12"/>
      <x:c r="J198" s="12"/>
      <x:c r="K198" s="12" t="n">
        <x:f>C198</x:f>
        <x:v>1</x:v>
      </x:c>
      <x:c r="L198" s="5" t="str">
        <x:v>ud</x:v>
      </x:c>
      <x:c r="M198" s="5" t="str">
        <x:v>TT10_C05_PC_07</x:v>
      </x:c>
      <x:c r="N198" s="5" t="str">
        <x:v>Dimensiones y mecanizados según plano nativo actualizado.</x:v>
      </x:c>
    </x:row>
    <x:row r="199" ht="36" customHeight="1">
      <x:c r="A199" s="8" t="n">
        <x:v>354</x:v>
      </x:c>
      <x:c r="B199" s="4" t="str">
        <x:v>TT10_M256</x:v>
      </x:c>
      <x:c r="C199" s="8" t="n">
        <x:v>1</x:v>
      </x:c>
      <x:c r="D199" s="4" t="str">
        <x:v>Según plano</x:v>
      </x:c>
      <x:c r="E199" s="4" t="str">
        <x:v>Hardox 400</x:v>
      </x:c>
      <x:c r="F199" s="4" t="str">
        <x:v>Revestimiento AR400 t12 con ocho M16 avellanados desmontables</x:v>
      </x:c>
      <x:c r="G199" s="11"/>
      <x:c r="H199" s="11"/>
      <x:c r="I199" s="11"/>
      <x:c r="J199" s="11"/>
      <x:c r="K199" s="11" t="n">
        <x:f>C199</x:f>
        <x:v>1</x:v>
      </x:c>
      <x:c r="L199" s="4" t="str">
        <x:v>ud</x:v>
      </x:c>
      <x:c r="M199" s="4" t="str">
        <x:v>TT10_C05_PC_08</x:v>
      </x:c>
      <x:c r="N199" s="4" t="str">
        <x:v>Dimensiones y mecanizados según plano nativo actualizado.</x:v>
      </x:c>
    </x:row>
    <x:row r="200" ht="36" customHeight="1">
      <x:c r="A200" s="9" t="n">
        <x:v>355</x:v>
      </x:c>
      <x:c r="B200" s="5" t="str">
        <x:v>TT10_M261</x:v>
      </x:c>
      <x:c r="C200" s="9" t="n">
        <x:v>1</x:v>
      </x:c>
      <x:c r="D200" s="5" t="str">
        <x:v>Según plano</x:v>
      </x:c>
      <x:c r="E200" s="5" t="str">
        <x:v>ASTM A36</x:v>
      </x:c>
      <x:c r="F200" s="5" t="str">
        <x:v>Pieza TT10_M261</x:v>
      </x:c>
      <x:c r="G200" s="12"/>
      <x:c r="H200" s="12"/>
      <x:c r="I200" s="12"/>
      <x:c r="J200" s="12"/>
      <x:c r="K200" s="12" t="n">
        <x:f>C200</x:f>
        <x:v>1</x:v>
      </x:c>
      <x:c r="L200" s="5" t="str">
        <x:v>ud</x:v>
      </x:c>
      <x:c r="M200" s="5" t="str">
        <x:v>TT10_C05_PC_05</x:v>
      </x:c>
      <x:c r="N200" s="5" t="str">
        <x:v>Dimensiones y mecanizados según plano nativo actualizado.</x:v>
      </x:c>
    </x:row>
    <x:row r="201" ht="36" customHeight="1">
      <x:c r="A201" s="8" t="n">
        <x:v>356</x:v>
      </x:c>
      <x:c r="B201" s="4" t="str">
        <x:v>TT10_M266</x:v>
      </x:c>
      <x:c r="C201" s="8" t="n">
        <x:v>1</x:v>
      </x:c>
      <x:c r="D201" s="4" t="str">
        <x:v>Según plano</x:v>
      </x:c>
      <x:c r="E201" s="4" t="str">
        <x:v>Hardox 400</x:v>
      </x:c>
      <x:c r="F201" s="4" t="str">
        <x:v>Revestimiento AR400 t12 con ocho M16 avellanados desmontables</x:v>
      </x:c>
      <x:c r="G201" s="11"/>
      <x:c r="H201" s="11"/>
      <x:c r="I201" s="11"/>
      <x:c r="J201" s="11"/>
      <x:c r="K201" s="11" t="n">
        <x:f>C201</x:f>
        <x:v>1</x:v>
      </x:c>
      <x:c r="L201" s="4" t="str">
        <x:v>ud</x:v>
      </x:c>
      <x:c r="M201" s="4" t="str">
        <x:v>TT10_C05_PC_08</x:v>
      </x:c>
      <x:c r="N201" s="4" t="str">
        <x:v>Dimensiones y mecanizados según plano nativo actualizado.</x:v>
      </x:c>
    </x:row>
    <x:row r="202" ht="36" customHeight="1">
      <x:c r="A202" s="9" t="n">
        <x:v>358</x:v>
      </x:c>
      <x:c r="B202" s="5" t="str">
        <x:v>TT10_M276</x:v>
      </x:c>
      <x:c r="C202" s="9" t="n">
        <x:v>1</x:v>
      </x:c>
      <x:c r="D202" s="5" t="str">
        <x:v>Según plano</x:v>
      </x:c>
      <x:c r="E202" s="5" t="str">
        <x:v>Strenx700E t50; Rp0.2min700MPa</x:v>
      </x:c>
      <x:c r="F202" s="5" t="str">
        <x:v>Brazo monolítico Strenx 700E t50; perfil 800 x 650; R50; agujero Ø65,5</x:v>
      </x:c>
      <x:c r="G202" s="12"/>
      <x:c r="H202" s="12"/>
      <x:c r="I202" s="12"/>
      <x:c r="J202" s="12"/>
      <x:c r="K202" s="12" t="n">
        <x:f>C202</x:f>
        <x:v>1</x:v>
      </x:c>
      <x:c r="L202" s="5" t="str">
        <x:v>ud</x:v>
      </x:c>
      <x:c r="M202" s="5" t="str">
        <x:v>TT10_C05_PC_05</x:v>
      </x:c>
      <x:c r="N202" s="5" t="str">
        <x:v>Dimensiones y mecanizados según plano nativo actualizado.</x:v>
      </x:c>
    </x:row>
    <x:row r="203" ht="36" customHeight="1">
      <x:c r="A203" s="8" t="n">
        <x:v>359</x:v>
      </x:c>
      <x:c r="B203" s="4" t="str">
        <x:v>TT10_M281</x:v>
      </x:c>
      <x:c r="C203" s="8" t="n">
        <x:v>1</x:v>
      </x:c>
      <x:c r="D203" s="4" t="str">
        <x:v>Según plano</x:v>
      </x:c>
      <x:c r="E203" s="4" t="str">
        <x:v>ASTM A36</x:v>
      </x:c>
      <x:c r="F203" s="4" t="str">
        <x:v>Pieza TT10_M281</x:v>
      </x:c>
      <x:c r="G203" s="11"/>
      <x:c r="H203" s="11"/>
      <x:c r="I203" s="11"/>
      <x:c r="J203" s="11"/>
      <x:c r="K203" s="11" t="n">
        <x:f>C203</x:f>
        <x:v>1</x:v>
      </x:c>
      <x:c r="L203" s="4" t="str">
        <x:v>ud</x:v>
      </x:c>
      <x:c r="M203" s="4" t="str">
        <x:v>TT10_C05_PC_06</x:v>
      </x:c>
      <x:c r="N203" s="4" t="str">
        <x:v>Dimensiones y mecanizados según plano nativo actualizado.</x:v>
      </x:c>
    </x:row>
    <x:row r="204" ht="36" customHeight="1">
      <x:c r="A204" s="9" t="n">
        <x:v>360</x:v>
      </x:c>
      <x:c r="B204" s="5" t="str">
        <x:v>TT10_M286</x:v>
      </x:c>
      <x:c r="C204" s="9" t="n">
        <x:v>1</x:v>
      </x:c>
      <x:c r="D204" s="5" t="str">
        <x:v>Según plano</x:v>
      </x:c>
      <x:c r="E204" s="5" t="str">
        <x:v>ASTM A36</x:v>
      </x:c>
      <x:c r="F204" s="5" t="str">
        <x:v>Pieza TT10_M286</x:v>
      </x:c>
      <x:c r="G204" s="12"/>
      <x:c r="H204" s="12"/>
      <x:c r="I204" s="12"/>
      <x:c r="J204" s="12"/>
      <x:c r="K204" s="12" t="n">
        <x:f>C204</x:f>
        <x:v>1</x:v>
      </x:c>
      <x:c r="L204" s="5" t="str">
        <x:v>ud</x:v>
      </x:c>
      <x:c r="M204" s="5" t="str">
        <x:v>TT10_C05_PC_06</x:v>
      </x:c>
      <x:c r="N204" s="5" t="str">
        <x:v>Dimensiones y mecanizados según plano nativo actualizado.</x:v>
      </x:c>
    </x:row>
    <x:row r="205" ht="36" customHeight="1">
      <x:c r="A205" s="8" t="n">
        <x:v>361</x:v>
      </x:c>
      <x:c r="B205" s="4" t="str">
        <x:v>TT10_M291</x:v>
      </x:c>
      <x:c r="C205" s="8" t="n">
        <x:v>1</x:v>
      </x:c>
      <x:c r="D205" s="4" t="str">
        <x:v>Según plano</x:v>
      </x:c>
      <x:c r="E205" s="4" t="str">
        <x:v>ASTM A36</x:v>
      </x:c>
      <x:c r="F205" s="4" t="str">
        <x:v>Pieza TT10_M291</x:v>
      </x:c>
      <x:c r="G205" s="11"/>
      <x:c r="H205" s="11"/>
      <x:c r="I205" s="11"/>
      <x:c r="J205" s="11"/>
      <x:c r="K205" s="11" t="n">
        <x:f>C205</x:f>
        <x:v>1</x:v>
      </x:c>
      <x:c r="L205" s="4" t="str">
        <x:v>ud</x:v>
      </x:c>
      <x:c r="M205" s="4" t="str">
        <x:v>TT10_C05_PC_07</x:v>
      </x:c>
      <x:c r="N205" s="4" t="str">
        <x:v>Dimensiones y mecanizados según plano nativo actualizado.</x:v>
      </x:c>
    </x:row>
    <x:row r="206" ht="36" customHeight="1">
      <x:c r="A206" s="9" t="n">
        <x:v>362</x:v>
      </x:c>
      <x:c r="B206" s="5" t="str">
        <x:v>TT10_M296</x:v>
      </x:c>
      <x:c r="C206" s="9" t="n">
        <x:v>1</x:v>
      </x:c>
      <x:c r="D206" s="5" t="str">
        <x:v>Según plano</x:v>
      </x:c>
      <x:c r="E206" s="5" t="str">
        <x:v>ASTM A36</x:v>
      </x:c>
      <x:c r="F206" s="5" t="str">
        <x:v>Pieza TT10_M296</x:v>
      </x:c>
      <x:c r="G206" s="12"/>
      <x:c r="H206" s="12"/>
      <x:c r="I206" s="12"/>
      <x:c r="J206" s="12"/>
      <x:c r="K206" s="12" t="n">
        <x:f>C206</x:f>
        <x:v>1</x:v>
      </x:c>
      <x:c r="L206" s="5" t="str">
        <x:v>ud</x:v>
      </x:c>
      <x:c r="M206" s="5" t="str">
        <x:v>TT10_C05_PC_06</x:v>
      </x:c>
      <x:c r="N206" s="5" t="str">
        <x:v>Dimensiones y mecanizados según plano nativo actualizado.</x:v>
      </x:c>
    </x:row>
    <x:row r="207" ht="36" customHeight="1">
      <x:c r="A207" s="8" t="n">
        <x:v>363</x:v>
      </x:c>
      <x:c r="B207" s="4" t="str">
        <x:v>TT10_M301</x:v>
      </x:c>
      <x:c r="C207" s="8" t="n">
        <x:v>1</x:v>
      </x:c>
      <x:c r="D207" s="4" t="str">
        <x:v>Según plano</x:v>
      </x:c>
      <x:c r="E207" s="4" t="str">
        <x:v>ASTM A36</x:v>
      </x:c>
      <x:c r="F207" s="4" t="str">
        <x:v>Pieza TT10_M301</x:v>
      </x:c>
      <x:c r="G207" s="11"/>
      <x:c r="H207" s="11"/>
      <x:c r="I207" s="11"/>
      <x:c r="J207" s="11"/>
      <x:c r="K207" s="11" t="n">
        <x:f t="shared" ref="K207:K214" si="7">C207</x:f>
        <x:v>1</x:v>
      </x:c>
      <x:c r="L207" s="4" t="str">
        <x:v>ud</x:v>
      </x:c>
      <x:c r="M207" s="4" t="str">
        <x:v>TT10_C05_PC_06</x:v>
      </x:c>
      <x:c r="N207" s="4" t="str">
        <x:v>Dimensiones y mecanizados según plano nativo actualizado.</x:v>
      </x:c>
    </x:row>
    <x:row r="208" ht="36" customHeight="1">
      <x:c r="A208" s="9" t="n">
        <x:v>365</x:v>
      </x:c>
      <x:c r="B208" s="5" t="str">
        <x:v>TT10_M311</x:v>
      </x:c>
      <x:c r="C208" s="9" t="n">
        <x:v>1</x:v>
      </x:c>
      <x:c r="D208" s="5" t="str">
        <x:v>Según plano</x:v>
      </x:c>
      <x:c r="E208" s="5" t="str">
        <x:v>Strenx700E t30; Rp0.2min700MPa</x:v>
      </x:c>
      <x:c r="F208" s="5" t="str">
        <x:v>Yugo cajón 400 x 200 x 1116, t30; 2 diafragmas 340 x 140 x 30; agujero Ø202</x:v>
      </x:c>
      <x:c r="G208" s="12"/>
      <x:c r="H208" s="12"/>
      <x:c r="I208" s="12"/>
      <x:c r="J208" s="12"/>
      <x:c r="K208" s="12" t="n">
        <x:f t="shared" si="7">C208</x:f>
        <x:v>1</x:v>
      </x:c>
      <x:c r="L208" s="5" t="str">
        <x:v>ud</x:v>
      </x:c>
      <x:c r="M208" s="5" t="str">
        <x:v>TT10_C05_PC_05</x:v>
      </x:c>
      <x:c r="N208" s="5" t="str">
        <x:v>Despiece de chapas en pestaña Chapas cajones.</x:v>
      </x:c>
    </x:row>
    <x:row r="209" ht="36" customHeight="1">
      <x:c r="A209" s="8" t="n">
        <x:v>366</x:v>
      </x:c>
      <x:c r="B209" s="4" t="str">
        <x:v>TT10_M316</x:v>
      </x:c>
      <x:c r="C209" s="8" t="n">
        <x:v>1</x:v>
      </x:c>
      <x:c r="D209" s="4" t="str">
        <x:v>Según plano</x:v>
      </x:c>
      <x:c r="E209" s="4" t="str">
        <x:v>ASTM A36</x:v>
      </x:c>
      <x:c r="F209" s="4" t="str">
        <x:v>Pieza TT10_M316</x:v>
      </x:c>
      <x:c r="G209" s="11"/>
      <x:c r="H209" s="11"/>
      <x:c r="I209" s="11"/>
      <x:c r="J209" s="11"/>
      <x:c r="K209" s="11" t="n">
        <x:f t="shared" si="7">C209</x:f>
        <x:v>1</x:v>
      </x:c>
      <x:c r="L209" s="4" t="str">
        <x:v>ud</x:v>
      </x:c>
      <x:c r="M209" s="4" t="str">
        <x:v>TT10_C05_PC_06</x:v>
      </x:c>
      <x:c r="N209" s="4" t="str">
        <x:v>Dimensiones y mecanizados según plano nativo actualizado.</x:v>
      </x:c>
    </x:row>
    <x:row r="210" ht="36" customHeight="1">
      <x:c r="A210" s="9" t="n">
        <x:v>367</x:v>
      </x:c>
      <x:c r="B210" s="5" t="str">
        <x:v>TT10_M326</x:v>
      </x:c>
      <x:c r="C210" s="9" t="n">
        <x:v>1</x:v>
      </x:c>
      <x:c r="D210" s="5" t="str">
        <x:v>Según plano</x:v>
      </x:c>
      <x:c r="E210" s="5" t="str">
        <x:v>ASTM A36</x:v>
      </x:c>
      <x:c r="F210" s="5" t="str">
        <x:v>Pieza TT10_M326</x:v>
      </x:c>
      <x:c r="G210" s="12"/>
      <x:c r="H210" s="12"/>
      <x:c r="I210" s="12"/>
      <x:c r="J210" s="12"/>
      <x:c r="K210" s="12" t="n">
        <x:f t="shared" si="7">C210</x:f>
        <x:v>1</x:v>
      </x:c>
      <x:c r="L210" s="5" t="str">
        <x:v>ud</x:v>
      </x:c>
      <x:c r="M210" s="5" t="str">
        <x:v>TT10_C05_PC_06</x:v>
      </x:c>
      <x:c r="N210" s="5" t="str">
        <x:v>Dimensiones y mecanizados según plano nativo actualizado.</x:v>
      </x:c>
    </x:row>
    <x:row r="211" ht="36" customHeight="1">
      <x:c r="A211" s="8" t="n">
        <x:v>368</x:v>
      </x:c>
      <x:c r="B211" s="4" t="str">
        <x:v>TT10_M331</x:v>
      </x:c>
      <x:c r="C211" s="8" t="n">
        <x:v>1</x:v>
      </x:c>
      <x:c r="D211" s="4" t="str">
        <x:v>Según plano</x:v>
      </x:c>
      <x:c r="E211" s="4" t="str">
        <x:v>ASTM A36</x:v>
      </x:c>
      <x:c r="F211" s="4" t="str">
        <x:v>Pieza TT10_M331</x:v>
      </x:c>
      <x:c r="G211" s="11"/>
      <x:c r="H211" s="11"/>
      <x:c r="I211" s="11"/>
      <x:c r="J211" s="11"/>
      <x:c r="K211" s="11" t="n">
        <x:f t="shared" si="7">C211</x:f>
        <x:v>1</x:v>
      </x:c>
      <x:c r="L211" s="4" t="str">
        <x:v>ud</x:v>
      </x:c>
      <x:c r="M211" s="4" t="str">
        <x:v>TT10_C05_PC_06</x:v>
      </x:c>
      <x:c r="N211" s="4" t="str">
        <x:v>Dimensiones y mecanizados según plano nativo actualizado.</x:v>
      </x:c>
    </x:row>
    <x:row r="212" ht="36" customHeight="1">
      <x:c r="A212" s="9" t="n">
        <x:v>369</x:v>
      </x:c>
      <x:c r="B212" s="5" t="str">
        <x:v>TT10_M336</x:v>
      </x:c>
      <x:c r="C212" s="9" t="n">
        <x:v>1</x:v>
      </x:c>
      <x:c r="D212" s="5" t="str">
        <x:v>Según plano</x:v>
      </x:c>
      <x:c r="E212" s="5" t="str">
        <x:v>S275J0H / EN 10219-1</x:v>
      </x:c>
      <x:c r="F212" s="5" t="str">
        <x:v>Perfil tubular 200 x 100 x 10; L 250</x:v>
      </x:c>
      <x:c r="G212" s="12"/>
      <x:c r="H212" s="12"/>
      <x:c r="I212" s="12"/>
      <x:c r="J212" s="12"/>
      <x:c r="K212" s="12" t="n">
        <x:f t="shared" si="7">C212</x:f>
        <x:v>1</x:v>
      </x:c>
      <x:c r="L212" s="5" t="str">
        <x:v>ud</x:v>
      </x:c>
      <x:c r="M212" s="5" t="str">
        <x:v>TT10_C05_PC_05</x:v>
      </x:c>
      <x:c r="N212" s="5" t="str">
        <x:v>Dimensiones y mecanizados según plano nativo actualizado.</x:v>
      </x:c>
    </x:row>
    <x:row r="213" ht="36" customHeight="1">
      <x:c r="A213" s="8" t="n">
        <x:v>370</x:v>
      </x:c>
      <x:c r="B213" s="4" t="str">
        <x:v>TT10_M341</x:v>
      </x:c>
      <x:c r="C213" s="8" t="n">
        <x:v>1</x:v>
      </x:c>
      <x:c r="D213" s="4" t="str">
        <x:v>Según plano</x:v>
      </x:c>
      <x:c r="E213" s="4" t="str">
        <x:v>ASTM A36</x:v>
      </x:c>
      <x:c r="F213" s="4" t="str">
        <x:v>Pieza TT10_M341</x:v>
      </x:c>
      <x:c r="G213" s="11"/>
      <x:c r="H213" s="11"/>
      <x:c r="I213" s="11"/>
      <x:c r="J213" s="11"/>
      <x:c r="K213" s="11" t="n">
        <x:f t="shared" si="7">C213</x:f>
        <x:v>1</x:v>
      </x:c>
      <x:c r="L213" s="4" t="str">
        <x:v>ud</x:v>
      </x:c>
      <x:c r="M213" s="4" t="str">
        <x:v>TT10_C05_PC_06</x:v>
      </x:c>
      <x:c r="N213" s="4" t="str">
        <x:v>Dimensiones y mecanizados según plano nativo actualizado.</x:v>
      </x:c>
    </x:row>
    <x:row r="214" ht="36" customHeight="1">
      <x:c r="A214" s="9" t="n">
        <x:v>371</x:v>
      </x:c>
      <x:c r="B214" s="5" t="str">
        <x:v>TT10_M346</x:v>
      </x:c>
      <x:c r="C214" s="9" t="n">
        <x:v>1</x:v>
      </x:c>
      <x:c r="D214" s="5" t="str">
        <x:v>Según plano</x:v>
      </x:c>
      <x:c r="E214" s="5" t="str">
        <x:v>ASTM A36</x:v>
      </x:c>
      <x:c r="F214" s="5" t="str">
        <x:v>Pieza TT10_M346</x:v>
      </x:c>
      <x:c r="G214" s="12"/>
      <x:c r="H214" s="12"/>
      <x:c r="I214" s="12"/>
      <x:c r="J214" s="12"/>
      <x:c r="K214" s="12" t="n">
        <x:f t="shared" si="7">C214</x:f>
        <x:v>1</x:v>
      </x:c>
      <x:c r="L214" s="5" t="str">
        <x:v>ud</x:v>
      </x:c>
      <x:c r="M214" s="5" t="str">
        <x:v>TT10_C05_PC_06</x:v>
      </x:c>
      <x:c r="N214" s="5" t="str">
        <x:v>Dimensiones y mecanizados según plano nativo actualizado.</x:v>
      </x:c>
    </x:row>
    <x:row r="215" ht="36" customHeight="1">
      <x:c r="A215" s="8" t="n">
        <x:v>372</x:v>
      </x:c>
      <x:c r="B215" s="4" t="str">
        <x:v>TT10_M351</x:v>
      </x:c>
      <x:c r="C215" s="8" t="n">
        <x:v>1</x:v>
      </x:c>
      <x:c r="D215" s="4" t="str">
        <x:v>Según plano</x:v>
      </x:c>
      <x:c r="E215" s="4" t="str">
        <x:v>Strenx700E t50; Rp0.2min700MPa</x:v>
      </x:c>
      <x:c r="F215" s="4" t="str">
        <x:v>Brazo monolítico Strenx 700E t50; perfil 800 x 650; R50; agujero Ø65,5</x:v>
      </x:c>
      <x:c r="G215" s="11"/>
      <x:c r="H215" s="11"/>
      <x:c r="I215" s="11"/>
      <x:c r="J215" s="11"/>
      <x:c r="K215" s="11" t="n">
        <x:f>C215</x:f>
        <x:v>1</x:v>
      </x:c>
      <x:c r="L215" s="4" t="str">
        <x:v>ud</x:v>
      </x:c>
      <x:c r="M215" s="4" t="str">
        <x:v>TT10_C05_PC_05</x:v>
      </x:c>
      <x:c r="N215" s="4" t="str">
        <x:v>Dimensiones y mecanizados según plano nativo actualizado.</x:v>
      </x:c>
    </x:row>
    <x:row r="216" ht="36" customHeight="1">
      <x:c r="A216" s="9" t="n">
        <x:v>373</x:v>
      </x:c>
      <x:c r="B216" s="5" t="str">
        <x:v>TT10_M356</x:v>
      </x:c>
      <x:c r="C216" s="9" t="n">
        <x:v>1</x:v>
      </x:c>
      <x:c r="D216" s="5" t="str">
        <x:v>Según plano</x:v>
      </x:c>
      <x:c r="E216" s="5" t="str">
        <x:v>S275J0H / EN 10219-1</x:v>
      </x:c>
      <x:c r="F216" s="5" t="str">
        <x:v>Perfil tubular 400 x 200 x 16; L 5600</x:v>
      </x:c>
      <x:c r="G216" s="12"/>
      <x:c r="H216" s="12"/>
      <x:c r="I216" s="12"/>
      <x:c r="J216" s="12"/>
      <x:c r="K216" s="12" t="n">
        <x:f>C216</x:f>
        <x:v>1</x:v>
      </x:c>
      <x:c r="L216" s="5" t="str">
        <x:v>ud</x:v>
      </x:c>
      <x:c r="M216" s="5" t="str">
        <x:v>TT10_C05_PC_05</x:v>
      </x:c>
      <x:c r="N216" s="5" t="str">
        <x:v>Dimensiones y mecanizados según plano nativo actualizado.</x:v>
      </x:c>
    </x:row>
    <x:row r="217" ht="36" customHeight="1">
      <x:c r="A217" s="8" t="n">
        <x:v>374</x:v>
      </x:c>
      <x:c r="B217" s="4" t="str">
        <x:v>TT10_M361</x:v>
      </x:c>
      <x:c r="C217" s="8" t="n">
        <x:v>1</x:v>
      </x:c>
      <x:c r="D217" s="4" t="str">
        <x:v>Según plano</x:v>
      </x:c>
      <x:c r="E217" s="4" t="str">
        <x:v>ASTM A36</x:v>
      </x:c>
      <x:c r="F217" s="4" t="str">
        <x:v>Pieza TT10_M361</x:v>
      </x:c>
      <x:c r="G217" s="11"/>
      <x:c r="H217" s="11"/>
      <x:c r="I217" s="11"/>
      <x:c r="J217" s="11"/>
      <x:c r="K217" s="11" t="n">
        <x:f>C217</x:f>
        <x:v>1</x:v>
      </x:c>
      <x:c r="L217" s="4" t="str">
        <x:v>ud</x:v>
      </x:c>
      <x:c r="M217" s="4" t="str">
        <x:v>TT10_C05_PC_07</x:v>
      </x:c>
      <x:c r="N217" s="4" t="str">
        <x:v>Dimensiones y mecanizados según plano nativo actualizado.</x:v>
      </x:c>
    </x:row>
    <x:row r="218" ht="36" customHeight="1">
      <x:c r="A218" s="9" t="n">
        <x:v>376</x:v>
      </x:c>
      <x:c r="B218" s="5" t="str">
        <x:v>TT10_M371</x:v>
      </x:c>
      <x:c r="C218" s="9" t="n">
        <x:v>1</x:v>
      </x:c>
      <x:c r="D218" s="5" t="str">
        <x:v>Según plano</x:v>
      </x:c>
      <x:c r="E218" s="5" t="str">
        <x:v>ASTM A36</x:v>
      </x:c>
      <x:c r="F218" s="5" t="str">
        <x:v>Pieza TT10_M371</x:v>
      </x:c>
      <x:c r="G218" s="12"/>
      <x:c r="H218" s="12"/>
      <x:c r="I218" s="12"/>
      <x:c r="J218" s="12"/>
      <x:c r="K218" s="12" t="n">
        <x:f>C218</x:f>
        <x:v>1</x:v>
      </x:c>
      <x:c r="L218" s="5" t="str">
        <x:v>ud</x:v>
      </x:c>
      <x:c r="M218" s="5" t="str">
        <x:v>TT10_C05_PC_05</x:v>
      </x:c>
      <x:c r="N218" s="5" t="str">
        <x:v>Dimensiones y mecanizados según plano nativo actualizado.</x:v>
      </x:c>
    </x:row>
    <x:row r="219" ht="36" customHeight="1">
      <x:c r="A219" s="8" t="n">
        <x:v>377</x:v>
      </x:c>
      <x:c r="B219" s="4" t="str">
        <x:v>TT10_M376</x:v>
      </x:c>
      <x:c r="C219" s="8" t="n">
        <x:v>1</x:v>
      </x:c>
      <x:c r="D219" s="4" t="str">
        <x:v>Según plano</x:v>
      </x:c>
      <x:c r="E219" s="4" t="str">
        <x:v>ASTM A36</x:v>
      </x:c>
      <x:c r="F219" s="4" t="str">
        <x:v>Contraplaca80 con doce M30 ciegas78 PCD450, apriete desde exterior</x:v>
      </x:c>
      <x:c r="G219" s="11"/>
      <x:c r="H219" s="11"/>
      <x:c r="I219" s="11"/>
      <x:c r="J219" s="11"/>
      <x:c r="K219" s="11" t="n">
        <x:f>C219</x:f>
        <x:v>1</x:v>
      </x:c>
      <x:c r="L219" s="4" t="str">
        <x:v>ud</x:v>
      </x:c>
      <x:c r="M219" s="4" t="str">
        <x:v>TT10_C05_PC_09</x:v>
      </x:c>
      <x:c r="N219" s="4" t="str">
        <x:v>Dimensiones y mecanizados según plano nativo actualizado.</x:v>
      </x:c>
    </x:row>
    <x:row r="220" ht="36" customHeight="1">
      <x:c r="A220" s="9" t="n">
        <x:v>378</x:v>
      </x:c>
      <x:c r="B220" s="5" t="str">
        <x:v>TT10_M381</x:v>
      </x:c>
      <x:c r="C220" s="9" t="n">
        <x:v>1</x:v>
      </x:c>
      <x:c r="D220" s="5" t="str">
        <x:v>Según plano</x:v>
      </x:c>
      <x:c r="E220" s="5" t="str">
        <x:v>S275J0H / EN 10219-1</x:v>
      </x:c>
      <x:c r="F220" s="5" t="str">
        <x:v>Perfil tubular 200 x 150 x 10; L 2200</x:v>
      </x:c>
      <x:c r="G220" s="12"/>
      <x:c r="H220" s="12"/>
      <x:c r="I220" s="12"/>
      <x:c r="J220" s="12"/>
      <x:c r="K220" s="12" t="n">
        <x:f>C220</x:f>
        <x:v>1</x:v>
      </x:c>
      <x:c r="L220" s="5" t="str">
        <x:v>ud</x:v>
      </x:c>
      <x:c r="M220" s="5" t="str">
        <x:v>TT10_C05_PC_05</x:v>
      </x:c>
      <x:c r="N220" s="5" t="str">
        <x:v>Dimensiones y mecanizados según plano nativo actualizado.</x:v>
      </x:c>
    </x:row>
    <x:row r="221" ht="36" customHeight="1">
      <x:c r="A221" s="8" t="n">
        <x:v>379</x:v>
      </x:c>
      <x:c r="B221" s="4" t="str">
        <x:v>TT10_M386</x:v>
      </x:c>
      <x:c r="C221" s="8" t="n">
        <x:v>1</x:v>
      </x:c>
      <x:c r="D221" s="4" t="str">
        <x:v>Según plano</x:v>
      </x:c>
      <x:c r="E221" s="4" t="str">
        <x:v>Hardox 400</x:v>
      </x:c>
      <x:c r="F221" s="4" t="str">
        <x:v>Revestimiento AR400 t12 con ocho M16 avellanados desmontables</x:v>
      </x:c>
      <x:c r="G221" s="11"/>
      <x:c r="H221" s="11"/>
      <x:c r="I221" s="11"/>
      <x:c r="J221" s="11"/>
      <x:c r="K221" s="11" t="n">
        <x:f>C221</x:f>
        <x:v>1</x:v>
      </x:c>
      <x:c r="L221" s="4" t="str">
        <x:v>ud</x:v>
      </x:c>
      <x:c r="M221" s="4" t="str">
        <x:v>TT10_C05_PC_08</x:v>
      </x:c>
      <x:c r="N221" s="4" t="str">
        <x:v>Dimensiones y mecanizados según plano nativo actualizado.</x:v>
      </x:c>
    </x:row>
    <x:row r="222" ht="36" customHeight="1">
      <x:c r="A222" s="9" t="n">
        <x:v>380</x:v>
      </x:c>
      <x:c r="B222" s="5" t="str">
        <x:v>TT10_M391</x:v>
      </x:c>
      <x:c r="C222" s="9" t="n">
        <x:v>1</x:v>
      </x:c>
      <x:c r="D222" s="5" t="str">
        <x:v>Según plano</x:v>
      </x:c>
      <x:c r="E222" s="5" t="str">
        <x:v>Hardox 400</x:v>
      </x:c>
      <x:c r="F222" s="5" t="str">
        <x:v>Revestimiento AR400 t12 con ocho M16 avellanados desmontables</x:v>
      </x:c>
      <x:c r="G222" s="12"/>
      <x:c r="H222" s="12"/>
      <x:c r="I222" s="12"/>
      <x:c r="J222" s="12"/>
      <x:c r="K222" s="12" t="n">
        <x:f>C222</x:f>
        <x:v>1</x:v>
      </x:c>
      <x:c r="L222" s="5" t="str">
        <x:v>ud</x:v>
      </x:c>
      <x:c r="M222" s="5" t="str">
        <x:v>TT10_C05_PC_08</x:v>
      </x:c>
      <x:c r="N222" s="5" t="str">
        <x:v>Dimensiones y mecanizados según plano nativo actualizado.</x:v>
      </x:c>
    </x:row>
    <x:row r="223" ht="36" customHeight="1">
      <x:c r="A223" s="8" t="n">
        <x:v>381</x:v>
      </x:c>
      <x:c r="B223" s="4" t="str">
        <x:v>TT10_M396</x:v>
      </x:c>
      <x:c r="C223" s="8" t="n">
        <x:v>1</x:v>
      </x:c>
      <x:c r="D223" s="4" t="str">
        <x:v>Según plano</x:v>
      </x:c>
      <x:c r="E223" s="4" t="str">
        <x:v>ASTM A36</x:v>
      </x:c>
      <x:c r="F223" s="4" t="str">
        <x:v>Pieza TT10_M396</x:v>
      </x:c>
      <x:c r="G223" s="11"/>
      <x:c r="H223" s="11"/>
      <x:c r="I223" s="11"/>
      <x:c r="J223" s="11"/>
      <x:c r="K223" s="11" t="n">
        <x:f>C223</x:f>
        <x:v>1</x:v>
      </x:c>
      <x:c r="L223" s="4" t="str">
        <x:v>ud</x:v>
      </x:c>
      <x:c r="M223" s="4" t="str">
        <x:v>TT10_C05_PC_06</x:v>
      </x:c>
      <x:c r="N223" s="4" t="str">
        <x:v>Dimensiones y mecanizados según plano nativo actualizado.</x:v>
      </x:c>
    </x:row>
    <x:row r="224" ht="36" customHeight="1">
      <x:c r="A224" s="9" t="n">
        <x:v>382</x:v>
      </x:c>
      <x:c r="B224" s="5" t="str">
        <x:v>TT10_M401</x:v>
      </x:c>
      <x:c r="C224" s="9" t="n">
        <x:v>1</x:v>
      </x:c>
      <x:c r="D224" s="5" t="str">
        <x:v>Según plano</x:v>
      </x:c>
      <x:c r="E224" s="5" t="str">
        <x:v>ASTM A36</x:v>
      </x:c>
      <x:c r="F224" s="5" t="str">
        <x:v>Pieza TT10_M401</x:v>
      </x:c>
      <x:c r="G224" s="12"/>
      <x:c r="H224" s="12"/>
      <x:c r="I224" s="12"/>
      <x:c r="J224" s="12"/>
      <x:c r="K224" s="12" t="n">
        <x:f>C224</x:f>
        <x:v>1</x:v>
      </x:c>
      <x:c r="L224" s="5" t="str">
        <x:v>ud</x:v>
      </x:c>
      <x:c r="M224" s="5" t="str">
        <x:v>TT10_C05_PC_07</x:v>
      </x:c>
      <x:c r="N224" s="5" t="str">
        <x:v>Dimensiones y mecanizados según plano nativo actualizado.</x:v>
      </x:c>
    </x:row>
    <x:row r="225" ht="36" customHeight="1">
      <x:c r="A225" s="8" t="n">
        <x:v>383</x:v>
      </x:c>
      <x:c r="B225" s="4" t="str">
        <x:v>TT10_M406</x:v>
      </x:c>
      <x:c r="C225" s="8" t="n">
        <x:v>1</x:v>
      </x:c>
      <x:c r="D225" s="4" t="str">
        <x:v>Según plano</x:v>
      </x:c>
      <x:c r="E225" s="4" t="str">
        <x:v>ASTM A36</x:v>
      </x:c>
      <x:c r="F225" s="4" t="str">
        <x:v>Pieza TT10_M406</x:v>
      </x:c>
      <x:c r="G225" s="11"/>
      <x:c r="H225" s="11"/>
      <x:c r="I225" s="11"/>
      <x:c r="J225" s="11"/>
      <x:c r="K225" s="11" t="n">
        <x:f>C225</x:f>
        <x:v>1</x:v>
      </x:c>
      <x:c r="L225" s="4" t="str">
        <x:v>ud</x:v>
      </x:c>
      <x:c r="M225" s="4" t="str">
        <x:v>TT10_C05_PC_07</x:v>
      </x:c>
      <x:c r="N225" s="4" t="str">
        <x:v>Dimensiones y mecanizados según plano nativo actualizado.</x:v>
      </x:c>
    </x:row>
    <x:row r="226" ht="36" customHeight="1">
      <x:c r="A226" s="9" t="n">
        <x:v>384</x:v>
      </x:c>
      <x:c r="B226" s="5" t="str">
        <x:v>TT10_M411</x:v>
      </x:c>
      <x:c r="C226" s="9" t="n">
        <x:v>1</x:v>
      </x:c>
      <x:c r="D226" s="5" t="str">
        <x:v>Según plano</x:v>
      </x:c>
      <x:c r="E226" s="5" t="str">
        <x:v>ASTM A36</x:v>
      </x:c>
      <x:c r="F226" s="5" t="str">
        <x:v>Pieza TT10_M411</x:v>
      </x:c>
      <x:c r="G226" s="12"/>
      <x:c r="H226" s="12"/>
      <x:c r="I226" s="12"/>
      <x:c r="J226" s="12"/>
      <x:c r="K226" s="12" t="n">
        <x:f>C226</x:f>
        <x:v>1</x:v>
      </x:c>
      <x:c r="L226" s="5" t="str">
        <x:v>ud</x:v>
      </x:c>
      <x:c r="M226" s="5" t="str">
        <x:v>TT10_C05_PC_07</x:v>
      </x:c>
      <x:c r="N226" s="5" t="str">
        <x:v>Dimensiones y mecanizados según plano nativo actualizado.</x:v>
      </x:c>
    </x:row>
    <x:row r="227" ht="36" customHeight="1">
      <x:c r="A227" s="8" t="n">
        <x:v>388</x:v>
      </x:c>
      <x:c r="B227" s="4" t="str">
        <x:v>TT10_NODO_N</x:v>
      </x:c>
      <x:c r="C227" s="8" t="n">
        <x:v>1</x:v>
      </x:c>
      <x:c r="D227" s="4" t="str">
        <x:v>Según plano</x:v>
      </x:c>
      <x:c r="E227" s="4" t="str">
        <x:v>ASTM A36</x:v>
      </x:c>
      <x:c r="F227" s="4" t="str">
        <x:v>Placa de nodo20: unión entre puente desplazado y columna principal</x:v>
      </x:c>
      <x:c r="G227" s="11"/>
      <x:c r="H227" s="11"/>
      <x:c r="I227" s="11"/>
      <x:c r="J227" s="11"/>
      <x:c r="K227" s="11" t="n">
        <x:f>C227</x:f>
        <x:v>1</x:v>
      </x:c>
      <x:c r="L227" s="4" t="str">
        <x:v>ud</x:v>
      </x:c>
      <x:c r="M227" s="4" t="str">
        <x:v>TT10_C05_PC_02</x:v>
      </x:c>
      <x:c r="N227" s="4" t="str">
        <x:v>Dimensiones y mecanizados según plano nativo actualizado.</x:v>
      </x:c>
    </x:row>
    <x:row r="228" ht="36" customHeight="1">
      <x:c r="A228" s="9" t="n">
        <x:v>389</x:v>
      </x:c>
      <x:c r="B228" s="5" t="str">
        <x:v>TT10_NODO_P</x:v>
      </x:c>
      <x:c r="C228" s="9" t="n">
        <x:v>1</x:v>
      </x:c>
      <x:c r="D228" s="5" t="str">
        <x:v>Según plano</x:v>
      </x:c>
      <x:c r="E228" s="5" t="str">
        <x:v>ASTM A36</x:v>
      </x:c>
      <x:c r="F228" s="5" t="str">
        <x:v>Placa de nodo20: unión entre puente desplazado y columna principal</x:v>
      </x:c>
      <x:c r="G228" s="12"/>
      <x:c r="H228" s="12"/>
      <x:c r="I228" s="12"/>
      <x:c r="J228" s="12"/>
      <x:c r="K228" s="12" t="n">
        <x:f>C228</x:f>
        <x:v>1</x:v>
      </x:c>
      <x:c r="L228" s="5" t="str">
        <x:v>ud</x:v>
      </x:c>
      <x:c r="M228" s="5" t="str">
        <x:v>TT10_C05_PC_02</x:v>
      </x:c>
      <x:c r="N228" s="5" t="str">
        <x:v>Dimensiones y mecanizados según plano nativo actualizado.</x:v>
      </x:c>
    </x:row>
    <x:row r="229" ht="36" customHeight="1">
      <x:c r="A229" s="8" t="n">
        <x:v>404</x:v>
      </x:c>
      <x:c r="B229" s="4" t="str">
        <x:v>TT10_PE_HORQ_F</x:v>
      </x:c>
      <x:c r="C229" s="8" t="n">
        <x:v>2</x:v>
      </x:c>
      <x:c r="D229" s="4" t="str">
        <x:v>Según plano</x:v>
      </x:c>
      <x:c r="E229" s="4" t="str">
        <x:v>ASTM A36</x:v>
      </x:c>
      <x:c r="F229" s="4" t="str">
        <x:v>Horquilla frontal integral S355: base60x10, separación31.2, dos orejas10, D12.2H8; 2M10 de fijación</x:v>
      </x:c>
      <x:c r="G229" s="11"/>
      <x:c r="H229" s="11"/>
      <x:c r="I229" s="11"/>
      <x:c r="J229" s="11"/>
      <x:c r="K229" s="11" t="n">
        <x:f>C229</x:f>
        <x:v>2</x:v>
      </x:c>
      <x:c r="L229" s="4" t="str">
        <x:v>ud</x:v>
      </x:c>
      <x:c r="M229" s="4" t="str">
        <x:v>TT10_C05_PC_12</x:v>
      </x:c>
      <x:c r="N229" s="4" t="str">
        <x:v>Dimensiones y mecanizados según plano nativo actualizado.</x:v>
      </x:c>
    </x:row>
    <x:row r="230" ht="36" customHeight="1">
      <x:c r="A230" s="9" t="n">
        <x:v>405</x:v>
      </x:c>
      <x:c r="B230" s="5" t="str">
        <x:v>TT10_PE_HORQ_R</x:v>
      </x:c>
      <x:c r="C230" s="9" t="n">
        <x:v>2</x:v>
      </x:c>
      <x:c r="D230" s="5" t="str">
        <x:v>Según plano</x:v>
      </x:c>
      <x:c r="E230" s="5" t="str">
        <x:v>ASTM A36</x:v>
      </x:c>
      <x:c r="F230" s="5" t="str">
        <x:v>Horquilla trasera mecanizada: base130x60x10; separación26.4; eje12; 2M10</x:v>
      </x:c>
      <x:c r="G230" s="12"/>
      <x:c r="H230" s="12"/>
      <x:c r="I230" s="12"/>
      <x:c r="J230" s="12"/>
      <x:c r="K230" s="12" t="n">
        <x:f>C230</x:f>
        <x:v>2</x:v>
      </x:c>
      <x:c r="L230" s="5" t="str">
        <x:v>ud</x:v>
      </x:c>
      <x:c r="M230" s="5" t="str">
        <x:v>TT10_C05_PC_12</x:v>
      </x:c>
      <x:c r="N230" s="5" t="str">
        <x:v>Dimensiones y mecanizados según plano nativo actualizado.</x:v>
      </x:c>
    </x:row>
    <x:row r="231" ht="36" customHeight="1">
      <x:c r="A231" s="8" t="n">
        <x:v>406</x:v>
      </x:c>
      <x:c r="B231" s="4" t="str">
        <x:v>TT10_PE_LARG_L</x:v>
      </x:c>
      <x:c r="C231" s="8" t="n">
        <x:v>2</x:v>
      </x:c>
      <x:c r="D231" s="4" t="str">
        <x:v>Según plano</x:v>
      </x:c>
      <x:c r="E231" s="4" t="str">
        <x:v>ASTM A36</x:v>
      </x:c>
      <x:c r="F231" s="4" t="str">
        <x:v>Larguero S355 plano12x80; corte a longitud503.0</x:v>
      </x:c>
      <x:c r="G231" s="11"/>
      <x:c r="H231" s="11"/>
      <x:c r="I231" s="11"/>
      <x:c r="J231" s="11"/>
      <x:c r="K231" s="11" t="n">
        <x:f t="shared" ref="K231:K236" si="8">C231</x:f>
        <x:v>2</x:v>
      </x:c>
      <x:c r="L231" s="4" t="str">
        <x:v>ud</x:v>
      </x:c>
      <x:c r="M231" s="4" t="str">
        <x:v>TT10_C05_PC_12</x:v>
      </x:c>
      <x:c r="N231" s="4" t="str">
        <x:v>Dimensiones y mecanizados según plano nativo actualizado.</x:v>
      </x:c>
    </x:row>
    <x:row r="232" ht="36" customHeight="1">
      <x:c r="A232" s="9" t="n">
        <x:v>407</x:v>
      </x:c>
      <x:c r="B232" s="5" t="str">
        <x:v>TT10_PE_LARG_R</x:v>
      </x:c>
      <x:c r="C232" s="9" t="n">
        <x:v>2</x:v>
      </x:c>
      <x:c r="D232" s="5" t="str">
        <x:v>Según plano</x:v>
      </x:c>
      <x:c r="E232" s="5" t="str">
        <x:v>ASTM A36</x:v>
      </x:c>
      <x:c r="F232" s="5" t="str">
        <x:v>Larguero S355 plano12x80; corte a longitud503.0</x:v>
      </x:c>
      <x:c r="G232" s="12"/>
      <x:c r="H232" s="12"/>
      <x:c r="I232" s="12"/>
      <x:c r="J232" s="12"/>
      <x:c r="K232" s="12" t="n">
        <x:f t="shared" si="8">C232</x:f>
        <x:v>2</x:v>
      </x:c>
      <x:c r="L232" s="5" t="str">
        <x:v>ud</x:v>
      </x:c>
      <x:c r="M232" s="5" t="str">
        <x:v>TT10_C05_PC_12</x:v>
      </x:c>
      <x:c r="N232" s="5" t="str">
        <x:v>Dimensiones y mecanizados según plano nativo actualizado.</x:v>
      </x:c>
    </x:row>
    <x:row r="233" ht="36" customHeight="1">
      <x:c r="A233" s="8" t="n">
        <x:v>412</x:v>
      </x:c>
      <x:c r="B233" s="4" t="str">
        <x:v>TT10_PE_PIN</x:v>
      </x:c>
      <x:c r="C233" s="8" t="n">
        <x:v>2</x:v>
      </x:c>
      <x:c r="D233" s="4" t="str">
        <x:v>Según plano</x:v>
      </x:c>
      <x:c r="E233" s="4" t="str">
        <x:v>34CrNiMo6+QT; Rp0,2 mín.800 MPa, sección&lt;=100mm</x:v>
      </x:c>
      <x:c r="F233" s="4" t="str">
        <x:v>Pasador Ø65 f7 x 330; cabeza Ø90 x 15; R3; 34CrNiMo6+QT Rp0,2 mín.800 MPa</x:v>
      </x:c>
      <x:c r="G233" s="11"/>
      <x:c r="H233" s="11"/>
      <x:c r="I233" s="11"/>
      <x:c r="J233" s="11"/>
      <x:c r="K233" s="11" t="n">
        <x:f t="shared" si="8">C233</x:f>
        <x:v>2</x:v>
      </x:c>
      <x:c r="L233" s="4" t="str">
        <x:v>ud</x:v>
      </x:c>
      <x:c r="M233" s="4" t="str">
        <x:v>TT10_C05_PC_13</x:v>
      </x:c>
      <x:c r="N233" s="4" t="str">
        <x:v>Dimensiones y mecanizados según plano nativo actualizado.</x:v>
      </x:c>
    </x:row>
    <x:row r="234" ht="36" customHeight="1">
      <x:c r="A234" s="9" t="n">
        <x:v>413</x:v>
      </x:c>
      <x:c r="B234" s="5" t="str">
        <x:v>TT10_PE_PLACA_F</x:v>
      </x:c>
      <x:c r="C234" s="9" t="n">
        <x:v>2</x:v>
      </x:c>
      <x:c r="D234" s="5" t="str">
        <x:v>Según plano</x:v>
      </x:c>
      <x:c r="E234" s="5" t="str">
        <x:v>ASTM A36</x:v>
      </x:c>
      <x:c r="F234" s="5" t="str">
        <x:v>Placa de bastidor160x160x12; D70;4D9 y4aliviosD42 abiertos en esquinas para tuercas existentes</x:v>
      </x:c>
      <x:c r="G234" s="12"/>
      <x:c r="H234" s="12"/>
      <x:c r="I234" s="12"/>
      <x:c r="J234" s="12"/>
      <x:c r="K234" s="12" t="n">
        <x:f t="shared" si="8">C234</x:f>
        <x:v>2</x:v>
      </x:c>
      <x:c r="L234" s="5" t="str">
        <x:v>ud</x:v>
      </x:c>
      <x:c r="M234" s="5" t="str">
        <x:v>TT10_C05_PC_12</x:v>
      </x:c>
      <x:c r="N234" s="5" t="str">
        <x:v>Dimensiones y mecanizados según plano nativo actualizado.</x:v>
      </x:c>
    </x:row>
    <x:row r="235" ht="36" customHeight="1">
      <x:c r="A235" s="8" t="n">
        <x:v>414</x:v>
      </x:c>
      <x:c r="B235" s="4" t="str">
        <x:v>TT10_PE_PLACA_R</x:v>
      </x:c>
      <x:c r="C235" s="8" t="n">
        <x:v>2</x:v>
      </x:c>
      <x:c r="D235" s="4" t="str">
        <x:v>Según plano</x:v>
      </x:c>
      <x:c r="E235" s="4" t="str">
        <x:v>ASTM A36</x:v>
      </x:c>
      <x:c r="F235" s="4" t="str">
        <x:v>Travesaño160x80x12; 2M10-6H pasantes en X±45; frentes soldados a largueros</x:v>
      </x:c>
      <x:c r="G235" s="11"/>
      <x:c r="H235" s="11"/>
      <x:c r="I235" s="11"/>
      <x:c r="J235" s="11"/>
      <x:c r="K235" s="11" t="n">
        <x:f t="shared" si="8">C235</x:f>
        <x:v>2</x:v>
      </x:c>
      <x:c r="L235" s="4" t="str">
        <x:v>ud</x:v>
      </x:c>
      <x:c r="M235" s="4" t="str">
        <x:v>TT10_C05_PC_12</x:v>
      </x:c>
      <x:c r="N235" s="4" t="str">
        <x:v>Dimensiones y mecanizados según plano nativo actualizado.</x:v>
      </x:c>
    </x:row>
    <x:row r="236" ht="36" customHeight="1">
      <x:c r="A236" s="9" t="n">
        <x:v>415</x:v>
      </x:c>
      <x:c r="B236" s="5" t="str">
        <x:v>TT10_PE_RETEN</x:v>
      </x:c>
      <x:c r="C236" s="9" t="n">
        <x:v>2</x:v>
      </x:c>
      <x:c r="D236" s="5" t="str">
        <x:v>Según plano</x:v>
      </x:c>
      <x:c r="E236" s="5" t="str">
        <x:v>ASTM A36</x:v>
      </x:c>
      <x:c r="F236" s="5" t="str">
        <x:v>Placa cautiva160x160x15: amplía paso aD68,4D22 original; añade4D9 en X±45 Z±30</x:v>
      </x:c>
      <x:c r="G236" s="12"/>
      <x:c r="H236" s="12"/>
      <x:c r="I236" s="12"/>
      <x:c r="J236" s="12"/>
      <x:c r="K236" s="12" t="n">
        <x:f t="shared" si="8">C236</x:f>
        <x:v>2</x:v>
      </x:c>
      <x:c r="L236" s="5" t="str">
        <x:v>ud</x:v>
      </x:c>
      <x:c r="M236" s="5" t="str">
        <x:v>TT10_C05_PC_12</x:v>
      </x:c>
      <x:c r="N236" s="5" t="str">
        <x:v>Dimensiones y mecanizados según plano nativo actualizado.</x:v>
      </x:c>
    </x:row>
    <x:row r="237" ht="36" customHeight="1">
      <x:c r="A237" s="8" t="n">
        <x:v>430</x:v>
      </x:c>
      <x:c r="B237" s="4" t="str">
        <x:v>TT10_PUENTE_N</x:v>
      </x:c>
      <x:c r="C237" s="8" t="n">
        <x:v>1</x:v>
      </x:c>
      <x:c r="D237" s="4" t="str">
        <x:v>Según plano</x:v>
      </x:c>
      <x:c r="E237" s="4" t="str">
        <x:v>ASTM A36 t25</x:v>
      </x:c>
      <x:c r="F237" s="4" t="str">
        <x:v>Puente guía A36 525 x 125 x 25; recorte 225 x 10 junto al poste</x:v>
      </x:c>
      <x:c r="G237" s="11"/>
      <x:c r="H237" s="11"/>
      <x:c r="I237" s="11"/>
      <x:c r="J237" s="11"/>
      <x:c r="K237" s="11" t="n">
        <x:f>C237</x:f>
        <x:v>1</x:v>
      </x:c>
      <x:c r="L237" s="4" t="str">
        <x:v>ud</x:v>
      </x:c>
      <x:c r="M237" s="4" t="str">
        <x:v>TT10_C05_PC_03</x:v>
      </x:c>
      <x:c r="N237" s="4" t="str">
        <x:v>Dimensiones y mecanizados según plano nativo actualizado.</x:v>
      </x:c>
    </x:row>
    <x:row r="238" ht="36" customHeight="1">
      <x:c r="A238" s="9" t="n">
        <x:v>431</x:v>
      </x:c>
      <x:c r="B238" s="5" t="str">
        <x:v>TT10_PUENTE_P</x:v>
      </x:c>
      <x:c r="C238" s="9" t="n">
        <x:v>1</x:v>
      </x:c>
      <x:c r="D238" s="5" t="str">
        <x:v>Según plano</x:v>
      </x:c>
      <x:c r="E238" s="5" t="str">
        <x:v>ASTM A36 t25</x:v>
      </x:c>
      <x:c r="F238" s="5" t="str">
        <x:v>Puente guía A36 525 x 125 x 25; recorte 225 x 10 junto al poste</x:v>
      </x:c>
      <x:c r="G238" s="12"/>
      <x:c r="H238" s="12"/>
      <x:c r="I238" s="12"/>
      <x:c r="J238" s="12"/>
      <x:c r="K238" s="12" t="n">
        <x:f>C238</x:f>
        <x:v>1</x:v>
      </x:c>
      <x:c r="L238" s="5" t="str">
        <x:v>ud</x:v>
      </x:c>
      <x:c r="M238" s="5" t="str">
        <x:v>TT10_C05_PC_03</x:v>
      </x:c>
      <x:c r="N238" s="5" t="str">
        <x:v>Dimensiones y mecanizados según plano nativo actualizado.</x:v>
      </x:c>
    </x:row>
    <x:row r="239" ht="36" customHeight="1">
      <x:c r="A239" s="8" t="n">
        <x:v>432</x:v>
      </x:c>
      <x:c r="B239" s="4" t="str">
        <x:v>TT10_R6M_BRAZO_SENSOR_N_INSERTADO</x:v>
      </x:c>
      <x:c r="C239" s="8" t="n">
        <x:v>1</x:v>
      </x:c>
      <x:c r="D239" s="4" t="str">
        <x:v>Según plano</x:v>
      </x:c>
      <x:c r="E239" s="4" t="str">
        <x:v>ASTM A36</x:v>
      </x:c>
      <x:c r="F239" s="4" t="str">
        <x:v>Brazo fijo de detector; unión soldada a pie sobre larguero</x:v>
      </x:c>
      <x:c r="G239" s="11"/>
      <x:c r="H239" s="11"/>
      <x:c r="I239" s="11"/>
      <x:c r="J239" s="11"/>
      <x:c r="K239" s="11" t="n">
        <x:f>C239</x:f>
        <x:v>1</x:v>
      </x:c>
      <x:c r="L239" s="4" t="str">
        <x:v>ud</x:v>
      </x:c>
      <x:c r="M239" s="4" t="str">
        <x:v>TT10_C05_PC_15</x:v>
      </x:c>
      <x:c r="N239" s="4" t="str">
        <x:v>Dimensiones y mecanizados según plano nativo actualizado.</x:v>
      </x:c>
    </x:row>
    <x:row r="240" ht="36" customHeight="1">
      <x:c r="A240" s="9" t="n">
        <x:v>433</x:v>
      </x:c>
      <x:c r="B240" s="5" t="str">
        <x:v>TT10_R6M_BRAZO_SENSOR_N_RETIRADO</x:v>
      </x:c>
      <x:c r="C240" s="9" t="n">
        <x:v>1</x:v>
      </x:c>
      <x:c r="D240" s="5" t="str">
        <x:v>Según plano</x:v>
      </x:c>
      <x:c r="E240" s="5" t="str">
        <x:v>ASTM A36</x:v>
      </x:c>
      <x:c r="F240" s="5" t="str">
        <x:v>Brazo fijo de detector; unión soldada a pie sobre larguero</x:v>
      </x:c>
      <x:c r="G240" s="12"/>
      <x:c r="H240" s="12"/>
      <x:c r="I240" s="12"/>
      <x:c r="J240" s="12"/>
      <x:c r="K240" s="12" t="n">
        <x:f>C240</x:f>
        <x:v>1</x:v>
      </x:c>
      <x:c r="L240" s="5" t="str">
        <x:v>ud</x:v>
      </x:c>
      <x:c r="M240" s="5" t="str">
        <x:v>TT10_C05_PC_15</x:v>
      </x:c>
      <x:c r="N240" s="5" t="str">
        <x:v>Dimensiones y mecanizados según plano nativo actualizado.</x:v>
      </x:c>
    </x:row>
    <x:row r="241" ht="36" customHeight="1">
      <x:c r="A241" s="8" t="n">
        <x:v>434</x:v>
      </x:c>
      <x:c r="B241" s="4" t="str">
        <x:v>TT10_R6M_BRAZO_SENSOR_P_INSERTADO</x:v>
      </x:c>
      <x:c r="C241" s="8" t="n">
        <x:v>1</x:v>
      </x:c>
      <x:c r="D241" s="4" t="str">
        <x:v>Según plano</x:v>
      </x:c>
      <x:c r="E241" s="4" t="str">
        <x:v>ASTM A36</x:v>
      </x:c>
      <x:c r="F241" s="4" t="str">
        <x:v>Brazo fijo de detector; unión soldada a pie sobre larguero</x:v>
      </x:c>
      <x:c r="G241" s="11"/>
      <x:c r="H241" s="11"/>
      <x:c r="I241" s="11"/>
      <x:c r="J241" s="11"/>
      <x:c r="K241" s="11" t="n">
        <x:f>C241</x:f>
        <x:v>1</x:v>
      </x:c>
      <x:c r="L241" s="4" t="str">
        <x:v>ud</x:v>
      </x:c>
      <x:c r="M241" s="4" t="str">
        <x:v>TT10_C05_PC_15</x:v>
      </x:c>
      <x:c r="N241" s="4" t="str">
        <x:v>Dimensiones y mecanizados según plano nativo actualizado.</x:v>
      </x:c>
    </x:row>
    <x:row r="242" ht="36" customHeight="1">
      <x:c r="A242" s="9" t="n">
        <x:v>435</x:v>
      </x:c>
      <x:c r="B242" s="5" t="str">
        <x:v>TT10_R6M_BRAZO_SENSOR_P_RETIRADO</x:v>
      </x:c>
      <x:c r="C242" s="9" t="n">
        <x:v>1</x:v>
      </x:c>
      <x:c r="D242" s="5" t="str">
        <x:v>Según plano</x:v>
      </x:c>
      <x:c r="E242" s="5" t="str">
        <x:v>ASTM A36</x:v>
      </x:c>
      <x:c r="F242" s="5" t="str">
        <x:v>Brazo fijo de detector; unión soldada a pie sobre larguero</x:v>
      </x:c>
      <x:c r="G242" s="12"/>
      <x:c r="H242" s="12"/>
      <x:c r="I242" s="12"/>
      <x:c r="J242" s="12"/>
      <x:c r="K242" s="12" t="n">
        <x:f t="shared" ref="K242:K258" si="9">C242</x:f>
        <x:v>1</x:v>
      </x:c>
      <x:c r="L242" s="5" t="str">
        <x:v>ud</x:v>
      </x:c>
      <x:c r="M242" s="5" t="str">
        <x:v>TT10_C05_PC_15</x:v>
      </x:c>
      <x:c r="N242" s="5" t="str">
        <x:v>Dimensiones y mecanizados según plano nativo actualizado.</x:v>
      </x:c>
    </x:row>
    <x:row r="243" ht="36" customHeight="1">
      <x:c r="A243" s="8" t="n">
        <x:v>443</x:v>
      </x:c>
      <x:c r="B243" s="4" t="str">
        <x:v>TT10_R6M_PEDESTAL_FRENO</x:v>
      </x:c>
      <x:c r="C243" s="8" t="n">
        <x:v>1</x:v>
      </x:c>
      <x:c r="D243" s="4" t="str">
        <x:v>Según plano</x:v>
      </x:c>
      <x:c r="E243" s="4" t="str">
        <x:v>ASTM A36</x:v>
      </x:c>
      <x:c r="F243" s="4" t="str">
        <x:v>Travesaño108x40x10 entre caras interiores del poste existente; soldadura a3,40mm por extremo</x:v>
      </x:c>
      <x:c r="G243" s="11"/>
      <x:c r="H243" s="11"/>
      <x:c r="I243" s="11"/>
      <x:c r="J243" s="11"/>
      <x:c r="K243" s="11" t="n">
        <x:f t="shared" si="9">C243</x:f>
        <x:v>1</x:v>
      </x:c>
      <x:c r="L243" s="4" t="str">
        <x:v>ud</x:v>
      </x:c>
      <x:c r="M243" s="4" t="str">
        <x:v>TT10_C05_PC_17</x:v>
      </x:c>
      <x:c r="N243" s="4" t="str">
        <x:v>Dimensiones y mecanizados según plano nativo actualizado.</x:v>
      </x:c>
    </x:row>
    <x:row r="244" ht="36" customHeight="1">
      <x:c r="A244" s="9" t="n">
        <x:v>444</x:v>
      </x:c>
      <x:c r="B244" s="5" t="str">
        <x:v>TT10_R6M_PIE_SENSORES_N</x:v>
      </x:c>
      <x:c r="C244" s="9" t="n">
        <x:v>1</x:v>
      </x:c>
      <x:c r="D244" s="5" t="str">
        <x:v>Según plano</x:v>
      </x:c>
      <x:c r="E244" s="5" t="str">
        <x:v>ASTM A36</x:v>
      </x:c>
      <x:c r="F244" s="5" t="str">
        <x:v>Pie12 sobre cara superior del larguero; soldadura a3,20mm por ambas caras</x:v>
      </x:c>
      <x:c r="G244" s="12"/>
      <x:c r="H244" s="12"/>
      <x:c r="I244" s="12"/>
      <x:c r="J244" s="12"/>
      <x:c r="K244" s="12" t="n">
        <x:f t="shared" si="9">C244</x:f>
        <x:v>1</x:v>
      </x:c>
      <x:c r="L244" s="5" t="str">
        <x:v>ud</x:v>
      </x:c>
      <x:c r="M244" s="5" t="str">
        <x:v>TT10_C05_PC_15</x:v>
      </x:c>
      <x:c r="N244" s="5" t="str">
        <x:v>Dimensiones y mecanizados según plano nativo actualizado.</x:v>
      </x:c>
    </x:row>
    <x:row r="245" ht="36" customHeight="1">
      <x:c r="A245" s="8" t="n">
        <x:v>445</x:v>
      </x:c>
      <x:c r="B245" s="4" t="str">
        <x:v>TT10_R6M_PIE_SENSORES_P</x:v>
      </x:c>
      <x:c r="C245" s="8" t="n">
        <x:v>1</x:v>
      </x:c>
      <x:c r="D245" s="4" t="str">
        <x:v>Según plano</x:v>
      </x:c>
      <x:c r="E245" s="4" t="str">
        <x:v>ASTM A36</x:v>
      </x:c>
      <x:c r="F245" s="4" t="str">
        <x:v>Pie12 sobre cara superior del larguero; soldadura a3,20mm por ambas caras</x:v>
      </x:c>
      <x:c r="G245" s="11"/>
      <x:c r="H245" s="11"/>
      <x:c r="I245" s="11"/>
      <x:c r="J245" s="11"/>
      <x:c r="K245" s="11" t="n">
        <x:f t="shared" si="9">C245</x:f>
        <x:v>1</x:v>
      </x:c>
      <x:c r="L245" s="4" t="str">
        <x:v>ud</x:v>
      </x:c>
      <x:c r="M245" s="4" t="str">
        <x:v>TT10_C05_PC_15</x:v>
      </x:c>
      <x:c r="N245" s="4" t="str">
        <x:v>Dimensiones y mecanizados según plano nativo actualizado.</x:v>
      </x:c>
    </x:row>
    <x:row r="246" ht="36" customHeight="1">
      <x:c r="A246" s="9" t="n">
        <x:v>446</x:v>
      </x:c>
      <x:c r="B246" s="5" t="str">
        <x:v>TT10_R6M_PLACA_FRENO_TIMON</x:v>
      </x:c>
      <x:c r="C246" s="9" t="n">
        <x:v>1</x:v>
      </x:c>
      <x:c r="D246" s="5" t="str">
        <x:v>Según plano</x:v>
      </x:c>
      <x:c r="E246" s="5" t="str">
        <x:v>ASTM A36</x:v>
      </x:c>
      <x:c r="F246" s="5" t="str">
        <x:v>Placa12, caraX1127; centrado y3M6PCD132; sujeción a pedestal por cartelas</x:v>
      </x:c>
      <x:c r="G246" s="12"/>
      <x:c r="H246" s="12"/>
      <x:c r="I246" s="12"/>
      <x:c r="J246" s="12"/>
      <x:c r="K246" s="12" t="n">
        <x:f t="shared" si="9">C246</x:f>
        <x:v>1</x:v>
      </x:c>
      <x:c r="L246" s="5" t="str">
        <x:v>ud</x:v>
      </x:c>
      <x:c r="M246" s="5" t="str">
        <x:v>TT10_C05_PC_17</x:v>
      </x:c>
      <x:c r="N246" s="5" t="str">
        <x:v>Dimensiones y mecanizados según plano nativo actualizado.</x:v>
      </x:c>
    </x:row>
    <x:row r="247" ht="36" customHeight="1">
      <x:c r="A247" s="8" t="n">
        <x:v>447</x:v>
      </x:c>
      <x:c r="B247" s="4" t="str">
        <x:v>TT10_R6M_SOP_SENSOR_N_INSERTADO</x:v>
      </x:c>
      <x:c r="C247" s="8" t="n">
        <x:v>1</x:v>
      </x:c>
      <x:c r="D247" s="4" t="str">
        <x:v>Según plano</x:v>
      </x:c>
      <x:c r="E247" s="4" t="str">
        <x:v>ASTM A36</x:v>
      </x:c>
      <x:c r="F247" s="4" t="str">
        <x:v>Escuadra6;taladroØ8.5 para sensorM8;frente de detección a1mm del blanco</x:v>
      </x:c>
      <x:c r="G247" s="11"/>
      <x:c r="H247" s="11"/>
      <x:c r="I247" s="11"/>
      <x:c r="J247" s="11"/>
      <x:c r="K247" s="11" t="n">
        <x:f t="shared" si="9">C247</x:f>
        <x:v>1</x:v>
      </x:c>
      <x:c r="L247" s="4" t="str">
        <x:v>ud</x:v>
      </x:c>
      <x:c r="M247" s="4" t="str">
        <x:v>TT10_C05_PC_15</x:v>
      </x:c>
      <x:c r="N247" s="4" t="str">
        <x:v>Dimensiones y mecanizados según plano nativo actualizado.</x:v>
      </x:c>
    </x:row>
    <x:row r="248" ht="36" customHeight="1">
      <x:c r="A248" s="9" t="n">
        <x:v>448</x:v>
      </x:c>
      <x:c r="B248" s="5" t="str">
        <x:v>TT10_R6M_SOP_SENSOR_N_RETIRADO</x:v>
      </x:c>
      <x:c r="C248" s="9" t="n">
        <x:v>1</x:v>
      </x:c>
      <x:c r="D248" s="5" t="str">
        <x:v>Según plano</x:v>
      </x:c>
      <x:c r="E248" s="5" t="str">
        <x:v>ASTM A36</x:v>
      </x:c>
      <x:c r="F248" s="5" t="str">
        <x:v>Escuadra6;taladroØ8.5 para sensorM8;frente de detección a1mm del blanco</x:v>
      </x:c>
      <x:c r="G248" s="12"/>
      <x:c r="H248" s="12"/>
      <x:c r="I248" s="12"/>
      <x:c r="J248" s="12"/>
      <x:c r="K248" s="12" t="n">
        <x:f t="shared" si="9">C248</x:f>
        <x:v>1</x:v>
      </x:c>
      <x:c r="L248" s="5" t="str">
        <x:v>ud</x:v>
      </x:c>
      <x:c r="M248" s="5" t="str">
        <x:v>TT10_C05_PC_15</x:v>
      </x:c>
      <x:c r="N248" s="5" t="str">
        <x:v>Dimensiones y mecanizados según plano nativo actualizado.</x:v>
      </x:c>
    </x:row>
    <x:row r="249" ht="36" customHeight="1">
      <x:c r="A249" s="8" t="n">
        <x:v>449</x:v>
      </x:c>
      <x:c r="B249" s="4" t="str">
        <x:v>TT10_R6M_SOP_SENSOR_P_INSERTADO</x:v>
      </x:c>
      <x:c r="C249" s="8" t="n">
        <x:v>1</x:v>
      </x:c>
      <x:c r="D249" s="4" t="str">
        <x:v>Según plano</x:v>
      </x:c>
      <x:c r="E249" s="4" t="str">
        <x:v>ASTM A36</x:v>
      </x:c>
      <x:c r="F249" s="4" t="str">
        <x:v>Escuadra6;taladroØ8.5 para sensorM8;frente de detección a1mm del blanco</x:v>
      </x:c>
      <x:c r="G249" s="11"/>
      <x:c r="H249" s="11"/>
      <x:c r="I249" s="11"/>
      <x:c r="J249" s="11"/>
      <x:c r="K249" s="11" t="n">
        <x:f t="shared" si="9">C249</x:f>
        <x:v>1</x:v>
      </x:c>
      <x:c r="L249" s="4" t="str">
        <x:v>ud</x:v>
      </x:c>
      <x:c r="M249" s="4" t="str">
        <x:v>TT10_C05_PC_15</x:v>
      </x:c>
      <x:c r="N249" s="4" t="str">
        <x:v>Dimensiones y mecanizados según plano nativo actualizado.</x:v>
      </x:c>
    </x:row>
    <x:row r="250" ht="36" customHeight="1">
      <x:c r="A250" s="9" t="n">
        <x:v>450</x:v>
      </x:c>
      <x:c r="B250" s="5" t="str">
        <x:v>TT10_R6M_SOP_SENSOR_P_RETIRADO</x:v>
      </x:c>
      <x:c r="C250" s="9" t="n">
        <x:v>1</x:v>
      </x:c>
      <x:c r="D250" s="5" t="str">
        <x:v>Según plano</x:v>
      </x:c>
      <x:c r="E250" s="5" t="str">
        <x:v>ASTM A36</x:v>
      </x:c>
      <x:c r="F250" s="5" t="str">
        <x:v>Escuadra6;taladroØ8.5 para sensorM8;frente de detección a1mm del blanco</x:v>
      </x:c>
      <x:c r="G250" s="12"/>
      <x:c r="H250" s="12"/>
      <x:c r="I250" s="12"/>
      <x:c r="J250" s="12"/>
      <x:c r="K250" s="12" t="n">
        <x:f t="shared" si="9">C250</x:f>
        <x:v>1</x:v>
      </x:c>
      <x:c r="L250" s="5" t="str">
        <x:v>ud</x:v>
      </x:c>
      <x:c r="M250" s="5" t="str">
        <x:v>TT10_C05_PC_15</x:v>
      </x:c>
      <x:c r="N250" s="5" t="str">
        <x:v>Dimensiones y mecanizados según plano nativo actualizado.</x:v>
      </x:c>
    </x:row>
    <x:row r="251" ht="36" customHeight="1">
      <x:c r="A251" s="8" t="n">
        <x:v>453</x:v>
      </x:c>
      <x:c r="B251" s="4" t="str">
        <x:v>TT10_SEN_SOP_P</x:v>
      </x:c>
      <x:c r="C251" s="8" t="n">
        <x:v>2</x:v>
      </x:c>
      <x:c r="D251" s="4" t="str">
        <x:v>Según plano</x:v>
      </x:c>
      <x:c r="E251" s="4" t="str">
        <x:v>ASTM A36</x:v>
      </x:c>
      <x:c r="F251" s="4" t="str">
        <x:v>Soporte soldado desmontable: carril6x40x229 y pie4x40x16.5; dos M6x16; dos D8.5</x:v>
      </x:c>
      <x:c r="G251" s="11"/>
      <x:c r="H251" s="11"/>
      <x:c r="I251" s="11"/>
      <x:c r="J251" s="11"/>
      <x:c r="K251" s="11" t="n">
        <x:f t="shared" si="9">C251</x:f>
        <x:v>2</x:v>
      </x:c>
      <x:c r="L251" s="4" t="str">
        <x:v>ud</x:v>
      </x:c>
      <x:c r="M251" s="4" t="str">
        <x:v>TT10_C05_PC_15</x:v>
      </x:c>
      <x:c r="N251" s="4" t="str">
        <x:v>Dimensiones y mecanizados según plano nativo actualizado.</x:v>
      </x:c>
    </x:row>
    <x:row r="252" ht="36" customHeight="1">
      <x:c r="A252" s="9" t="n">
        <x:v>458</x:v>
      </x:c>
      <x:c r="B252" s="5" t="str">
        <x:v>TT10_TIR_P1</x:v>
      </x:c>
      <x:c r="C252" s="9" t="n">
        <x:v>1</x:v>
      </x:c>
      <x:c r="D252" s="5" t="str">
        <x:v>Según plano</x:v>
      </x:c>
      <x:c r="E252" s="5" t="str">
        <x:v>ASTM A36</x:v>
      </x:c>
      <x:c r="F252" s="5" t="str">
        <x:v>Tirante M20 propuesto, L380; rosca simplificada</x:v>
      </x:c>
      <x:c r="G252" s="12"/>
      <x:c r="H252" s="12"/>
      <x:c r="I252" s="12"/>
      <x:c r="J252" s="12"/>
      <x:c r="K252" s="12" t="n">
        <x:f t="shared" si="9">C252</x:f>
        <x:v>1</x:v>
      </x:c>
      <x:c r="L252" s="5" t="str">
        <x:v>ud</x:v>
      </x:c>
      <x:c r="M252" s="5" t="str">
        <x:v>TT10_C05_PC_02</x:v>
      </x:c>
      <x:c r="N252" s="5" t="str">
        <x:v>Dimensiones y mecanizados según plano nativo actualizado.</x:v>
      </x:c>
    </x:row>
    <x:row r="253" ht="36" customHeight="1">
      <x:c r="A253" s="8" t="n">
        <x:v>459</x:v>
      </x:c>
      <x:c r="B253" s="4" t="str">
        <x:v>TT10_TIR_P2</x:v>
      </x:c>
      <x:c r="C253" s="8" t="n">
        <x:v>1</x:v>
      </x:c>
      <x:c r="D253" s="4" t="str">
        <x:v>Según plano</x:v>
      </x:c>
      <x:c r="E253" s="4" t="str">
        <x:v>ASTM A36</x:v>
      </x:c>
      <x:c r="F253" s="4" t="str">
        <x:v>Tirante M20 propuesto, L380; rosca simplificada</x:v>
      </x:c>
      <x:c r="G253" s="11"/>
      <x:c r="H253" s="11"/>
      <x:c r="I253" s="11"/>
      <x:c r="J253" s="11"/>
      <x:c r="K253" s="11" t="n">
        <x:f t="shared" si="9">C253</x:f>
        <x:v>1</x:v>
      </x:c>
      <x:c r="L253" s="4" t="str">
        <x:v>ud</x:v>
      </x:c>
      <x:c r="M253" s="4" t="str">
        <x:v>TT10_C05_PC_02</x:v>
      </x:c>
      <x:c r="N253" s="4" t="str">
        <x:v>Dimensiones y mecanizados según plano nativo actualizado.</x:v>
      </x:c>
    </x:row>
    <x:row r="254" ht="36" customHeight="1">
      <x:c r="A254" s="9" t="n">
        <x:v>460</x:v>
      </x:c>
      <x:c r="B254" s="5" t="str">
        <x:v>TT10_TIR_P3</x:v>
      </x:c>
      <x:c r="C254" s="9" t="n">
        <x:v>1</x:v>
      </x:c>
      <x:c r="D254" s="5" t="str">
        <x:v>Según plano</x:v>
      </x:c>
      <x:c r="E254" s="5" t="str">
        <x:v>ASTM A36</x:v>
      </x:c>
      <x:c r="F254" s="5" t="str">
        <x:v>Tirante M20 propuesto, L380; rosca simplificada</x:v>
      </x:c>
      <x:c r="G254" s="12"/>
      <x:c r="H254" s="12"/>
      <x:c r="I254" s="12"/>
      <x:c r="J254" s="12"/>
      <x:c r="K254" s="12" t="n">
        <x:f t="shared" si="9">C254</x:f>
        <x:v>1</x:v>
      </x:c>
      <x:c r="L254" s="5" t="str">
        <x:v>ud</x:v>
      </x:c>
      <x:c r="M254" s="5" t="str">
        <x:v>TT10_C05_PC_02</x:v>
      </x:c>
      <x:c r="N254" s="5" t="str">
        <x:v>Dimensiones y mecanizados según plano nativo actualizado.</x:v>
      </x:c>
    </x:row>
    <x:row r="255" ht="36" customHeight="1">
      <x:c r="A255" s="8" t="n">
        <x:v>461</x:v>
      </x:c>
      <x:c r="B255" s="4" t="str">
        <x:v>TT10_TIR_P4</x:v>
      </x:c>
      <x:c r="C255" s="8" t="n">
        <x:v>1</x:v>
      </x:c>
      <x:c r="D255" s="4" t="str">
        <x:v>Según plano</x:v>
      </x:c>
      <x:c r="E255" s="4" t="str">
        <x:v>ASTM A36</x:v>
      </x:c>
      <x:c r="F255" s="4" t="str">
        <x:v>Tirante M20 propuesto, L380; rosca simplificada</x:v>
      </x:c>
      <x:c r="G255" s="11"/>
      <x:c r="H255" s="11"/>
      <x:c r="I255" s="11"/>
      <x:c r="J255" s="11"/>
      <x:c r="K255" s="11" t="n">
        <x:f t="shared" si="9">C255</x:f>
        <x:v>1</x:v>
      </x:c>
      <x:c r="L255" s="4" t="str">
        <x:v>ud</x:v>
      </x:c>
      <x:c r="M255" s="4" t="str">
        <x:v>TT10_C05_PC_02</x:v>
      </x:c>
      <x:c r="N255" s="4" t="str">
        <x:v>Dimensiones y mecanizados según plano nativo actualizado.</x:v>
      </x:c>
    </x:row>
    <x:row r="256" ht="36" customHeight="1">
      <x:c r="A256" s="9" t="n">
        <x:v>468</x:v>
      </x:c>
      <x:c r="B256" s="5" t="str">
        <x:v>TT10_TM_CUBO</x:v>
      </x:c>
      <x:c r="C256" s="9" t="n">
        <x:v>1</x:v>
      </x:c>
      <x:c r="D256" s="5" t="str">
        <x:v>Según plano</x:v>
      </x:c>
      <x:c r="E256" s="5" t="str">
        <x:v>AISI 4140 bonificado</x:v>
      </x:c>
      <x:c r="F256" s="5" t="str">
        <x:v>Cubo D80/D30 H7 L45; chavetero8 JS9, profundidad3.3 sobre radio nominal</x:v>
      </x:c>
      <x:c r="G256" s="12"/>
      <x:c r="H256" s="12"/>
      <x:c r="I256" s="12"/>
      <x:c r="J256" s="12"/>
      <x:c r="K256" s="12" t="n">
        <x:f t="shared" si="9">C256</x:f>
        <x:v>1</x:v>
      </x:c>
      <x:c r="L256" s="5" t="str">
        <x:v>ud</x:v>
      </x:c>
      <x:c r="M256" s="5" t="str">
        <x:v>TT10_C05_PC_17</x:v>
      </x:c>
      <x:c r="N256" s="5" t="str">
        <x:v>Dimensiones y mecanizados según plano nativo actualizado.</x:v>
      </x:c>
    </x:row>
    <x:row r="257" ht="36" customHeight="1">
      <x:c r="A257" s="8" t="n">
        <x:v>470</x:v>
      </x:c>
      <x:c r="B257" s="4" t="str">
        <x:v>TT10_TM_PUNO</x:v>
      </x:c>
      <x:c r="C257" s="8" t="n">
        <x:v>1</x:v>
      </x:c>
      <x:c r="D257" s="4" t="str">
        <x:v>Según plano</x:v>
      </x:c>
      <x:c r="E257" s="4" t="str">
        <x:v>POM-C; ficha de proveedor requerida</x:v>
      </x:c>
      <x:c r="F257" s="4" t="str">
        <x:v>Empuñadura giratoria POM D32/d10.4 L85</x:v>
      </x:c>
      <x:c r="G257" s="11"/>
      <x:c r="H257" s="11"/>
      <x:c r="I257" s="11"/>
      <x:c r="J257" s="11"/>
      <x:c r="K257" s="11" t="n">
        <x:f t="shared" si="9">C257</x:f>
        <x:v>1</x:v>
      </x:c>
      <x:c r="L257" s="4" t="str">
        <x:v>ud</x:v>
      </x:c>
      <x:c r="M257" s="4" t="str">
        <x:v>TT10_C05_PC_17</x:v>
      </x:c>
      <x:c r="N257" s="4" t="str">
        <x:v>Dimensiones y mecanizados según plano nativo actualizado.</x:v>
      </x:c>
    </x:row>
    <x:row r="258" ht="36" customHeight="1">
      <x:c r="A258" s="9" t="n">
        <x:v>478</x:v>
      </x:c>
      <x:c r="B258" s="5" t="str">
        <x:v>TT10_TM_VOLANTE</x:v>
      </x:c>
      <x:c r="C258" s="9" t="n">
        <x:v>1</x:v>
      </x:c>
      <x:c r="D258" s="5" t="str">
        <x:v>Según plano</x:v>
      </x:c>
      <x:c r="E258" s="5" t="str">
        <x:v>ASTM A36</x:v>
      </x:c>
      <x:c r="F258" s="5" t="str">
        <x:v>Volante D500 t12, cuatro radios; D8.5 para empuñadura; soldado al cubo</x:v>
      </x:c>
      <x:c r="G258" s="12"/>
      <x:c r="H258" s="12"/>
      <x:c r="I258" s="12"/>
      <x:c r="J258" s="12"/>
      <x:c r="K258" s="12" t="n">
        <x:f t="shared" si="9">C258</x:f>
        <x:v>1</x:v>
      </x:c>
      <x:c r="L258" s="5" t="str">
        <x:v>ud</x:v>
      </x:c>
      <x:c r="M258" s="5" t="str">
        <x:v>TT10_C05_PC_17</x:v>
      </x:c>
      <x:c r="N258" s="5" t="str">
        <x:v>Dimensiones y mecanizados según plano nativo actualizado.</x:v>
      </x:c>
    </x:row>
    <x:row r="259" ht="36" customHeight="1">
      <x:c r="A259" s="8" t="n">
        <x:v>487</x:v>
      </x:c>
      <x:c r="B259" s="4" t="str">
        <x:v>TT10_TOPE70_N_INFD</x:v>
      </x:c>
      <x:c r="C259" s="8" t="n">
        <x:v>1</x:v>
      </x:c>
      <x:c r="D259" s="4" t="str">
        <x:v>Según plano</x:v>
      </x:c>
      <x:c r="E259" s="4" t="str">
        <x:v>ASTM A36</x:v>
      </x:c>
      <x:c r="F259" s="4" t="str">
        <x:v>Cartela horizontal20: transmite componente transversal del tope70</x:v>
      </x:c>
      <x:c r="G259" s="11"/>
      <x:c r="H259" s="11"/>
      <x:c r="I259" s="11"/>
      <x:c r="J259" s="11"/>
      <x:c r="K259" s="11" t="n">
        <x:f>C259</x:f>
        <x:v>1</x:v>
      </x:c>
      <x:c r="L259" s="4" t="str">
        <x:v>ud</x:v>
      </x:c>
      <x:c r="M259" s="4" t="str">
        <x:v>TT10_C05_PC_03</x:v>
      </x:c>
      <x:c r="N259" s="4" t="str">
        <x:v>Dimensiones y mecanizados según plano nativo actualizado.</x:v>
      </x:c>
    </x:row>
    <x:row r="260" ht="36" customHeight="1">
      <x:c r="A260" s="9" t="n">
        <x:v>488</x:v>
      </x:c>
      <x:c r="B260" s="5" t="str">
        <x:v>TT10_TOPE70_N_INFI</x:v>
      </x:c>
      <x:c r="C260" s="9" t="n">
        <x:v>1</x:v>
      </x:c>
      <x:c r="D260" s="5" t="str">
        <x:v>Según plano</x:v>
      </x:c>
      <x:c r="E260" s="5" t="str">
        <x:v>ASTM A36</x:v>
      </x:c>
      <x:c r="F260" s="5" t="str">
        <x:v>Cartela horizontal20: transmite componente transversal del tope70</x:v>
      </x:c>
      <x:c r="G260" s="12"/>
      <x:c r="H260" s="12"/>
      <x:c r="I260" s="12"/>
      <x:c r="J260" s="12"/>
      <x:c r="K260" s="12" t="n">
        <x:f t="shared" ref="K260:K265" si="10">C260</x:f>
        <x:v>1</x:v>
      </x:c>
      <x:c r="L260" s="5" t="str">
        <x:v>ud</x:v>
      </x:c>
      <x:c r="M260" s="5" t="str">
        <x:v>TT10_C05_PC_03</x:v>
      </x:c>
      <x:c r="N260" s="5" t="str">
        <x:v>Dimensiones y mecanizados según plano nativo actualizado.</x:v>
      </x:c>
    </x:row>
    <x:row r="261" ht="36" customHeight="1">
      <x:c r="A261" s="8" t="n">
        <x:v>489</x:v>
      </x:c>
      <x:c r="B261" s="4" t="str">
        <x:v>TT10_TOPE70_N_SUPD</x:v>
      </x:c>
      <x:c r="C261" s="8" t="n">
        <x:v>1</x:v>
      </x:c>
      <x:c r="D261" s="4" t="str">
        <x:v>Según plano</x:v>
      </x:c>
      <x:c r="E261" s="4" t="str">
        <x:v>ASTM A36</x:v>
      </x:c>
      <x:c r="F261" s="4" t="str">
        <x:v>Cartela horizontal20: transmite componente transversal del tope70</x:v>
      </x:c>
      <x:c r="G261" s="11"/>
      <x:c r="H261" s="11"/>
      <x:c r="I261" s="11"/>
      <x:c r="J261" s="11"/>
      <x:c r="K261" s="11" t="n">
        <x:f t="shared" si="10">C261</x:f>
        <x:v>1</x:v>
      </x:c>
      <x:c r="L261" s="4" t="str">
        <x:v>ud</x:v>
      </x:c>
      <x:c r="M261" s="4" t="str">
        <x:v>TT10_C05_PC_03</x:v>
      </x:c>
      <x:c r="N261" s="4" t="str">
        <x:v>Dimensiones y mecanizados según plano nativo actualizado.</x:v>
      </x:c>
    </x:row>
    <x:row r="262" ht="36" customHeight="1">
      <x:c r="A262" s="9" t="n">
        <x:v>490</x:v>
      </x:c>
      <x:c r="B262" s="5" t="str">
        <x:v>TT10_TOPE70_N_SUPI</x:v>
      </x:c>
      <x:c r="C262" s="9" t="n">
        <x:v>1</x:v>
      </x:c>
      <x:c r="D262" s="5" t="str">
        <x:v>Según plano</x:v>
      </x:c>
      <x:c r="E262" s="5" t="str">
        <x:v>ASTM A36</x:v>
      </x:c>
      <x:c r="F262" s="5" t="str">
        <x:v>Cartela horizontal20: transmite componente transversal del tope70</x:v>
      </x:c>
      <x:c r="G262" s="12"/>
      <x:c r="H262" s="12"/>
      <x:c r="I262" s="12"/>
      <x:c r="J262" s="12"/>
      <x:c r="K262" s="12" t="n">
        <x:f t="shared" si="10">C262</x:f>
        <x:v>1</x:v>
      </x:c>
      <x:c r="L262" s="5" t="str">
        <x:v>ud</x:v>
      </x:c>
      <x:c r="M262" s="5" t="str">
        <x:v>TT10_C05_PC_03</x:v>
      </x:c>
      <x:c r="N262" s="5" t="str">
        <x:v>Dimensiones y mecanizados según plano nativo actualizado.</x:v>
      </x:c>
    </x:row>
    <x:row r="263" ht="36" customHeight="1">
      <x:c r="A263" s="8" t="n">
        <x:v>491</x:v>
      </x:c>
      <x:c r="B263" s="4" t="str">
        <x:v>TT10_TOPE70_N_V1</x:v>
      </x:c>
      <x:c r="C263" s="8" t="n">
        <x:v>1</x:v>
      </x:c>
      <x:c r="D263" s="4" t="str">
        <x:v>Según plano</x:v>
      </x:c>
      <x:c r="E263" s="4" t="str">
        <x:v>ASTM A36</x:v>
      </x:c>
      <x:c r="F263" s="4" t="str">
        <x:v>Cartela vertical20 de tope70; apoyo al bloque y cara de columna</x:v>
      </x:c>
      <x:c r="G263" s="11"/>
      <x:c r="H263" s="11"/>
      <x:c r="I263" s="11"/>
      <x:c r="J263" s="11"/>
      <x:c r="K263" s="11" t="n">
        <x:f t="shared" si="10">C263</x:f>
        <x:v>1</x:v>
      </x:c>
      <x:c r="L263" s="4" t="str">
        <x:v>ud</x:v>
      </x:c>
      <x:c r="M263" s="4" t="str">
        <x:v>TT10_C05_PC_03</x:v>
      </x:c>
      <x:c r="N263" s="4" t="str">
        <x:v>Dimensiones y mecanizados según plano nativo actualizado.</x:v>
      </x:c>
    </x:row>
    <x:row r="264" ht="36" customHeight="1">
      <x:c r="A264" s="9" t="n">
        <x:v>492</x:v>
      </x:c>
      <x:c r="B264" s="5" t="str">
        <x:v>TT10_TOPE70_N_V2</x:v>
      </x:c>
      <x:c r="C264" s="9" t="n">
        <x:v>1</x:v>
      </x:c>
      <x:c r="D264" s="5" t="str">
        <x:v>Según plano</x:v>
      </x:c>
      <x:c r="E264" s="5" t="str">
        <x:v>ASTM A36</x:v>
      </x:c>
      <x:c r="F264" s="5" t="str">
        <x:v>Cartela vertical20 de tope70; apoyo al bloque y cara de columna</x:v>
      </x:c>
      <x:c r="G264" s="12"/>
      <x:c r="H264" s="12"/>
      <x:c r="I264" s="12"/>
      <x:c r="J264" s="12"/>
      <x:c r="K264" s="12" t="n">
        <x:f t="shared" si="10">C264</x:f>
        <x:v>1</x:v>
      </x:c>
      <x:c r="L264" s="5" t="str">
        <x:v>ud</x:v>
      </x:c>
      <x:c r="M264" s="5" t="str">
        <x:v>TT10_C05_PC_03</x:v>
      </x:c>
      <x:c r="N264" s="5" t="str">
        <x:v>Dimensiones y mecanizados según plano nativo actualizado.</x:v>
      </x:c>
    </x:row>
    <x:row r="265" ht="36" customHeight="1">
      <x:c r="A265" s="8" t="n">
        <x:v>493</x:v>
      </x:c>
      <x:c r="B265" s="4" t="str">
        <x:v>TT10_TOPE70_P_INFD</x:v>
      </x:c>
      <x:c r="C265" s="8" t="n">
        <x:v>1</x:v>
      </x:c>
      <x:c r="D265" s="4" t="str">
        <x:v>Según plano</x:v>
      </x:c>
      <x:c r="E265" s="4" t="str">
        <x:v>ASTM A36</x:v>
      </x:c>
      <x:c r="F265" s="4" t="str">
        <x:v>Cartela horizontal20: transmite componente transversal del tope70</x:v>
      </x:c>
      <x:c r="G265" s="11"/>
      <x:c r="H265" s="11"/>
      <x:c r="I265" s="11"/>
      <x:c r="J265" s="11"/>
      <x:c r="K265" s="11" t="n">
        <x:f t="shared" si="10">C265</x:f>
        <x:v>1</x:v>
      </x:c>
      <x:c r="L265" s="4" t="str">
        <x:v>ud</x:v>
      </x:c>
      <x:c r="M265" s="4" t="str">
        <x:v>TT10_C05_PC_03</x:v>
      </x:c>
      <x:c r="N265" s="4" t="str">
        <x:v>Dimensiones y mecanizados según plano nativo actualizado.</x:v>
      </x:c>
    </x:row>
    <x:row r="266" ht="36" customHeight="1">
      <x:c r="A266" s="9" t="n">
        <x:v>494</x:v>
      </x:c>
      <x:c r="B266" s="5" t="str">
        <x:v>TT10_TOPE70_P_INFI</x:v>
      </x:c>
      <x:c r="C266" s="9" t="n">
        <x:v>1</x:v>
      </x:c>
      <x:c r="D266" s="5" t="str">
        <x:v>Según plano</x:v>
      </x:c>
      <x:c r="E266" s="5" t="str">
        <x:v>ASTM A36</x:v>
      </x:c>
      <x:c r="F266" s="5" t="str">
        <x:v>Cartela horizontal20: transmite componente transversal del tope70</x:v>
      </x:c>
      <x:c r="G266" s="12"/>
      <x:c r="H266" s="12"/>
      <x:c r="I266" s="12"/>
      <x:c r="J266" s="12"/>
      <x:c r="K266" s="12" t="n">
        <x:f t="shared" ref="K266:K278" si="11">C266</x:f>
        <x:v>1</x:v>
      </x:c>
      <x:c r="L266" s="5" t="str">
        <x:v>ud</x:v>
      </x:c>
      <x:c r="M266" s="5" t="str">
        <x:v>TT10_C05_PC_03</x:v>
      </x:c>
      <x:c r="N266" s="5" t="str">
        <x:v>Dimensiones y mecanizados según plano nativo actualizado.</x:v>
      </x:c>
    </x:row>
    <x:row r="267" ht="36" customHeight="1">
      <x:c r="A267" s="8" t="n">
        <x:v>495</x:v>
      </x:c>
      <x:c r="B267" s="4" t="str">
        <x:v>TT10_TOPE70_P_SUPD</x:v>
      </x:c>
      <x:c r="C267" s="8" t="n">
        <x:v>1</x:v>
      </x:c>
      <x:c r="D267" s="4" t="str">
        <x:v>Según plano</x:v>
      </x:c>
      <x:c r="E267" s="4" t="str">
        <x:v>ASTM A36</x:v>
      </x:c>
      <x:c r="F267" s="4" t="str">
        <x:v>Cartela horizontal20: transmite componente transversal del tope70</x:v>
      </x:c>
      <x:c r="G267" s="11"/>
      <x:c r="H267" s="11"/>
      <x:c r="I267" s="11"/>
      <x:c r="J267" s="11"/>
      <x:c r="K267" s="11" t="n">
        <x:f t="shared" si="11">C267</x:f>
        <x:v>1</x:v>
      </x:c>
      <x:c r="L267" s="4" t="str">
        <x:v>ud</x:v>
      </x:c>
      <x:c r="M267" s="4" t="str">
        <x:v>TT10_C05_PC_03</x:v>
      </x:c>
      <x:c r="N267" s="4" t="str">
        <x:v>Dimensiones y mecanizados según plano nativo actualizado.</x:v>
      </x:c>
    </x:row>
    <x:row r="268" ht="36" customHeight="1">
      <x:c r="A268" s="9" t="n">
        <x:v>496</x:v>
      </x:c>
      <x:c r="B268" s="5" t="str">
        <x:v>TT10_TOPE70_P_SUPI</x:v>
      </x:c>
      <x:c r="C268" s="9" t="n">
        <x:v>1</x:v>
      </x:c>
      <x:c r="D268" s="5" t="str">
        <x:v>Según plano</x:v>
      </x:c>
      <x:c r="E268" s="5" t="str">
        <x:v>ASTM A36</x:v>
      </x:c>
      <x:c r="F268" s="5" t="str">
        <x:v>Cartela horizontal20: transmite componente transversal del tope70</x:v>
      </x:c>
      <x:c r="G268" s="12"/>
      <x:c r="H268" s="12"/>
      <x:c r="I268" s="12"/>
      <x:c r="J268" s="12"/>
      <x:c r="K268" s="12" t="n">
        <x:f t="shared" si="11">C268</x:f>
        <x:v>1</x:v>
      </x:c>
      <x:c r="L268" s="5" t="str">
        <x:v>ud</x:v>
      </x:c>
      <x:c r="M268" s="5" t="str">
        <x:v>TT10_C05_PC_03</x:v>
      </x:c>
      <x:c r="N268" s="5" t="str">
        <x:v>Dimensiones y mecanizados según plano nativo actualizado.</x:v>
      </x:c>
    </x:row>
    <x:row r="269" ht="36" customHeight="1">
      <x:c r="A269" s="8" t="n">
        <x:v>497</x:v>
      </x:c>
      <x:c r="B269" s="4" t="str">
        <x:v>TT10_TOPE70_P_V1</x:v>
      </x:c>
      <x:c r="C269" s="8" t="n">
        <x:v>1</x:v>
      </x:c>
      <x:c r="D269" s="4" t="str">
        <x:v>Según plano</x:v>
      </x:c>
      <x:c r="E269" s="4" t="str">
        <x:v>ASTM A36</x:v>
      </x:c>
      <x:c r="F269" s="4" t="str">
        <x:v>Cartela vertical20 de tope70; apoyo al bloque y cara de columna</x:v>
      </x:c>
      <x:c r="G269" s="11"/>
      <x:c r="H269" s="11"/>
      <x:c r="I269" s="11"/>
      <x:c r="J269" s="11"/>
      <x:c r="K269" s="11" t="n">
        <x:f t="shared" si="11">C269</x:f>
        <x:v>1</x:v>
      </x:c>
      <x:c r="L269" s="4" t="str">
        <x:v>ud</x:v>
      </x:c>
      <x:c r="M269" s="4" t="str">
        <x:v>TT10_C05_PC_03</x:v>
      </x:c>
      <x:c r="N269" s="4" t="str">
        <x:v>Dimensiones y mecanizados según plano nativo actualizado.</x:v>
      </x:c>
    </x:row>
    <x:row r="270" ht="36" customHeight="1">
      <x:c r="A270" s="9" t="n">
        <x:v>498</x:v>
      </x:c>
      <x:c r="B270" s="5" t="str">
        <x:v>TT10_TOPE70_P_V2</x:v>
      </x:c>
      <x:c r="C270" s="9" t="n">
        <x:v>1</x:v>
      </x:c>
      <x:c r="D270" s="5" t="str">
        <x:v>Según plano</x:v>
      </x:c>
      <x:c r="E270" s="5" t="str">
        <x:v>ASTM A36</x:v>
      </x:c>
      <x:c r="F270" s="5" t="str">
        <x:v>Cartela vertical20 de tope70; apoyo al bloque y cara de columna</x:v>
      </x:c>
      <x:c r="G270" s="12"/>
      <x:c r="H270" s="12"/>
      <x:c r="I270" s="12"/>
      <x:c r="J270" s="12"/>
      <x:c r="K270" s="12" t="n">
        <x:f t="shared" si="11">C270</x:f>
        <x:v>1</x:v>
      </x:c>
      <x:c r="L270" s="5" t="str">
        <x:v>ud</x:v>
      </x:c>
      <x:c r="M270" s="5" t="str">
        <x:v>TT10_C05_PC_03</x:v>
      </x:c>
      <x:c r="N270" s="5" t="str">
        <x:v>Dimensiones y mecanizados según plano nativo actualizado.</x:v>
      </x:c>
    </x:row>
    <x:row r="271" ht="34.95000076293945" customHeight="1">
      <x:c r="A271" s="8"/>
      <x:c r="B271" s="4"/>
      <x:c r="C271" s="8"/>
      <x:c r="D271" s="4"/>
      <x:c r="E271" s="4"/>
      <x:c r="F271" s="4"/>
      <x:c r="G271" s="11"/>
      <x:c r="H271" s="11"/>
      <x:c r="I271" s="11"/>
      <x:c r="J271" s="11"/>
      <x:c r="K271" s="11">
        <x:f t="shared" si="11"/>
      </x:c>
      <x:c r="L271" s="4"/>
      <x:c r="M271" s="4"/>
      <x:c r="N271" s="4"/>
    </x:row>
    <x:row r="272" ht="34.95000076293945" customHeight="1">
      <x:c r="A272" s="9"/>
      <x:c r="B272" s="5"/>
      <x:c r="C272" s="9"/>
      <x:c r="D272" s="5"/>
      <x:c r="E272" s="5"/>
      <x:c r="F272" s="5"/>
      <x:c r="G272" s="12"/>
      <x:c r="H272" s="12"/>
      <x:c r="I272" s="12"/>
      <x:c r="J272" s="12"/>
      <x:c r="K272" s="12">
        <x:f t="shared" si="11"/>
      </x:c>
      <x:c r="L272" s="5"/>
      <x:c r="M272" s="5"/>
      <x:c r="N272" s="5"/>
    </x:row>
    <x:row r="273" ht="34.95000076293945" customHeight="1">
      <x:c r="A273" s="8"/>
      <x:c r="B273" s="4"/>
      <x:c r="C273" s="8"/>
      <x:c r="D273" s="4"/>
      <x:c r="E273" s="4"/>
      <x:c r="F273" s="4"/>
      <x:c r="G273" s="11"/>
      <x:c r="H273" s="11"/>
      <x:c r="I273" s="11"/>
      <x:c r="J273" s="11"/>
      <x:c r="K273" s="11">
        <x:f t="shared" si="11"/>
      </x:c>
      <x:c r="L273" s="4"/>
      <x:c r="M273" s="4"/>
      <x:c r="N273" s="4"/>
    </x:row>
    <x:row r="274" ht="34.95000076293945" customHeight="1">
      <x:c r="A274" s="9"/>
      <x:c r="B274" s="5"/>
      <x:c r="C274" s="9"/>
      <x:c r="D274" s="5"/>
      <x:c r="E274" s="5"/>
      <x:c r="F274" s="5"/>
      <x:c r="G274" s="12"/>
      <x:c r="H274" s="12"/>
      <x:c r="I274" s="12"/>
      <x:c r="J274" s="12"/>
      <x:c r="K274" s="12">
        <x:f t="shared" si="11"/>
      </x:c>
      <x:c r="L274" s="5"/>
      <x:c r="M274" s="5"/>
      <x:c r="N274" s="5"/>
    </x:row>
    <x:row r="275" ht="34.95000076293945" customHeight="1">
      <x:c r="A275" s="8"/>
      <x:c r="B275" s="4"/>
      <x:c r="C275" s="8"/>
      <x:c r="D275" s="4"/>
      <x:c r="E275" s="4"/>
      <x:c r="F275" s="4"/>
      <x:c r="G275" s="11"/>
      <x:c r="H275" s="11"/>
      <x:c r="I275" s="11"/>
      <x:c r="J275" s="11"/>
      <x:c r="K275" s="11">
        <x:f t="shared" si="11"/>
      </x:c>
      <x:c r="L275" s="4"/>
      <x:c r="M275" s="4"/>
      <x:c r="N275" s="4"/>
    </x:row>
    <x:row r="276" ht="34.95000076293945" customHeight="1">
      <x:c r="A276" s="9"/>
      <x:c r="B276" s="5"/>
      <x:c r="C276" s="9"/>
      <x:c r="D276" s="5"/>
      <x:c r="E276" s="5"/>
      <x:c r="F276" s="5"/>
      <x:c r="G276" s="12"/>
      <x:c r="H276" s="12"/>
      <x:c r="I276" s="12"/>
      <x:c r="J276" s="12"/>
      <x:c r="K276" s="12">
        <x:f t="shared" si="11"/>
      </x:c>
      <x:c r="L276" s="5"/>
      <x:c r="M276" s="5"/>
      <x:c r="N276" s="5"/>
    </x:row>
    <x:row r="277" ht="34.95000076293945" customHeight="1">
      <x:c r="A277" s="8"/>
      <x:c r="B277" s="4"/>
      <x:c r="C277" s="8"/>
      <x:c r="D277" s="4"/>
      <x:c r="E277" s="4"/>
      <x:c r="F277" s="4"/>
      <x:c r="G277" s="11"/>
      <x:c r="H277" s="11"/>
      <x:c r="I277" s="11"/>
      <x:c r="J277" s="11"/>
      <x:c r="K277" s="11">
        <x:f t="shared" si="11"/>
      </x:c>
      <x:c r="L277" s="4"/>
      <x:c r="M277" s="4"/>
      <x:c r="N277" s="4"/>
    </x:row>
    <x:row r="278" ht="34.95000076293945" customHeight="1">
      <x:c r="A278" s="9"/>
      <x:c r="B278" s="5"/>
      <x:c r="C278" s="9"/>
      <x:c r="D278" s="5"/>
      <x:c r="E278" s="5"/>
      <x:c r="F278" s="5"/>
      <x:c r="G278" s="12"/>
      <x:c r="H278" s="12"/>
      <x:c r="I278" s="12"/>
      <x:c r="J278" s="12"/>
      <x:c r="K278" s="12">
        <x:f t="shared" si="11"/>
      </x:c>
      <x:c r="L278" s="5"/>
      <x:c r="M278" s="5"/>
      <x:c r="N278" s="5"/>
    </x:row>
  </x:sheetData>
  <x:pageMargins left="0.7" right="0.7" top="0.75" bottom="0.75" header="0.3" footer="0.3"/>
  <x:drawing xmlns:r="http://schemas.openxmlformats.org/officeDocument/2006/relationships" r:id="Raae14bcfebff43dc"/>
  <x:tableParts count="1">
    <x:tablePart xmlns:r="http://schemas.openxmlformats.org/officeDocument/2006/relationships" r:id="Rc4f79539bd87448a"/>
  </x:tableParts>
</x:worksheet>
</file>

<file path=xl/worksheets/sheet3.xml><?xml version="1.0" encoding="utf-8"?>
<x:worksheet xmlns:x="http://schemas.openxmlformats.org/spreadsheetml/2006/main">
  <x:sheetPr>
    <x:tabColor rgb="FF123E67"/>
  </x:sheetPr>
  <x:sheetViews>
    <x:sheetView showGridLines="0" workbookViewId="0">
      <x:pane xSplit="2" ySplit="3" topLeftCell="C4" activePane="bottomRight" state="frozen"/>
    </x:sheetView>
  </x:sheetViews>
  <x:sheetFormatPr baseColWidth="10" defaultColWidth="8.796875" defaultRowHeight="13.800000190734863"/>
  <x:cols>
    <x:col min="1" max="1" width="14" hidden="1" customWidth="1"/>
    <x:col min="2" max="2" width="45" customWidth="1"/>
    <x:col min="3" max="3" width="7" hidden="1" customWidth="1"/>
    <x:col min="4" max="4" width="39" hidden="1" customWidth="1"/>
    <x:col min="5" max="5" width="13" customWidth="1"/>
    <x:col min="6" max="6" width="12" customWidth="1"/>
    <x:col min="7" max="7" width="15" customWidth="1"/>
    <x:col min="8" max="8" width="68" customWidth="1"/>
    <x:col min="9" max="9" width="35" customWidth="1"/>
    <x:col min="10" max="10" width="48" customWidth="1"/>
  </x:cols>
  <x:sheetData>
    <x:row r="1" ht="31.200000762939453" customHeight="1">
      <x:c r="B1" s="2" t="str">
        <x:v>BOM POR CONJUNTO - GEOMETRÍA ACTUAL / 25-10-2026</x:v>
      </x:c>
    </x:row>
    <x:row r="2" ht="25.950000762939453" customHeight="1">
      <x:c r="B2" s="1"/>
      <x:c r="C2" s="1"/>
      <x:c r="D2" s="1"/>
      <x:c r="E2" s="1"/>
      <x:c r="F2" s="1"/>
      <x:c r="G2" s="1"/>
      <x:c r="H2" s="1"/>
      <x:c r="I2" s="1"/>
      <x:c r="J2" s="1"/>
    </x:row>
    <x:row r="3" ht="31.950000762939453" customHeight="1">
      <x:c r="A3" s="3" t="s">
        <x:v>13</x:v>
      </x:c>
      <x:c r="B3" s="3" t="s">
        <x:v>15</x:v>
      </x:c>
      <x:c r="C3" s="3" t="s">
        <x:v>1</x:v>
      </x:c>
      <x:c r="D3" s="3" t="s">
        <x:v>2</x:v>
      </x:c>
      <x:c r="E3" s="3" t="s">
        <x:v>16</x:v>
      </x:c>
      <x:c r="F3" s="3" t="s">
        <x:v>17</x:v>
      </x:c>
      <x:c r="G3" s="3" t="s">
        <x:v>18</x:v>
      </x:c>
      <x:c r="H3" s="3" t="s">
        <x:v>6</x:v>
      </x:c>
      <x:c r="I3" s="3" t="s">
        <x:v>5</x:v>
      </x:c>
      <x:c r="J3" s="3" t="s">
        <x:v>14</x:v>
      </x:c>
    </x:row>
    <x:row r="4" ht="30" customHeight="1">
      <x:c r="A4" s="4" t="str">
        <x:v>TT10_C05_PC_01</x:v>
      </x:c>
      <x:c r="B4" s="4" t="str">
        <x:v>Conjunto general y montaje</x:v>
      </x:c>
      <x:c r="C4" s="6" t="n">
        <x:v>1</x:v>
      </x:c>
      <x:c r="D4" s="4" t="str">
        <x:v>TT10_22240_N</x:v>
      </x:c>
      <x:c r="E4" s="6" t="n">
        <x:v>1</x:v>
      </x:c>
      <x:c r="F4" s="6" t="n">
        <x:v>1</x:v>
      </x:c>
      <x:c r="G4" s="4" t="str">
        <x:v>Compra</x:v>
      </x:c>
      <x:c r="H4" s="4" t="str">
        <x:v>SKF22240CC/W33 200x360x98; envolvente sin rodillos</x:v>
      </x:c>
      <x:c r="I4" s="4" t="str">
        <x:v>Conjunto comprado; acero/ fundición según OEM</x:v>
      </x:c>
      <x:c r="J4" s="4" t="str">
        <x:v>Cantidades por conjunto; no sumar como total de máquina.</x:v>
      </x:c>
    </x:row>
    <x:row r="5" ht="30" customHeight="1">
      <x:c r="A5" s="5" t="str">
        <x:v>TT10_C05_PC_01</x:v>
      </x:c>
      <x:c r="B5" s="5" t="str">
        <x:v>Conjunto general y montaje</x:v>
      </x:c>
      <x:c r="C5" s="7" t="n">
        <x:v>2</x:v>
      </x:c>
      <x:c r="D5" s="5" t="str">
        <x:v>TT10_22240_P</x:v>
      </x:c>
      <x:c r="E5" s="7" t="n">
        <x:v>1</x:v>
      </x:c>
      <x:c r="F5" s="7" t="n">
        <x:v>1</x:v>
      </x:c>
      <x:c r="G5" s="5" t="str">
        <x:v>Compra</x:v>
      </x:c>
      <x:c r="H5" s="5" t="str">
        <x:v>SKF22240CC/W33 200x360x98; envolvente sin rodillos</x:v>
      </x:c>
      <x:c r="I5" s="5" t="str">
        <x:v>Conjunto comprado; acero/ fundición según OEM</x:v>
      </x:c>
      <x:c r="J5" s="5" t="str">
        <x:v>Cantidades por conjunto; no sumar como total de máquina.</x:v>
      </x:c>
    </x:row>
    <x:row r="6" ht="30" customHeight="1">
      <x:c r="A6" s="4" t="str">
        <x:v>TT10_C05_PC_01</x:v>
      </x:c>
      <x:c r="B6" s="4" t="str">
        <x:v>Conjunto general y montaje</x:v>
      </x:c>
      <x:c r="C6" s="6" t="n">
        <x:v>3</x:v>
      </x:c>
      <x:c r="D6" s="4" t="str">
        <x:v>TT10_BAP_P0</x:v>
      </x:c>
      <x:c r="E6" s="6" t="n">
        <x:v>32</x:v>
      </x:c>
      <x:c r="F6" s="6" t="n">
        <x:v>32</x:v>
      </x:c>
      <x:c r="G6" s="4" t="str">
        <x:v>Compra</x:v>
      </x:c>
      <x:c r="H6" s="4" t="str">
        <x:v>Perno ISO4014 M30x140 clase8.8; rosca nominal</x:v>
      </x:c>
      <x:c r="I6" s="4" t="str">
        <x:v>Clase 8.8 / ISO 898-1</x:v>
      </x:c>
      <x:c r="J6" s="4" t="str">
        <x:v>Cantidades por conjunto; no sumar como total de máquina.</x:v>
      </x:c>
    </x:row>
    <x:row r="7" ht="30" customHeight="1">
      <x:c r="A7" s="5" t="str">
        <x:v>TT10_C05_PC_01</x:v>
      </x:c>
      <x:c r="B7" s="5" t="str">
        <x:v>Conjunto general y montaje</x:v>
      </x:c>
      <x:c r="C7" s="7" t="n">
        <x:v>4</x:v>
      </x:c>
      <x:c r="D7" s="5" t="str">
        <x:v>TT10_BUJE_PIN_N</x:v>
      </x:c>
      <x:c r="E7" s="7" t="n">
        <x:v>1</x:v>
      </x:c>
      <x:c r="F7" s="7" t="n">
        <x:v>1</x:v>
      </x:c>
      <x:c r="G7" s="5" t="str">
        <x:v>Fabricación</x:v>
      </x:c>
      <x:c r="H7" s="5" t="str">
        <x:v>Casquillo CuSn12 Ø69 s6 / Ø65.5 H9 final, L85, C0.5 interiores</x:v>
      </x:c>
      <x:c r="I7" s="5" t="str">
        <x:v>CuSn12 / EN 1982</x:v>
      </x:c>
      <x:c r="J7" s="5" t="str">
        <x:v>Cantidades por conjunto; no sumar como total de máquina.</x:v>
      </x:c>
    </x:row>
    <x:row r="8" ht="30" customHeight="1">
      <x:c r="A8" s="4" t="str">
        <x:v>TT10_C05_PC_01</x:v>
      </x:c>
      <x:c r="B8" s="4" t="str">
        <x:v>Conjunto general y montaje</x:v>
      </x:c>
      <x:c r="C8" s="6" t="n">
        <x:v>5</x:v>
      </x:c>
      <x:c r="D8" s="4" t="str">
        <x:v>TT10_BUJE_PIN_P</x:v>
      </x:c>
      <x:c r="E8" s="6" t="n">
        <x:v>1</x:v>
      </x:c>
      <x:c r="F8" s="6" t="n">
        <x:v>1</x:v>
      </x:c>
      <x:c r="G8" s="4" t="str">
        <x:v>Fabricación</x:v>
      </x:c>
      <x:c r="H8" s="4" t="str">
        <x:v>Casquillo CuSn12 Ø69 s6 / Ø65.5 H9 final, L85, C0.5 interiores</x:v>
      </x:c>
      <x:c r="I8" s="4" t="str">
        <x:v>CuSn12 / EN 1982</x:v>
      </x:c>
      <x:c r="J8" s="4" t="str">
        <x:v>Cantidades por conjunto; no sumar como total de máquina.</x:v>
      </x:c>
    </x:row>
    <x:row r="9" ht="30" customHeight="1">
      <x:c r="A9" s="5" t="str">
        <x:v>TT10_C05_PC_01</x:v>
      </x:c>
      <x:c r="B9" s="5" t="str">
        <x:v>Conjunto general y montaje</x:v>
      </x:c>
      <x:c r="C9" s="7" t="n">
        <x:v>6</x:v>
      </x:c>
      <x:c r="D9" s="5" t="str">
        <x:v>TT10_C03_ACCESO_PUERTO_N</x:v>
      </x:c>
      <x:c r="E9" s="7" t="n">
        <x:v>1</x:v>
      </x:c>
      <x:c r="F9" s="7" t="n">
        <x:v>1</x:v>
      </x:c>
      <x:c r="G9" s="5" t="str">
        <x:v>Fabricación</x:v>
      </x:c>
      <x:c r="H9" s="5" t="str">
        <x:v>Guia de herramienta desde exterior N; puerto nominal rear+15.5/Z+53.7; NO conexion remota al actuador</x:v>
      </x:c>
      <x:c r="I9" s="5" t="str">
        <x:v>ASTM A36</x:v>
      </x:c>
      <x:c r="J9" s="5" t="str">
        <x:v>Cantidades por conjunto; no sumar como total de máquina.</x:v>
      </x:c>
    </x:row>
    <x:row r="10" ht="30" customHeight="1">
      <x:c r="A10" s="4" t="str">
        <x:v>TT10_C05_PC_01</x:v>
      </x:c>
      <x:c r="B10" s="4" t="str">
        <x:v>Conjunto general y montaje</x:v>
      </x:c>
      <x:c r="C10" s="6" t="n">
        <x:v>7</x:v>
      </x:c>
      <x:c r="D10" s="4" t="str">
        <x:v>TT10_C03_ACCESO_PUERTO_P</x:v>
      </x:c>
      <x:c r="E10" s="6" t="n">
        <x:v>1</x:v>
      </x:c>
      <x:c r="F10" s="6" t="n">
        <x:v>1</x:v>
      </x:c>
      <x:c r="G10" s="4" t="str">
        <x:v>Fabricación</x:v>
      </x:c>
      <x:c r="H10" s="4" t="str">
        <x:v>Guia de herramienta desde exterior P; puerto nominal rear+15.5/Z+53.7; NO conexion remota al actuador</x:v>
      </x:c>
      <x:c r="I10" s="4" t="str">
        <x:v>ASTM A36</x:v>
      </x:c>
      <x:c r="J10" s="4" t="str">
        <x:v>Cantidades por conjunto; no sumar como total de máquina.</x:v>
      </x:c>
    </x:row>
    <x:row r="11" ht="30" customHeight="1">
      <x:c r="A11" s="5" t="str">
        <x:v>TT10_C05_PC_01</x:v>
      </x:c>
      <x:c r="B11" s="5" t="str">
        <x:v>Conjunto general y montaje</x:v>
      </x:c>
      <x:c r="C11" s="7" t="n">
        <x:v>8</x:v>
      </x:c>
      <x:c r="D11" s="5" t="str">
        <x:v>TT10_C03_CADENA_ESLABON</x:v>
      </x:c>
      <x:c r="E11" s="7" t="n">
        <x:v>122</x:v>
      </x:c>
      <x:c r="F11" s="7" t="n">
        <x:v>122</x:v>
      </x:c>
      <x:c r="G11" s="5" t="str">
        <x:v>Compra</x:v>
      </x:c>
      <x:c r="H11" s="5" t="str">
        <x:v>Renold16B1: referencia visual de eslabon; no fabricar. Rodillos compartidos representados dos veces</x:v>
      </x:c>
      <x:c r="I11" s="5" t="str">
        <x:v>Equipo comprado Renold</x:v>
      </x:c>
      <x:c r="J11" s="5" t="str">
        <x:v>Cantidades por conjunto; no sumar como total de máquina.</x:v>
      </x:c>
    </x:row>
    <x:row r="12" ht="30" customHeight="1">
      <x:c r="A12" s="4" t="str">
        <x:v>TT10_C05_PC_01</x:v>
      </x:c>
      <x:c r="B12" s="4" t="str">
        <x:v>Conjunto general y montaje</x:v>
      </x:c>
      <x:c r="C12" s="6" t="n">
        <x:v>9</x:v>
      </x:c>
      <x:c r="D12" s="4" t="str">
        <x:v>TT10_C03_HK4020_E1</x:v>
      </x:c>
      <x:c r="E12" s="6" t="n">
        <x:v>1</x:v>
      </x:c>
      <x:c r="F12" s="6" t="n">
        <x:v>1</x:v>
      </x:c>
      <x:c r="G12" s="4" t="str">
        <x:v>Compra</x:v>
      </x:c>
      <x:c r="H12" s="4" t="str">
        <x:v>SKF HK4020; 40x47x20; rodillos y jaula omitidos</x:v>
      </x:c>
      <x:c r="I12" s="4" t="str">
        <x:v>Conjunto comprado; acero/ fundición según OEM</x:v>
      </x:c>
      <x:c r="J12" s="4" t="str">
        <x:v>Cantidades por conjunto; no sumar como total de máquina.</x:v>
      </x:c>
    </x:row>
    <x:row r="13" ht="30" customHeight="1">
      <x:c r="A13" s="5" t="str">
        <x:v>TT10_C05_PC_01</x:v>
      </x:c>
      <x:c r="B13" s="5" t="str">
        <x:v>Conjunto general y montaje</x:v>
      </x:c>
      <x:c r="C13" s="7" t="n">
        <x:v>10</x:v>
      </x:c>
      <x:c r="D13" s="5" t="str">
        <x:v>TT10_C03_HK4020_E2</x:v>
      </x:c>
      <x:c r="E13" s="7" t="n">
        <x:v>1</x:v>
      </x:c>
      <x:c r="F13" s="7" t="n">
        <x:v>1</x:v>
      </x:c>
      <x:c r="G13" s="5" t="str">
        <x:v>Compra</x:v>
      </x:c>
      <x:c r="H13" s="5" t="str">
        <x:v>SKF HK4020; 40x47x20; rodillos y jaula omitidos</x:v>
      </x:c>
      <x:c r="I13" s="5" t="str">
        <x:v>Conjunto comprado; acero/ fundición según OEM</x:v>
      </x:c>
      <x:c r="J13" s="5" t="str">
        <x:v>Cantidades por conjunto; no sumar como total de máquina.</x:v>
      </x:c>
    </x:row>
    <x:row r="14" ht="30" customHeight="1">
      <x:c r="A14" s="4" t="str">
        <x:v>TT10_C05_PC_01</x:v>
      </x:c>
      <x:c r="B14" s="4" t="str">
        <x:v>Conjunto general y montaje</x:v>
      </x:c>
      <x:c r="C14" s="6" t="n">
        <x:v>11</x:v>
      </x:c>
      <x:c r="D14" s="4" t="str">
        <x:v>TT10_C03_HK4020_M1</x:v>
      </x:c>
      <x:c r="E14" s="6" t="n">
        <x:v>1</x:v>
      </x:c>
      <x:c r="F14" s="6" t="n">
        <x:v>1</x:v>
      </x:c>
      <x:c r="G14" s="4" t="str">
        <x:v>Compra</x:v>
      </x:c>
      <x:c r="H14" s="4" t="str">
        <x:v>SKF HK4020; 40x47x20; rodillos y jaula omitidos</x:v>
      </x:c>
      <x:c r="I14" s="4" t="str">
        <x:v>Conjunto comprado; acero/ fundición según OEM</x:v>
      </x:c>
      <x:c r="J14" s="4" t="str">
        <x:v>Cantidades por conjunto; no sumar como total de máquina.</x:v>
      </x:c>
    </x:row>
    <x:row r="15" ht="30" customHeight="1">
      <x:c r="A15" s="5" t="str">
        <x:v>TT10_C05_PC_01</x:v>
      </x:c>
      <x:c r="B15" s="5" t="str">
        <x:v>Conjunto general y montaje</x:v>
      </x:c>
      <x:c r="C15" s="7" t="n">
        <x:v>12</x:v>
      </x:c>
      <x:c r="D15" s="5" t="str">
        <x:v>TT10_C03_HK4020_M2</x:v>
      </x:c>
      <x:c r="E15" s="7" t="n">
        <x:v>1</x:v>
      </x:c>
      <x:c r="F15" s="7" t="n">
        <x:v>1</x:v>
      </x:c>
      <x:c r="G15" s="5" t="str">
        <x:v>Compra</x:v>
      </x:c>
      <x:c r="H15" s="5" t="str">
        <x:v>SKF HK4020; 40x47x20; rodillos y jaula omitidos</x:v>
      </x:c>
      <x:c r="I15" s="5" t="str">
        <x:v>Conjunto comprado; acero/ fundición según OEM</x:v>
      </x:c>
      <x:c r="J15" s="5" t="str">
        <x:v>Cantidades por conjunto; no sumar como total de máquina.</x:v>
      </x:c>
    </x:row>
    <x:row r="16" ht="30" customHeight="1">
      <x:c r="A16" s="4" t="str">
        <x:v>TT10_C05_PC_01</x:v>
      </x:c>
      <x:c r="B16" s="4" t="str">
        <x:v>Conjunto general y montaje</x:v>
      </x:c>
      <x:c r="C16" s="6" t="n">
        <x:v>13</x:v>
      </x:c>
      <x:c r="D16" s="4" t="str">
        <x:v>TT10_C03_REGISTRO_PUERTO_N</x:v>
      </x:c>
      <x:c r="E16" s="6" t="n">
        <x:v>1</x:v>
      </x:c>
      <x:c r="F16" s="6" t="n">
        <x:v>1</x:v>
      </x:c>
      <x:c r="G16" s="4" t="str">
        <x:v>Fabricación</x:v>
      </x:c>
      <x:c r="H16" s="4" t="str">
        <x:v>Registro exterior desmontable3 con accesoD50; fijaciones/proteccion de puesto por completar</x:v>
      </x:c>
      <x:c r="I16" s="4" t="str">
        <x:v>ASTM A36</x:v>
      </x:c>
      <x:c r="J16" s="4" t="str">
        <x:v>Cantidades por conjunto; no sumar como total de máquina.</x:v>
      </x:c>
    </x:row>
    <x:row r="17" ht="30" customHeight="1">
      <x:c r="A17" s="5" t="str">
        <x:v>TT10_C05_PC_01</x:v>
      </x:c>
      <x:c r="B17" s="5" t="str">
        <x:v>Conjunto general y montaje</x:v>
      </x:c>
      <x:c r="C17" s="7" t="n">
        <x:v>14</x:v>
      </x:c>
      <x:c r="D17" s="5" t="str">
        <x:v>TT10_C03_REGISTRO_PUERTO_P</x:v>
      </x:c>
      <x:c r="E17" s="7" t="n">
        <x:v>1</x:v>
      </x:c>
      <x:c r="F17" s="7" t="n">
        <x:v>1</x:v>
      </x:c>
      <x:c r="G17" s="5" t="str">
        <x:v>Fabricación</x:v>
      </x:c>
      <x:c r="H17" s="5" t="str">
        <x:v>Registro exterior desmontable3 con accesoD50; fijaciones/proteccion de puesto por completar</x:v>
      </x:c>
      <x:c r="I17" s="5" t="str">
        <x:v>ASTM A36</x:v>
      </x:c>
      <x:c r="J17" s="5" t="str">
        <x:v>Cantidades por conjunto; no sumar como total de máquina.</x:v>
      </x:c>
    </x:row>
    <x:row r="18" ht="30" customHeight="1">
      <x:c r="A18" s="4" t="str">
        <x:v>TT10_C05_PC_01</x:v>
      </x:c>
      <x:c r="B18" s="4" t="str">
        <x:v>Conjunto general y montaje</x:v>
      </x:c>
      <x:c r="C18" s="6" t="n">
        <x:v>15</x:v>
      </x:c>
      <x:c r="D18" s="4" t="str">
        <x:v>TT10_C03_SELECTOR_6008_1</x:v>
      </x:c>
      <x:c r="E18" s="6" t="n">
        <x:v>1</x:v>
      </x:c>
      <x:c r="F18" s="6" t="n">
        <x:v>1</x:v>
      </x:c>
      <x:c r="G18" s="4" t="str">
        <x:v>Compra</x:v>
      </x:c>
      <x:c r="H18" s="4" t="str">
        <x:v>SKF6008 40x68x15; contorno de interfaz</x:v>
      </x:c>
      <x:c r="I18" s="4" t="str">
        <x:v>Conjunto comprado; acero/ fundición según OEM</x:v>
      </x:c>
      <x:c r="J18" s="4" t="str">
        <x:v>Cantidades por conjunto; no sumar como total de máquina.</x:v>
      </x:c>
    </x:row>
    <x:row r="19" ht="30" customHeight="1">
      <x:c r="A19" s="5" t="str">
        <x:v>TT10_C05_PC_01</x:v>
      </x:c>
      <x:c r="B19" s="5" t="str">
        <x:v>Conjunto general y montaje</x:v>
      </x:c>
      <x:c r="C19" s="7" t="n">
        <x:v>16</x:v>
      </x:c>
      <x:c r="D19" s="5" t="str">
        <x:v>TT10_C03_SELECTOR_6008_2</x:v>
      </x:c>
      <x:c r="E19" s="7" t="n">
        <x:v>1</x:v>
      </x:c>
      <x:c r="F19" s="7" t="n">
        <x:v>1</x:v>
      </x:c>
      <x:c r="G19" s="5" t="str">
        <x:v>Compra</x:v>
      </x:c>
      <x:c r="H19" s="5" t="str">
        <x:v>SKF6008 40x68x15; contorno de interfaz</x:v>
      </x:c>
      <x:c r="I19" s="5" t="str">
        <x:v>Conjunto comprado; acero/ fundición según OEM</x:v>
      </x:c>
      <x:c r="J19" s="5" t="str">
        <x:v>Cantidades por conjunto; no sumar como total de máquina.</x:v>
      </x:c>
    </x:row>
    <x:row r="20" ht="30" customHeight="1">
      <x:c r="A20" s="4" t="str">
        <x:v>TT10_C05_PC_01</x:v>
      </x:c>
      <x:c r="B20" s="4" t="str">
        <x:v>Conjunto general y montaje</x:v>
      </x:c>
      <x:c r="C20" s="6" t="n">
        <x:v>17</x:v>
      </x:c>
      <x:c r="D20" s="4" t="str">
        <x:v>TT10_C03_SELECTOR_COLLAR_1</x:v>
      </x:c>
      <x:c r="E20" s="6" t="n">
        <x:v>1</x:v>
      </x:c>
      <x:c r="F20" s="6" t="n">
        <x:v>1</x:v>
      </x:c>
      <x:c r="G20" s="4" t="str">
        <x:v>Fabricación</x:v>
      </x:c>
      <x:c r="H20" s="4" t="str">
        <x:v>Collar de varilla para sujetar horquilla; fijacion radial y retencion por completar</x:v>
      </x:c>
      <x:c r="I20" s="4" t="str">
        <x:v>C45E / EN 10083-2</x:v>
      </x:c>
      <x:c r="J20" s="4" t="str">
        <x:v>Cantidades por conjunto; no sumar como total de máquina.</x:v>
      </x:c>
    </x:row>
    <x:row r="21" ht="30" customHeight="1">
      <x:c r="A21" s="5" t="str">
        <x:v>TT10_C05_PC_01</x:v>
      </x:c>
      <x:c r="B21" s="5" t="str">
        <x:v>Conjunto general y montaje</x:v>
      </x:c>
      <x:c r="C21" s="7" t="n">
        <x:v>18</x:v>
      </x:c>
      <x:c r="D21" s="5" t="str">
        <x:v>TT10_C03_SELECTOR_COLLAR_2</x:v>
      </x:c>
      <x:c r="E21" s="7" t="n">
        <x:v>1</x:v>
      </x:c>
      <x:c r="F21" s="7" t="n">
        <x:v>1</x:v>
      </x:c>
      <x:c r="G21" s="5" t="str">
        <x:v>Fabricación</x:v>
      </x:c>
      <x:c r="H21" s="5" t="str">
        <x:v>Collar de varilla para sujetar horquilla; fijacion radial y retencion por completar</x:v>
      </x:c>
      <x:c r="I21" s="5" t="str">
        <x:v>C45E / EN 10083-2</x:v>
      </x:c>
      <x:c r="J21" s="5" t="str">
        <x:v>Cantidades por conjunto; no sumar como total de máquina.</x:v>
      </x:c>
    </x:row>
    <x:row r="22" ht="30" customHeight="1">
      <x:c r="A22" s="4" t="str">
        <x:v>TT10_C05_PC_01</x:v>
      </x:c>
      <x:c r="B22" s="4" t="str">
        <x:v>Conjunto general y montaje</x:v>
      </x:c>
      <x:c r="C22" s="6" t="n">
        <x:v>19</x:v>
      </x:c>
      <x:c r="D22" s="4" t="str">
        <x:v>TT10_C03_SELECTOR_CUBIERTA</x:v>
      </x:c>
      <x:c r="E22" s="6" t="n">
        <x:v>1</x:v>
      </x:c>
      <x:c r="F22" s="6" t="n">
        <x:v>1</x:v>
      </x:c>
      <x:c r="G22" s="4" t="str">
        <x:v>Fabricación</x:v>
      </x:c>
      <x:c r="H22" s="4" t="str">
        <x:v>Cubierta desmontable3; ranura50x36 para recorrido completo; cierreM6 por detallar</x:v>
      </x:c>
      <x:c r="I22" s="4" t="str">
        <x:v>ASTM A36</x:v>
      </x:c>
      <x:c r="J22" s="4" t="str">
        <x:v>Cantidades por conjunto; no sumar como total de máquina.</x:v>
      </x:c>
    </x:row>
    <x:row r="23" ht="30" customHeight="1">
      <x:c r="A23" s="5" t="str">
        <x:v>TT10_C05_PC_01</x:v>
      </x:c>
      <x:c r="B23" s="5" t="str">
        <x:v>Conjunto general y montaje</x:v>
      </x:c>
      <x:c r="C23" s="7" t="n">
        <x:v>20</x:v>
      </x:c>
      <x:c r="D23" s="5" t="str">
        <x:v>TT10_C03_SELECTOR_ENCLAVAMIENTO</x:v>
      </x:c>
      <x:c r="E23" s="7" t="n">
        <x:v>1</x:v>
      </x:c>
      <x:c r="F23" s="7" t="n">
        <x:v>1</x:v>
      </x:c>
      <x:c r="G23" s="5" t="str">
        <x:v>Fabricación</x:v>
      </x:c>
      <x:c r="H23" s="5" t="str">
        <x:v>Pasador positivoD6; levantar16mm antes de seleccionar y reinsertar; retencion cautiva y mando remoto pendientes</x:v>
      </x:c>
      <x:c r="I23" s="5" t="str">
        <x:v>C45E / EN 10083-2</x:v>
      </x:c>
      <x:c r="J23" s="5" t="str">
        <x:v>Cantidades por conjunto; no sumar como total de máquina.</x:v>
      </x:c>
    </x:row>
    <x:row r="24" ht="30" customHeight="1">
      <x:c r="A24" s="4" t="str">
        <x:v>TT10_C05_PC_01</x:v>
      </x:c>
      <x:c r="B24" s="4" t="str">
        <x:v>Conjunto general y montaje</x:v>
      </x:c>
      <x:c r="C24" s="6" t="n">
        <x:v>21</x:v>
      </x:c>
      <x:c r="D24" s="4" t="str">
        <x:v>TT10_C03_SELECTOR_HORQUILLA</x:v>
      </x:c>
      <x:c r="E24" s="6" t="n">
        <x:v>1</x:v>
      </x:c>
      <x:c r="F24" s="6" t="n">
        <x:v>1</x:v>
      </x:c>
      <x:c r="G24" s="4" t="str">
        <x:v>Fabricación</x:v>
      </x:c>
      <x:c r="H24" s="4" t="str">
        <x:v>Horquilla10 en ranura12; 1 mm nominal por flanco; garras de seleccion con la maquina parada</x:v>
      </x:c>
      <x:c r="I24" s="4" t="str">
        <x:v>ASTM A36</x:v>
      </x:c>
      <x:c r="J24" s="4" t="str">
        <x:v>Cantidades por conjunto; no sumar como total de máquina.</x:v>
      </x:c>
    </x:row>
    <x:row r="25" ht="30" customHeight="1">
      <x:c r="A25" s="5" t="str">
        <x:v>TT10_C05_PC_01</x:v>
      </x:c>
      <x:c r="B25" s="5" t="str">
        <x:v>Conjunto general y montaje</x:v>
      </x:c>
      <x:c r="C25" s="7" t="n">
        <x:v>22</x:v>
      </x:c>
      <x:c r="D25" s="5" t="str">
        <x:v>TT10_C03_SELECTOR_MANGUITO</x:v>
      </x:c>
      <x:c r="E25" s="7" t="n">
        <x:v>1</x:v>
      </x:c>
      <x:c r="F25" s="7" t="n">
        <x:v>1</x:v>
      </x:c>
      <x:c r="G25" s="5" t="str">
        <x:v>Fabricación</x:v>
      </x:c>
      <x:c r="H25" s="5" t="str">
        <x:v>Manguito estriado: neutro X923..979; E+18/M-18; 6 alojamientos D12.2 PCD72 por cara</x:v>
      </x:c>
      <x:c r="I25" s="5" t="str">
        <x:v>AISI 4140 bonificado</x:v>
      </x:c>
      <x:c r="J25" s="5" t="str">
        <x:v>Cantidades por conjunto; no sumar como total de máquina.</x:v>
      </x:c>
    </x:row>
    <x:row r="26" ht="30" customHeight="1">
      <x:c r="A26" s="4" t="str">
        <x:v>TT10_C05_PC_01</x:v>
      </x:c>
      <x:c r="B26" s="4" t="str">
        <x:v>Conjunto general y montaje</x:v>
      </x:c>
      <x:c r="C26" s="6" t="n">
        <x:v>23</x:v>
      </x:c>
      <x:c r="D26" s="4" t="str">
        <x:v>TT10_C03_SELECTOR_PARED_E</x:v>
      </x:c>
      <x:c r="E26" s="6" t="n">
        <x:v>1</x:v>
      </x:c>
      <x:c r="F26" s="6" t="n">
        <x:v>1</x:v>
      </x:c>
      <x:c r="G26" s="4" t="str">
        <x:v>Fabricación</x:v>
      </x:c>
      <x:c r="H26" s="4" t="str">
        <x:v>Pared mecanizada8; roscasM6; tapa de retencion y asiento axial por cadena de cotas</x:v>
      </x:c>
      <x:c r="I26" s="4" t="str">
        <x:v>ASTM A36</x:v>
      </x:c>
      <x:c r="J26" s="4" t="str">
        <x:v>Cantidades por conjunto; no sumar como total de máquina.</x:v>
      </x:c>
    </x:row>
    <x:row r="27" ht="30" customHeight="1">
      <x:c r="A27" s="5" t="str">
        <x:v>TT10_C05_PC_01</x:v>
      </x:c>
      <x:c r="B27" s="5" t="str">
        <x:v>Conjunto general y montaje</x:v>
      </x:c>
      <x:c r="C27" s="7" t="n">
        <x:v>24</x:v>
      </x:c>
      <x:c r="D27" s="5" t="str">
        <x:v>TT10_C03_SELECTOR_PARED_M</x:v>
      </x:c>
      <x:c r="E27" s="7" t="n">
        <x:v>1</x:v>
      </x:c>
      <x:c r="F27" s="7" t="n">
        <x:v>1</x:v>
      </x:c>
      <x:c r="G27" s="5" t="str">
        <x:v>Fabricación</x:v>
      </x:c>
      <x:c r="H27" s="5" t="str">
        <x:v>Pared mecanizada8; roscasM6; tapa de retencion y asiento axial por cadena de cotas</x:v>
      </x:c>
      <x:c r="I27" s="5" t="str">
        <x:v>ASTM A36</x:v>
      </x:c>
      <x:c r="J27" s="5" t="str">
        <x:v>Cantidades por conjunto; no sumar como total de máquina.</x:v>
      </x:c>
    </x:row>
    <x:row r="28" ht="30" customHeight="1">
      <x:c r="A28" s="4" t="str">
        <x:v>TT10_C05_PC_01</x:v>
      </x:c>
      <x:c r="B28" s="4" t="str">
        <x:v>Conjunto general y montaje</x:v>
      </x:c>
      <x:c r="C28" s="6" t="n">
        <x:v>25</x:v>
      </x:c>
      <x:c r="D28" s="4" t="str">
        <x:v>TT10_C03_SELECTOR_VARILLA</x:v>
      </x:c>
      <x:c r="E28" s="6" t="n">
        <x:v>1</x:v>
      </x:c>
      <x:c r="F28" s="6" t="n">
        <x:v>1</x:v>
      </x:c>
      <x:c r="G28" s="4" t="str">
        <x:v>Fabricación</x:v>
      </x:c>
      <x:c r="H28" s="4" t="str">
        <x:v>Varilla selector D16; tres taladrosD6.5 con paso18; E-N-M por pasador positivo</x:v>
      </x:c>
      <x:c r="I28" s="4" t="str">
        <x:v>C45E / EN 10083-2</x:v>
      </x:c>
      <x:c r="J28" s="4" t="str">
        <x:v>Cantidades por conjunto; no sumar como total de máquina.</x:v>
      </x:c>
    </x:row>
    <x:row r="29" ht="30" customHeight="1">
      <x:c r="A29" s="5" t="str">
        <x:v>TT10_C05_PC_01</x:v>
      </x:c>
      <x:c r="B29" s="5" t="str">
        <x:v>Conjunto general y montaje</x:v>
      </x:c>
      <x:c r="C29" s="7" t="n">
        <x:v>26</x:v>
      </x:c>
      <x:c r="D29" s="5" t="str">
        <x:v>TT10_C03_TAPA_RETENCION_E</x:v>
      </x:c>
      <x:c r="E29" s="7" t="n">
        <x:v>1</x:v>
      </x:c>
      <x:c r="F29" s="7" t="n">
        <x:v>1</x:v>
      </x:c>
      <x:c r="G29" s="5" t="str">
        <x:v>Fabricación</x:v>
      </x:c>
      <x:c r="H29" s="5" t="str">
        <x:v>Tapa estacionaria: labio axial para cuboD100, pasoD92 libre al manguitoD90; junta axial0.2 por ajustar</x:v>
      </x:c>
      <x:c r="I29" s="5" t="str">
        <x:v>ASTM A36</x:v>
      </x:c>
      <x:c r="J29" s="5" t="str">
        <x:v>Cantidades por conjunto; no sumar como total de máquina.</x:v>
      </x:c>
    </x:row>
    <x:row r="30" ht="30" customHeight="1">
      <x:c r="A30" s="4" t="str">
        <x:v>TT10_C05_PC_01</x:v>
      </x:c>
      <x:c r="B30" s="4" t="str">
        <x:v>Conjunto general y montaje</x:v>
      </x:c>
      <x:c r="C30" s="6" t="n">
        <x:v>27</x:v>
      </x:c>
      <x:c r="D30" s="4" t="str">
        <x:v>TT10_C03_TAPA_RETENCION_M</x:v>
      </x:c>
      <x:c r="E30" s="6" t="n">
        <x:v>1</x:v>
      </x:c>
      <x:c r="F30" s="6" t="n">
        <x:v>1</x:v>
      </x:c>
      <x:c r="G30" s="4" t="str">
        <x:v>Fabricación</x:v>
      </x:c>
      <x:c r="H30" s="4" t="str">
        <x:v>Tapa estacionaria: labio axial para cuboD100, pasoD92 libre al manguitoD90; junta axial0.2 por ajustar</x:v>
      </x:c>
      <x:c r="I30" s="4" t="str">
        <x:v>ASTM A36</x:v>
      </x:c>
      <x:c r="J30" s="4" t="str">
        <x:v>Cantidades por conjunto; no sumar como total de máquina.</x:v>
      </x:c>
    </x:row>
    <x:row r="31" ht="30" customHeight="1">
      <x:c r="A31" s="5" t="str">
        <x:v>TT10_C05_PC_01</x:v>
      </x:c>
      <x:c r="B31" s="5" t="str">
        <x:v>Conjunto general y montaje</x:v>
      </x:c>
      <x:c r="C31" s="7" t="n">
        <x:v>28</x:v>
      </x:c>
      <x:c r="D31" s="5" t="str">
        <x:v>TT10_C04_ACOPLE_0</x:v>
      </x:c>
      <x:c r="E31" s="7" t="n">
        <x:v>1</x:v>
      </x:c>
      <x:c r="F31" s="7" t="n">
        <x:v>1</x:v>
      </x:c>
      <x:c r="G31" s="5" t="str">
        <x:v>Fabricación</x:v>
      </x:c>
      <x:c r="H31" s="5" t="str">
        <x:v>Brida110x8,PCD82/6M8; bore30H7; asiento25, desmontaje axial</x:v>
      </x:c>
      <x:c r="I31" s="5" t="str">
        <x:v>C45E / EN 10083-2</x:v>
      </x:c>
      <x:c r="J31" s="5" t="str">
        <x:v>Cantidades por conjunto; no sumar como total de máquina.</x:v>
      </x:c>
    </x:row>
    <x:row r="32" ht="30" customHeight="1">
      <x:c r="A32" s="4" t="str">
        <x:v>TT10_C05_PC_01</x:v>
      </x:c>
      <x:c r="B32" s="4" t="str">
        <x:v>Conjunto general y montaje</x:v>
      </x:c>
      <x:c r="C32" s="6" t="n">
        <x:v>29</x:v>
      </x:c>
      <x:c r="D32" s="4" t="str">
        <x:v>TT10_C04_ACOPLE_1</x:v>
      </x:c>
      <x:c r="E32" s="6" t="n">
        <x:v>1</x:v>
      </x:c>
      <x:c r="F32" s="6" t="n">
        <x:v>1</x:v>
      </x:c>
      <x:c r="G32" s="4" t="str">
        <x:v>Fabricación</x:v>
      </x:c>
      <x:c r="H32" s="4" t="str">
        <x:v>Brida110x8,PCD82/6M8; bore30H7; asiento30, desmontaje axial</x:v>
      </x:c>
      <x:c r="I32" s="4" t="str">
        <x:v>C45E / EN 10083-2</x:v>
      </x:c>
      <x:c r="J32" s="4" t="str">
        <x:v>Cantidades por conjunto; no sumar como total de máquina.</x:v>
      </x:c>
    </x:row>
    <x:row r="33" ht="30" customHeight="1">
      <x:c r="A33" s="5" t="str">
        <x:v>TT10_C05_PC_01</x:v>
      </x:c>
      <x:c r="B33" s="5" t="str">
        <x:v>Conjunto general y montaje</x:v>
      </x:c>
      <x:c r="C33" s="7" t="n">
        <x:v>30</x:v>
      </x:c>
      <x:c r="D33" s="5" t="str">
        <x:v>TT10_C04_ACOPLE_B8_0</x:v>
      </x:c>
      <x:c r="E33" s="7" t="n">
        <x:v>4</x:v>
      </x:c>
      <x:c r="F33" s="7" t="n">
        <x:v>4</x:v>
      </x:c>
      <x:c r="G33" s="5" t="str">
        <x:v>Compra</x:v>
      </x:c>
      <x:c r="H33" s="5" t="str">
        <x:v>M8x25,8.8; cabeza exterior; apriete por plano</x:v>
      </x:c>
      <x:c r="I33" s="5" t="str">
        <x:v>Clase 10.9 / ISO 898-1</x:v>
      </x:c>
      <x:c r="J33" s="5" t="str">
        <x:v>Cantidades por conjunto; no sumar como total de máquina.</x:v>
      </x:c>
    </x:row>
    <x:row r="34" ht="30" customHeight="1">
      <x:c r="A34" s="4" t="str">
        <x:v>TT10_C05_PC_01</x:v>
      </x:c>
      <x:c r="B34" s="4" t="str">
        <x:v>Conjunto general y montaje</x:v>
      </x:c>
      <x:c r="C34" s="6" t="n">
        <x:v>31</x:v>
      </x:c>
      <x:c r="D34" s="4" t="str">
        <x:v>TT10_C04_ACOPLE_B8_4</x:v>
      </x:c>
      <x:c r="E34" s="6" t="n">
        <x:v>2</x:v>
      </x:c>
      <x:c r="F34" s="6" t="n">
        <x:v>2</x:v>
      </x:c>
      <x:c r="G34" s="4" t="str">
        <x:v>Compra</x:v>
      </x:c>
      <x:c r="H34" s="4" t="str">
        <x:v>M8x25,8.8; cabeza exterior; apriete por plano</x:v>
      </x:c>
      <x:c r="I34" s="4" t="str">
        <x:v>Clase 10.9 / ISO 898-1</x:v>
      </x:c>
      <x:c r="J34" s="4" t="str">
        <x:v>Cantidades por conjunto; no sumar como total de máquina.</x:v>
      </x:c>
    </x:row>
    <x:row r="35" ht="30" customHeight="1">
      <x:c r="A35" s="5" t="str">
        <x:v>TT10_C05_PC_01</x:v>
      </x:c>
      <x:c r="B35" s="5" t="str">
        <x:v>Conjunto general y montaje</x:v>
      </x:c>
      <x:c r="C35" s="7" t="n">
        <x:v>32</x:v>
      </x:c>
      <x:c r="D35" s="5" t="str">
        <x:v>TT10_C04_ACOPLE_N8_0</x:v>
      </x:c>
      <x:c r="E35" s="7" t="n">
        <x:v>4</x:v>
      </x:c>
      <x:c r="F35" s="7" t="n">
        <x:v>4</x:v>
      </x:c>
      <x:c r="G35" s="5" t="str">
        <x:v>Compra</x:v>
      </x:c>
      <x:c r="H35" s="5" t="str">
        <x:v>TuercaM8 clase8, autoblocante nominal</x:v>
      </x:c>
      <x:c r="I35" s="5" t="str">
        <x:v>Tuerca clase 10 / ISO 898-2</x:v>
      </x:c>
      <x:c r="J35" s="5" t="str">
        <x:v>Cantidades por conjunto; no sumar como total de máquina.</x:v>
      </x:c>
    </x:row>
    <x:row r="36" ht="30" customHeight="1">
      <x:c r="A36" s="4" t="str">
        <x:v>TT10_C05_PC_01</x:v>
      </x:c>
      <x:c r="B36" s="4" t="str">
        <x:v>Conjunto general y montaje</x:v>
      </x:c>
      <x:c r="C36" s="6" t="n">
        <x:v>33</x:v>
      </x:c>
      <x:c r="D36" s="4" t="str">
        <x:v>TT10_C04_ACOPLE_N8_2</x:v>
      </x:c>
      <x:c r="E36" s="6" t="n">
        <x:v>2</x:v>
      </x:c>
      <x:c r="F36" s="6" t="n">
        <x:v>2</x:v>
      </x:c>
      <x:c r="G36" s="4" t="str">
        <x:v>Compra</x:v>
      </x:c>
      <x:c r="H36" s="4" t="str">
        <x:v>TuercaM8 clase8, autoblocante nominal</x:v>
      </x:c>
      <x:c r="I36" s="4" t="str">
        <x:v>Tuerca clase 10 / ISO 898-2</x:v>
      </x:c>
      <x:c r="J36" s="4" t="str">
        <x:v>Cantidades por conjunto; no sumar como total de máquina.</x:v>
      </x:c>
    </x:row>
    <x:row r="37" ht="30" customHeight="1">
      <x:c r="A37" s="5" t="str">
        <x:v>TT10_C05_PC_01</x:v>
      </x:c>
      <x:c r="B37" s="5" t="str">
        <x:v>Conjunto general y montaje</x:v>
      </x:c>
      <x:c r="C37" s="7" t="n">
        <x:v>34</x:v>
      </x:c>
      <x:c r="D37" s="5" t="str">
        <x:v>TT10_C04_ASIENTO_CHUMACERAS</x:v>
      </x:c>
      <x:c r="E37" s="7" t="n">
        <x:v>1</x:v>
      </x:c>
      <x:c r="F37" s="7" t="n">
        <x:v>1</x:v>
      </x:c>
      <x:c r="G37" s="5" t="str">
        <x:v>Compra</x:v>
      </x:c>
      <x:c r="H37" s="5" t="str">
        <x:v>Bloque90x180x52.1; cara superior mecanizada y4M12 ciegas28</x:v>
      </x:c>
      <x:c r="I37" s="5" t="str">
        <x:v>Conjunto comprado; acero/ fundición según OEM</x:v>
      </x:c>
      <x:c r="J37" s="5" t="str">
        <x:v>Cantidades por conjunto; no sumar como total de máquina.</x:v>
      </x:c>
    </x:row>
    <x:row r="38" ht="30" customHeight="1">
      <x:c r="A38" s="4" t="str">
        <x:v>TT10_C05_PC_01</x:v>
      </x:c>
      <x:c r="B38" s="4" t="str">
        <x:v>Conjunto general y montaje</x:v>
      </x:c>
      <x:c r="C38" s="6" t="n">
        <x:v>35</x:v>
      </x:c>
      <x:c r="D38" s="4" t="str">
        <x:v>TT10_C04_B6008_M6_1_0</x:v>
      </x:c>
      <x:c r="E38" s="6" t="n">
        <x:v>2</x:v>
      </x:c>
      <x:c r="F38" s="6" t="n">
        <x:v>2</x:v>
      </x:c>
      <x:c r="G38" s="4" t="str">
        <x:v>Compra</x:v>
      </x:c>
      <x:c r="H38" s="4" t="str">
        <x:v>M6x20 ISO7380-1,10.9; contorno nominal</x:v>
      </x:c>
      <x:c r="I38" s="4" t="str">
        <x:v>Clase 10.9 / ISO 898-1</x:v>
      </x:c>
      <x:c r="J38" s="4" t="str">
        <x:v>Cantidades por conjunto; no sumar como total de máquina.</x:v>
      </x:c>
    </x:row>
    <x:row r="39" ht="30" customHeight="1">
      <x:c r="A39" s="5" t="str">
        <x:v>TT10_C05_PC_01</x:v>
      </x:c>
      <x:c r="B39" s="5" t="str">
        <x:v>Conjunto general y montaje</x:v>
      </x:c>
      <x:c r="C39" s="7" t="n">
        <x:v>36</x:v>
      </x:c>
      <x:c r="D39" s="5" t="str">
        <x:v>TT10_C04_B6008_M6_1_2</x:v>
      </x:c>
      <x:c r="E39" s="7" t="n">
        <x:v>1</x:v>
      </x:c>
      <x:c r="F39" s="7" t="n">
        <x:v>1</x:v>
      </x:c>
      <x:c r="G39" s="5" t="str">
        <x:v>Compra</x:v>
      </x:c>
      <x:c r="H39" s="5" t="str">
        <x:v>M6x20 ISO7380-1,10.9; contorno nominal</x:v>
      </x:c>
      <x:c r="I39" s="5" t="str">
        <x:v>Clase 10.9 / ISO 898-1</x:v>
      </x:c>
      <x:c r="J39" s="5" t="str">
        <x:v>Cantidades por conjunto; no sumar como total de máquina.</x:v>
      </x:c>
    </x:row>
    <x:row r="40" ht="30" customHeight="1">
      <x:c r="A40" s="4" t="str">
        <x:v>TT10_C05_PC_01</x:v>
      </x:c>
      <x:c r="B40" s="4" t="str">
        <x:v>Conjunto general y montaje</x:v>
      </x:c>
      <x:c r="C40" s="6" t="n">
        <x:v>37</x:v>
      </x:c>
      <x:c r="D40" s="4" t="str">
        <x:v>TT10_C04_B6008_M6_1_3</x:v>
      </x:c>
      <x:c r="E40" s="6" t="n">
        <x:v>1</x:v>
      </x:c>
      <x:c r="F40" s="6" t="n">
        <x:v>1</x:v>
      </x:c>
      <x:c r="G40" s="4" t="str">
        <x:v>Compra</x:v>
      </x:c>
      <x:c r="H40" s="4" t="str">
        <x:v>M6x20 ISO7380-1,10.9; contorno nominal</x:v>
      </x:c>
      <x:c r="I40" s="4" t="str">
        <x:v>Clase 10.9 / ISO 898-1</x:v>
      </x:c>
      <x:c r="J40" s="4" t="str">
        <x:v>Cantidades por conjunto; no sumar como total de máquina.</x:v>
      </x:c>
    </x:row>
    <x:row r="41" ht="30" customHeight="1">
      <x:c r="A41" s="5" t="str">
        <x:v>TT10_C05_PC_01</x:v>
      </x:c>
      <x:c r="B41" s="5" t="str">
        <x:v>Conjunto general y montaje</x:v>
      </x:c>
      <x:c r="C41" s="7" t="n">
        <x:v>38</x:v>
      </x:c>
      <x:c r="D41" s="5" t="str">
        <x:v>TT10_C04_B6008_M6_2_0</x:v>
      </x:c>
      <x:c r="E41" s="7" t="n">
        <x:v>2</x:v>
      </x:c>
      <x:c r="F41" s="7" t="n">
        <x:v>2</x:v>
      </x:c>
      <x:c r="G41" s="5" t="str">
        <x:v>Compra</x:v>
      </x:c>
      <x:c r="H41" s="5" t="str">
        <x:v>M6x20 ISO7380-1,10.9; contorno nominal</x:v>
      </x:c>
      <x:c r="I41" s="5" t="str">
        <x:v>Clase 10.9 / ISO 898-1</x:v>
      </x:c>
      <x:c r="J41" s="5" t="str">
        <x:v>Cantidades por conjunto; no sumar como total de máquina.</x:v>
      </x:c>
    </x:row>
    <x:row r="42" ht="30" customHeight="1">
      <x:c r="A42" s="4" t="str">
        <x:v>TT10_C05_PC_01</x:v>
      </x:c>
      <x:c r="B42" s="4" t="str">
        <x:v>Conjunto general y montaje</x:v>
      </x:c>
      <x:c r="C42" s="6" t="n">
        <x:v>39</x:v>
      </x:c>
      <x:c r="D42" s="4" t="str">
        <x:v>TT10_C04_B6008_M6_2_1</x:v>
      </x:c>
      <x:c r="E42" s="6" t="n">
        <x:v>2</x:v>
      </x:c>
      <x:c r="F42" s="6" t="n">
        <x:v>2</x:v>
      </x:c>
      <x:c r="G42" s="4" t="str">
        <x:v>Compra</x:v>
      </x:c>
      <x:c r="H42" s="4" t="str">
        <x:v>M6x20 ISO7380-1,10.9; contorno nominal</x:v>
      </x:c>
      <x:c r="I42" s="4" t="str">
        <x:v>Clase 10.9 / ISO 898-1</x:v>
      </x:c>
      <x:c r="J42" s="4" t="str">
        <x:v>Cantidades por conjunto; no sumar como total de máquina.</x:v>
      </x:c>
    </x:row>
    <x:row r="43" ht="30" customHeight="1">
      <x:c r="A43" s="5" t="str">
        <x:v>TT10_C05_PC_01</x:v>
      </x:c>
      <x:c r="B43" s="5" t="str">
        <x:v>Conjunto general y montaje</x:v>
      </x:c>
      <x:c r="C43" s="7" t="n">
        <x:v>40</x:v>
      </x:c>
      <x:c r="D43" s="5" t="str">
        <x:v>TT10_C04_BANCADA</x:v>
      </x:c>
      <x:c r="E43" s="7" t="n">
        <x:v>1</x:v>
      </x:c>
      <x:c r="F43" s="7" t="n">
        <x:v>1</x:v>
      </x:c>
      <x:c r="G43" s="5" t="str">
        <x:v>Fabricación</x:v>
      </x:c>
      <x:c r="H43" s="5" t="str">
        <x:v>Bancada215x200x20, sobre poste corto; soldaduraa3</x:v>
      </x:c>
      <x:c r="I43" s="5" t="str">
        <x:v>ASTM A36</x:v>
      </x:c>
      <x:c r="J43" s="5" t="str">
        <x:v>Cantidades por conjunto; no sumar como total de máquina.</x:v>
      </x:c>
    </x:row>
    <x:row r="44" ht="30" customHeight="1">
      <x:c r="A44" s="4" t="str">
        <x:v>TT10_C05_PC_01</x:v>
      </x:c>
      <x:c r="B44" s="4" t="str">
        <x:v>Conjunto general y montaje</x:v>
      </x:c>
      <x:c r="C44" s="6" t="n">
        <x:v>41</x:v>
      </x:c>
      <x:c r="D44" s="4" t="str">
        <x:v>TT10_C04_CARTELA_0</x:v>
      </x:c>
      <x:c r="E44" s="6" t="n">
        <x:v>1</x:v>
      </x:c>
      <x:c r="F44" s="6" t="n">
        <x:v>1</x:v>
      </x:c>
      <x:c r="G44" s="4" t="str">
        <x:v>Fabricación</x:v>
      </x:c>
      <x:c r="H44" s="4" t="str">
        <x:v>Cartela12,165x55, a3 continuo a placa y poste</x:v>
      </x:c>
      <x:c r="I44" s="4" t="str">
        <x:v>ASTM A36</x:v>
      </x:c>
      <x:c r="J44" s="4" t="str">
        <x:v>Cantidades por conjunto; no sumar como total de máquina.</x:v>
      </x:c>
    </x:row>
    <x:row r="45" ht="30" customHeight="1">
      <x:c r="A45" s="5" t="str">
        <x:v>TT10_C05_PC_01</x:v>
      </x:c>
      <x:c r="B45" s="5" t="str">
        <x:v>Conjunto general y montaje</x:v>
      </x:c>
      <x:c r="C45" s="7" t="n">
        <x:v>42</x:v>
      </x:c>
      <x:c r="D45" s="5" t="str">
        <x:v>TT10_C04_CARTELA_1</x:v>
      </x:c>
      <x:c r="E45" s="7" t="n">
        <x:v>1</x:v>
      </x:c>
      <x:c r="F45" s="7" t="n">
        <x:v>1</x:v>
      </x:c>
      <x:c r="G45" s="5" t="str">
        <x:v>Fabricación</x:v>
      </x:c>
      <x:c r="H45" s="5" t="str">
        <x:v>Cartela12,165x55, a3 continuo a placa y poste</x:v>
      </x:c>
      <x:c r="I45" s="5" t="str">
        <x:v>ASTM A36</x:v>
      </x:c>
      <x:c r="J45" s="5" t="str">
        <x:v>Cantidades por conjunto; no sumar como total de máquina.</x:v>
      </x:c>
    </x:row>
    <x:row r="46" ht="30" customHeight="1">
      <x:c r="A46" s="4" t="str">
        <x:v>TT10_C05_PC_01</x:v>
      </x:c>
      <x:c r="B46" s="4" t="str">
        <x:v>Conjunto general y montaje</x:v>
      </x:c>
      <x:c r="C46" s="6" t="n">
        <x:v>43</x:v>
      </x:c>
      <x:c r="D46" s="4" t="str">
        <x:v>TT10_C04_CHAVETA_ACOPLE_0</x:v>
      </x:c>
      <x:c r="E46" s="6" t="n">
        <x:v>1</x:v>
      </x:c>
      <x:c r="F46" s="6" t="n">
        <x:v>1</x:v>
      </x:c>
      <x:c r="G46" s="4" t="str">
        <x:v>Compra</x:v>
      </x:c>
      <x:c r="H46" s="4" t="str">
        <x:v>Chaveta8x7x25</x:v>
      </x:c>
      <x:c r="I46" s="4" t="str">
        <x:v>AISI 4140 bonificado</x:v>
      </x:c>
      <x:c r="J46" s="4" t="str">
        <x:v>Cantidades por conjunto; no sumar como total de máquina.</x:v>
      </x:c>
    </x:row>
    <x:row r="47" ht="30" customHeight="1">
      <x:c r="A47" s="5" t="str">
        <x:v>TT10_C05_PC_01</x:v>
      </x:c>
      <x:c r="B47" s="5" t="str">
        <x:v>Conjunto general y montaje</x:v>
      </x:c>
      <x:c r="C47" s="7" t="n">
        <x:v>44</x:v>
      </x:c>
      <x:c r="D47" s="5" t="str">
        <x:v>TT10_C04_CHAVETA_ACOPLE_1</x:v>
      </x:c>
      <x:c r="E47" s="7" t="n">
        <x:v>1</x:v>
      </x:c>
      <x:c r="F47" s="7" t="n">
        <x:v>1</x:v>
      </x:c>
      <x:c r="G47" s="5" t="str">
        <x:v>Compra</x:v>
      </x:c>
      <x:c r="H47" s="5" t="str">
        <x:v>Chaveta8x7x30</x:v>
      </x:c>
      <x:c r="I47" s="5" t="str">
        <x:v>AISI 4140 bonificado</x:v>
      </x:c>
      <x:c r="J47" s="5" t="str">
        <x:v>Cantidades por conjunto; no sumar como total de máquina.</x:v>
      </x:c>
    </x:row>
    <x:row r="48" ht="30" customHeight="1">
      <x:c r="A48" s="4" t="str">
        <x:v>TT10_C05_PC_01</x:v>
      </x:c>
      <x:c r="B48" s="4" t="str">
        <x:v>Conjunto general y montaje</x:v>
      </x:c>
      <x:c r="C48" s="6" t="n">
        <x:v>45</x:v>
      </x:c>
      <x:c r="D48" s="4" t="str">
        <x:v>TT10_C04_CHAVETA_CORONA</x:v>
      </x:c>
      <x:c r="E48" s="6" t="n">
        <x:v>1</x:v>
      </x:c>
      <x:c r="F48" s="6" t="n">
        <x:v>1</x:v>
      </x:c>
      <x:c r="G48" s="4" t="str">
        <x:v>Compra</x:v>
      </x:c>
      <x:c r="H48" s="4" t="str">
        <x:v>Chaveta8x7x40 de corona</x:v>
      </x:c>
      <x:c r="I48" s="4" t="str">
        <x:v>AISI 4140 bonificado</x:v>
      </x:c>
      <x:c r="J48" s="4" t="str">
        <x:v>Cantidades por conjunto; no sumar como total de máquina.</x:v>
      </x:c>
    </x:row>
    <x:row r="49" ht="30" customHeight="1">
      <x:c r="A49" s="5" t="str">
        <x:v>TT10_C05_PC_01</x:v>
      </x:c>
      <x:c r="B49" s="5" t="str">
        <x:v>Conjunto general y montaje</x:v>
      </x:c>
      <x:c r="C49" s="7" t="n">
        <x:v>46</x:v>
      </x:c>
      <x:c r="D49" s="5" t="str">
        <x:v>TT10_C04_CHAVETA_MOTOR</x:v>
      </x:c>
      <x:c r="E49" s="7" t="n">
        <x:v>1</x:v>
      </x:c>
      <x:c r="F49" s="7" t="n">
        <x:v>1</x:v>
      </x:c>
      <x:c r="G49" s="5" t="str">
        <x:v>Compra</x:v>
      </x:c>
      <x:c r="H49" s="5" t="str">
        <x:v>Chaveta12x8x35, extremos planos; interfaz propia, no ejeOEM aprobado</x:v>
      </x:c>
      <x:c r="I49" s="5" t="str">
        <x:v>Equipo comprado; materiales y masa según ficha OEM</x:v>
      </x:c>
      <x:c r="J49" s="5" t="str">
        <x:v>Cantidades por conjunto; no sumar como total de máquina.</x:v>
      </x:c>
    </x:row>
    <x:row r="50" ht="30" customHeight="1">
      <x:c r="A50" s="4" t="str">
        <x:v>TT10_C05_PC_01</x:v>
      </x:c>
      <x:c r="B50" s="4" t="str">
        <x:v>Conjunto general y montaje</x:v>
      </x:c>
      <x:c r="C50" s="6" t="n">
        <x:v>47</x:v>
      </x:c>
      <x:c r="D50" s="4" t="str">
        <x:v>TT10_C04_CORONA_20D</x:v>
      </x:c>
      <x:c r="E50" s="6" t="n">
        <x:v>1</x:v>
      </x:c>
      <x:c r="F50" s="6" t="n">
        <x:v>1</x:v>
      </x:c>
      <x:c r="G50" s="4" t="str">
        <x:v>Compra</x:v>
      </x:c>
      <x:c r="H50" s="4" t="str">
        <x:v>Corona10888120; bore30H7 y chavetero8JS9 abierto al bore en todo su ancho; dentado comprado simplificado</x:v>
      </x:c>
      <x:c r="I50" s="4" t="str">
        <x:v>C45E</x:v>
      </x:c>
      <x:c r="J50" s="4" t="str">
        <x:v>Cantidades por conjunto; no sumar como total de máquina.</x:v>
      </x:c>
    </x:row>
    <x:row r="51" ht="30" customHeight="1">
      <x:c r="A51" s="5" t="str">
        <x:v>TT10_C05_PC_01</x:v>
      </x:c>
      <x:c r="B51" s="5" t="str">
        <x:v>Conjunto general y montaje</x:v>
      </x:c>
      <x:c r="C51" s="7" t="n">
        <x:v>48</x:v>
      </x:c>
      <x:c r="D51" s="5" t="str">
        <x:v>TT10_C04_DIN471_40</x:v>
      </x:c>
      <x:c r="E51" s="7" t="n">
        <x:v>1</x:v>
      </x:c>
      <x:c r="F51" s="7" t="n">
        <x:v>1</x:v>
      </x:c>
      <x:c r="G51" s="5" t="str">
        <x:v>Compra</x:v>
      </x:c>
      <x:c r="H51" s="5" t="str">
        <x:v>ComprarDIN471-40,1.75; contorno instalado simplificado, no fabricar</x:v>
      </x:c>
      <x:c r="I51" s="5" t="str">
        <x:v>Acero resorte DIN471</x:v>
      </x:c>
      <x:c r="J51" s="5" t="str">
        <x:v>Cantidades por conjunto; no sumar como total de máquina.</x:v>
      </x:c>
    </x:row>
    <x:row r="52" ht="30" customHeight="1">
      <x:c r="A52" s="4" t="str">
        <x:v>TT10_C05_PC_01</x:v>
      </x:c>
      <x:c r="B52" s="4" t="str">
        <x:v>Conjunto general y montaje</x:v>
      </x:c>
      <x:c r="C52" s="6" t="n">
        <x:v>49</x:v>
      </x:c>
      <x:c r="D52" s="4" t="str">
        <x:v>TT10_C04_EJE_MANUAL</x:v>
      </x:c>
      <x:c r="E52" s="6" t="n">
        <x:v>1</x:v>
      </x:c>
      <x:c r="F52" s="6" t="n">
        <x:v>1</x:v>
      </x:c>
      <x:c r="G52" s="4" t="str">
        <x:v>Fabricación</x:v>
      </x:c>
      <x:c r="H52" s="4" t="str">
        <x:v>EjeD30h7,L184; chaveteros8x7, t1=4, extremos planos</x:v>
      </x:c>
      <x:c r="I52" s="4" t="str">
        <x:v>AISI 4140 bonificado</x:v>
      </x:c>
      <x:c r="J52" s="4" t="str">
        <x:v>Cantidades por conjunto; no sumar como total de máquina.</x:v>
      </x:c>
    </x:row>
    <x:row r="53" ht="30" customHeight="1">
      <x:c r="A53" s="5" t="str">
        <x:v>TT10_C05_PC_01</x:v>
      </x:c>
      <x:c r="B53" s="5" t="str">
        <x:v>Conjunto general y montaje</x:v>
      </x:c>
      <x:c r="C53" s="7" t="n">
        <x:v>50</x:v>
      </x:c>
      <x:c r="D53" s="5" t="str">
        <x:v>TT10_C04_EJE_TIMON</x:v>
      </x:c>
      <x:c r="E53" s="7" t="n">
        <x:v>1</x:v>
      </x:c>
      <x:c r="F53" s="7" t="n">
        <x:v>1</x:v>
      </x:c>
      <x:c r="G53" s="5" t="str">
        <x:v>Fabricación</x:v>
      </x:c>
      <x:c r="H53" s="5" t="str">
        <x:v>Eje heredado con extremoX1026 y chavetero adicional8x7x30; Mayr conservado</x:v>
      </x:c>
      <x:c r="I53" s="5" t="str">
        <x:v>AISI 4140 bonificado</x:v>
      </x:c>
      <x:c r="J53" s="5" t="str">
        <x:v>Cantidades por conjunto; no sumar como total de máquina.</x:v>
      </x:c>
    </x:row>
    <x:row r="54" ht="30" customHeight="1">
      <x:c r="A54" s="4" t="str">
        <x:v>TT10_C05_PC_01</x:v>
      </x:c>
      <x:c r="B54" s="4" t="str">
        <x:v>Conjunto general y montaje</x:v>
      </x:c>
      <x:c r="C54" s="6" t="n">
        <x:v>51</x:v>
      </x:c>
      <x:c r="D54" s="4" t="str">
        <x:v>TT10_C04_ENTRADA_MOTOR</x:v>
      </x:c>
      <x:c r="E54" s="6" t="n">
        <x:v>1</x:v>
      </x:c>
      <x:c r="F54" s="6" t="n">
        <x:v>1</x:v>
      </x:c>
      <x:c r="G54" s="4" t="str">
        <x:v>Compra</x:v>
      </x:c>
      <x:c r="H54" s="4" t="str">
        <x:v>Interfaz nominal de entradaD40, separacion2mm del ejecomun; motor comercial aun nominal</x:v>
      </x:c>
      <x:c r="I54" s="4" t="str">
        <x:v>Equipo comprado; materiales y masa según ficha OEM</x:v>
      </x:c>
      <x:c r="J54" s="4" t="str">
        <x:v>Cantidades por conjunto; no sumar como total de máquina.</x:v>
      </x:c>
    </x:row>
    <x:row r="55" ht="30" customHeight="1">
      <x:c r="A55" s="5" t="str">
        <x:v>TT10_C05_PC_01</x:v>
      </x:c>
      <x:c r="B55" s="5" t="str">
        <x:v>Conjunto general y montaje</x:v>
      </x:c>
      <x:c r="C55" s="7" t="n">
        <x:v>52</x:v>
      </x:c>
      <x:c r="D55" s="5" t="str">
        <x:v>TT10_C04_ESPACIADOR6008</x:v>
      </x:c>
      <x:c r="E55" s="7" t="n">
        <x:v>1</x:v>
      </x:c>
      <x:c r="F55" s="7" t="n">
        <x:v>1</x:v>
      </x:c>
      <x:c r="G55" s="5" t="str">
        <x:v>Compra</x:v>
      </x:c>
      <x:c r="H55" s="5" t="str">
        <x:v>Separador7 entre tapa izquierda y anillo exterior6008</x:v>
      </x:c>
      <x:c r="I55" s="5" t="str">
        <x:v>Conjunto comprado; acero/ fundición según OEM</x:v>
      </x:c>
      <x:c r="J55" s="5" t="str">
        <x:v>Cantidades por conjunto; no sumar como total de máquina.</x:v>
      </x:c>
    </x:row>
    <x:row r="56" ht="30" customHeight="1">
      <x:c r="A56" s="4" t="str">
        <x:v>TT10_C05_PC_01</x:v>
      </x:c>
      <x:c r="B56" s="4" t="str">
        <x:v>Conjunto general y montaje</x:v>
      </x:c>
      <x:c r="C56" s="6" t="n">
        <x:v>53</x:v>
      </x:c>
      <x:c r="D56" s="4" t="str">
        <x:v>TT10_C04_GUARDA_ANCLA6_4470</x:v>
      </x:c>
      <x:c r="E56" s="6" t="n">
        <x:v>1</x:v>
      </x:c>
      <x:c r="F56" s="6" t="n">
        <x:v>1</x:v>
      </x:c>
      <x:c r="G56" s="4" t="str">
        <x:v>Compra</x:v>
      </x:c>
      <x:c r="H56" s="4" t="str">
        <x:v>M6x16,8.8 a bancada; no anclaje a losa</x:v>
      </x:c>
      <x:c r="I56" s="4" t="str">
        <x:v>Tornilleria8.8</x:v>
      </x:c>
      <x:c r="J56" s="4" t="str">
        <x:v>Cantidades por conjunto; no sumar como total de máquina.</x:v>
      </x:c>
    </x:row>
    <x:row r="57" ht="30" customHeight="1">
      <x:c r="A57" s="5" t="str">
        <x:v>TT10_C05_PC_01</x:v>
      </x:c>
      <x:c r="B57" s="5" t="str">
        <x:v>Conjunto general y montaje</x:v>
      </x:c>
      <x:c r="C57" s="7" t="n">
        <x:v>54</x:v>
      </x:c>
      <x:c r="D57" s="5" t="str">
        <x:v>TT10_C04_GUARDA_ANCLA6_4630</x:v>
      </x:c>
      <x:c r="E57" s="7" t="n">
        <x:v>1</x:v>
      </x:c>
      <x:c r="F57" s="7" t="n">
        <x:v>1</x:v>
      </x:c>
      <x:c r="G57" s="5" t="str">
        <x:v>Compra</x:v>
      </x:c>
      <x:c r="H57" s="5" t="str">
        <x:v>M6x16,8.8 a bancada; no anclaje a losa</x:v>
      </x:c>
      <x:c r="I57" s="5" t="str">
        <x:v>Tornilleria8.8</x:v>
      </x:c>
      <x:c r="J57" s="5" t="str">
        <x:v>Cantidades por conjunto; no sumar como total de máquina.</x:v>
      </x:c>
    </x:row>
    <x:row r="58" ht="30" customHeight="1">
      <x:c r="A58" s="4" t="str">
        <x:v>TT10_C05_PC_01</x:v>
      </x:c>
      <x:c r="B58" s="4" t="str">
        <x:v>Conjunto general y montaje</x:v>
      </x:c>
      <x:c r="C58" s="6" t="n">
        <x:v>55</x:v>
      </x:c>
      <x:c r="D58" s="4" t="str">
        <x:v>TT10_C04_GUARDA_B6_0</x:v>
      </x:c>
      <x:c r="E58" s="6" t="n">
        <x:v>4</x:v>
      </x:c>
      <x:c r="F58" s="6" t="n">
        <x:v>4</x:v>
      </x:c>
      <x:c r="G58" s="4" t="str">
        <x:v>Compra</x:v>
      </x:c>
      <x:c r="H58" s="4" t="str">
        <x:v>M6x50,8.8 para tapa frontal</x:v>
      </x:c>
      <x:c r="I58" s="4" t="str">
        <x:v>Clase 8.8 / ISO 898-1</x:v>
      </x:c>
      <x:c r="J58" s="4" t="str">
        <x:v>Cantidades por conjunto; no sumar como total de máquina.</x:v>
      </x:c>
    </x:row>
    <x:row r="59" ht="30" customHeight="1">
      <x:c r="A59" s="5" t="str">
        <x:v>TT10_C05_PC_01</x:v>
      </x:c>
      <x:c r="B59" s="5" t="str">
        <x:v>Conjunto general y montaje</x:v>
      </x:c>
      <x:c r="C59" s="7" t="n">
        <x:v>56</x:v>
      </x:c>
      <x:c r="D59" s="5" t="str">
        <x:v>TT10_C04_GUARDA_BANDA</x:v>
      </x:c>
      <x:c r="E59" s="7" t="n">
        <x:v>1</x:v>
      </x:c>
      <x:c r="F59" s="7" t="n">
        <x:v>1</x:v>
      </x:c>
      <x:c r="G59" s="5" t="str">
        <x:v>Fabricación</x:v>
      </x:c>
      <x:c r="H59" s="5" t="str">
        <x:v>Banda2, ancho36; tapa inferior; soldar a posterior, frontal desmontable</x:v>
      </x:c>
      <x:c r="I59" s="5" t="str">
        <x:v>ASTM A36</x:v>
      </x:c>
      <x:c r="J59" s="5" t="str">
        <x:v>Cantidades por conjunto; no sumar como total de máquina.</x:v>
      </x:c>
    </x:row>
    <x:row r="60" ht="30" customHeight="1">
      <x:c r="A60" s="4" t="str">
        <x:v>TT10_C05_PC_01</x:v>
      </x:c>
      <x:c r="B60" s="4" t="str">
        <x:v>Conjunto general y montaje</x:v>
      </x:c>
      <x:c r="C60" s="6" t="n">
        <x:v>57</x:v>
      </x:c>
      <x:c r="D60" s="4" t="str">
        <x:v>TT10_C04_GUARDA_BASEW6_4470</x:v>
      </x:c>
      <x:c r="E60" s="6" t="n">
        <x:v>1</x:v>
      </x:c>
      <x:c r="F60" s="6" t="n">
        <x:v>1</x:v>
      </x:c>
      <x:c r="G60" s="4" t="str">
        <x:v>Compra</x:v>
      </x:c>
      <x:c r="H60" s="4" t="str">
        <x:v>Arandela6,12x6.6x2</x:v>
      </x:c>
      <x:c r="I60" s="4" t="str">
        <x:v>Arandela endurecida 300 HV / ISO 7089</x:v>
      </x:c>
      <x:c r="J60" s="4" t="str">
        <x:v>Cantidades por conjunto; no sumar como total de máquina.</x:v>
      </x:c>
    </x:row>
    <x:row r="61" ht="30" customHeight="1">
      <x:c r="A61" s="5" t="str">
        <x:v>TT10_C05_PC_01</x:v>
      </x:c>
      <x:c r="B61" s="5" t="str">
        <x:v>Conjunto general y montaje</x:v>
      </x:c>
      <x:c r="C61" s="7" t="n">
        <x:v>58</x:v>
      </x:c>
      <x:c r="D61" s="5" t="str">
        <x:v>TT10_C04_GUARDA_BASEW6_4630</x:v>
      </x:c>
      <x:c r="E61" s="7" t="n">
        <x:v>1</x:v>
      </x:c>
      <x:c r="F61" s="7" t="n">
        <x:v>1</x:v>
      </x:c>
      <x:c r="G61" s="5" t="str">
        <x:v>Compra</x:v>
      </x:c>
      <x:c r="H61" s="5" t="str">
        <x:v>Arandela6,12x6.6x2</x:v>
      </x:c>
      <x:c r="I61" s="5" t="str">
        <x:v>Arandela endurecida 300 HV / ISO 7089</x:v>
      </x:c>
      <x:c r="J61" s="5" t="str">
        <x:v>Cantidades por conjunto; no sumar como total de máquina.</x:v>
      </x:c>
    </x:row>
    <x:row r="62" ht="30" customHeight="1">
      <x:c r="A62" s="4" t="str">
        <x:v>TT10_C05_PC_01</x:v>
      </x:c>
      <x:c r="B62" s="4" t="str">
        <x:v>Conjunto general y montaje</x:v>
      </x:c>
      <x:c r="C62" s="6" t="n">
        <x:v>59</x:v>
      </x:c>
      <x:c r="D62" s="4" t="str">
        <x:v>TT10_C04_GUARDA_FRONTAL</x:v>
      </x:c>
      <x:c r="E62" s="6" t="n">
        <x:v>1</x:v>
      </x:c>
      <x:c r="F62" s="6" t="n">
        <x:v>1</x:v>
      </x:c>
      <x:c r="G62" s="4" t="str">
        <x:v>Fabricación</x:v>
      </x:c>
      <x:c r="H62" s="4" t="str">
        <x:v>Chapa2; contorno de cadena; inferiorZ1107; paso superior/FRONTAL</x:v>
      </x:c>
      <x:c r="I62" s="4" t="str">
        <x:v>ASTM A36</x:v>
      </x:c>
      <x:c r="J62" s="4" t="str">
        <x:v>Cantidades por conjunto; no sumar como total de máquina.</x:v>
      </x:c>
    </x:row>
    <x:row r="63" ht="30" customHeight="1">
      <x:c r="A63" s="5" t="str">
        <x:v>TT10_C05_PC_01</x:v>
      </x:c>
      <x:c r="B63" s="5" t="str">
        <x:v>Conjunto general y montaje</x:v>
      </x:c>
      <x:c r="C63" s="7" t="n">
        <x:v>60</x:v>
      </x:c>
      <x:c r="D63" s="5" t="str">
        <x:v>TT10_C04_GUARDA_N6_0</x:v>
      </x:c>
      <x:c r="E63" s="7" t="n">
        <x:v>3</x:v>
      </x:c>
      <x:c r="F63" s="7" t="n">
        <x:v>3</x:v>
      </x:c>
      <x:c r="G63" s="5" t="str">
        <x:v>Compra</x:v>
      </x:c>
      <x:c r="H63" s="5" t="str">
        <x:v>TuercaM6 autoblocante metalica; contorno nominal</x:v>
      </x:c>
      <x:c r="I63" s="5" t="str">
        <x:v>Tornilleria8</x:v>
      </x:c>
      <x:c r="J63" s="5" t="str">
        <x:v>Cantidades por conjunto; no sumar como total de máquina.</x:v>
      </x:c>
    </x:row>
    <x:row r="64" ht="30" customHeight="1">
      <x:c r="A64" s="4" t="str">
        <x:v>TT10_C05_PC_01</x:v>
      </x:c>
      <x:c r="B64" s="4" t="str">
        <x:v>Conjunto general y montaje</x:v>
      </x:c>
      <x:c r="C64" s="6" t="n">
        <x:v>61</x:v>
      </x:c>
      <x:c r="D64" s="4" t="str">
        <x:v>TT10_C04_GUARDA_N6_2</x:v>
      </x:c>
      <x:c r="E64" s="6" t="n">
        <x:v>1</x:v>
      </x:c>
      <x:c r="F64" s="6" t="n">
        <x:v>1</x:v>
      </x:c>
      <x:c r="G64" s="4" t="str">
        <x:v>Compra</x:v>
      </x:c>
      <x:c r="H64" s="4" t="str">
        <x:v>TuercaM6 autoblocante metalica; contorno nominal</x:v>
      </x:c>
      <x:c r="I64" s="4" t="str">
        <x:v>Tornilleria8</x:v>
      </x:c>
      <x:c r="J64" s="4" t="str">
        <x:v>Cantidades por conjunto; no sumar como total de máquina.</x:v>
      </x:c>
    </x:row>
    <x:row r="65" ht="30" customHeight="1">
      <x:c r="A65" s="5" t="str">
        <x:v>TT10_C05_PC_01</x:v>
      </x:c>
      <x:c r="B65" s="5" t="str">
        <x:v>Conjunto general y montaje</x:v>
      </x:c>
      <x:c r="C65" s="7" t="n">
        <x:v>62</x:v>
      </x:c>
      <x:c r="D65" s="5" t="str">
        <x:v>TT10_C04_GUARDA_POSTERIOR</x:v>
      </x:c>
      <x:c r="E65" s="7" t="n">
        <x:v>1</x:v>
      </x:c>
      <x:c r="F65" s="7" t="n">
        <x:v>1</x:v>
      </x:c>
      <x:c r="G65" s="5" t="str">
        <x:v>Fabricación</x:v>
      </x:c>
      <x:c r="H65" s="5" t="str">
        <x:v>Chapa2; contorno de cadena; inferiorZ1107; paso superior/POSTERIOR</x:v>
      </x:c>
      <x:c r="I65" s="5" t="str">
        <x:v>ASTM A36</x:v>
      </x:c>
      <x:c r="J65" s="5" t="str">
        <x:v>Cantidades por conjunto; no sumar como total de máquina.</x:v>
      </x:c>
    </x:row>
    <x:row r="66" ht="30" customHeight="1">
      <x:c r="A66" s="4" t="str">
        <x:v>TT10_C05_PC_01</x:v>
      </x:c>
      <x:c r="B66" s="4" t="str">
        <x:v>Conjunto general y montaje</x:v>
      </x:c>
      <x:c r="C66" s="6" t="n">
        <x:v>63</x:v>
      </x:c>
      <x:c r="D66" s="4" t="str">
        <x:v>TT10_C04_GUARDA_W6_0</x:v>
      </x:c>
      <x:c r="E66" s="6" t="n">
        <x:v>3</x:v>
      </x:c>
      <x:c r="F66" s="6" t="n">
        <x:v>3</x:v>
      </x:c>
      <x:c r="G66" s="4" t="str">
        <x:v>Compra</x:v>
      </x:c>
      <x:c r="H66" s="4" t="str">
        <x:v>ArandelaM6,12x6.6x1.6</x:v>
      </x:c>
      <x:c r="I66" s="4" t="str">
        <x:v>Arandela endurecida 300 HV / ISO 7089</x:v>
      </x:c>
      <x:c r="J66" s="4" t="str">
        <x:v>Cantidades por conjunto; no sumar como total de máquina.</x:v>
      </x:c>
    </x:row>
    <x:row r="67" ht="30" customHeight="1">
      <x:c r="A67" s="5" t="str">
        <x:v>TT10_C05_PC_01</x:v>
      </x:c>
      <x:c r="B67" s="5" t="str">
        <x:v>Conjunto general y montaje</x:v>
      </x:c>
      <x:c r="C67" s="7" t="n">
        <x:v>64</x:v>
      </x:c>
      <x:c r="D67" s="5" t="str">
        <x:v>TT10_C04_GUARDA_W6_2</x:v>
      </x:c>
      <x:c r="E67" s="7" t="n">
        <x:v>1</x:v>
      </x:c>
      <x:c r="F67" s="7" t="n">
        <x:v>1</x:v>
      </x:c>
      <x:c r="G67" s="5" t="str">
        <x:v>Compra</x:v>
      </x:c>
      <x:c r="H67" s="5" t="str">
        <x:v>ArandelaM6,12x6.6x1.6</x:v>
      </x:c>
      <x:c r="I67" s="5" t="str">
        <x:v>Arandela endurecida 300 HV / ISO 7089</x:v>
      </x:c>
      <x:c r="J67" s="5" t="str">
        <x:v>Cantidades por conjunto; no sumar como total de máquina.</x:v>
      </x:c>
    </x:row>
    <x:row r="68" ht="30" customHeight="1">
      <x:c r="A68" s="4" t="str">
        <x:v>TT10_C05_PC_01</x:v>
      </x:c>
      <x:c r="B68" s="4" t="str">
        <x:v>Conjunto general y montaje</x:v>
      </x:c>
      <x:c r="C68" s="6" t="n">
        <x:v>65</x:v>
      </x:c>
      <x:c r="D68" s="4" t="str">
        <x:v>TT10_C04_PEDESTAL_SELECTOR</x:v>
      </x:c>
      <x:c r="E68" s="6" t="n">
        <x:v>1</x:v>
      </x:c>
      <x:c r="F68" s="6" t="n">
        <x:v>1</x:v>
      </x:c>
      <x:c r="G68" s="4" t="str">
        <x:v>Fabricación</x:v>
      </x:c>
      <x:c r="H68" s="4" t="str">
        <x:v>Pedestal con ventana46 para paso real de cadena/resguardo; soporte local por verificar</x:v>
      </x:c>
      <x:c r="I68" s="4" t="str">
        <x:v>ASTM A36</x:v>
      </x:c>
      <x:c r="J68" s="4" t="str">
        <x:v>Cantidades por conjunto; no sumar como total de máquina.</x:v>
      </x:c>
    </x:row>
    <x:row r="69" ht="30" customHeight="1">
      <x:c r="A69" s="5" t="str">
        <x:v>TT10_C05_PC_01</x:v>
      </x:c>
      <x:c r="B69" s="5" t="str">
        <x:v>Conjunto general y montaje</x:v>
      </x:c>
      <x:c r="C69" s="7" t="n">
        <x:v>66</x:v>
      </x:c>
      <x:c r="D69" s="5" t="str">
        <x:v>TT10_C04_PLACA_TIMON</x:v>
      </x:c>
      <x:c r="E69" s="7" t="n">
        <x:v>1</x:v>
      </x:c>
      <x:c r="F69" s="7" t="n">
        <x:v>1</x:v>
      </x:c>
      <x:c r="G69" s="5" t="str">
        <x:v>Fabricación</x:v>
      </x:c>
      <x:c r="H69" s="5" t="str">
        <x:v>Placa de estacion existente con ventanaR57x25 para bridas110; apoyos yMayr conservados</x:v>
      </x:c>
      <x:c r="I69" s="5" t="str">
        <x:v>ASTM A36</x:v>
      </x:c>
      <x:c r="J69" s="5" t="str">
        <x:v>Cantidades por conjunto; no sumar como total de máquina.</x:v>
      </x:c>
    </x:row>
    <x:row r="70" ht="30" customHeight="1">
      <x:c r="A70" s="4" t="str">
        <x:v>TT10_C05_PC_01</x:v>
      </x:c>
      <x:c r="B70" s="4" t="str">
        <x:v>Conjunto general y montaje</x:v>
      </x:c>
      <x:c r="C70" s="6" t="n">
        <x:v>67</x:v>
      </x:c>
      <x:c r="D70" s="4" t="str">
        <x:v>TT10_C04_SELECTOR_APOYO_1</x:v>
      </x:c>
      <x:c r="E70" s="6" t="n">
        <x:v>1</x:v>
      </x:c>
      <x:c r="F70" s="6" t="n">
        <x:v>1</x:v>
      </x:c>
      <x:c r="G70" s="4" t="str">
        <x:v>Compra</x:v>
      </x:c>
      <x:c r="H70" s="4" t="str">
        <x:v>Asiento6008 abierto; montaje axial y4M6PCD84; no cavidad inaccesible</x:v>
      </x:c>
      <x:c r="I70" s="4" t="str">
        <x:v>Conjunto comprado; acero/ fundición según OEM</x:v>
      </x:c>
      <x:c r="J70" s="4" t="str">
        <x:v>Cantidades por conjunto; no sumar como total de máquina.</x:v>
      </x:c>
    </x:row>
    <x:row r="71" ht="30" customHeight="1">
      <x:c r="A71" s="5" t="str">
        <x:v>TT10_C05_PC_01</x:v>
      </x:c>
      <x:c r="B71" s="5" t="str">
        <x:v>Conjunto general y montaje</x:v>
      </x:c>
      <x:c r="C71" s="7" t="n">
        <x:v>68</x:v>
      </x:c>
      <x:c r="D71" s="5" t="str">
        <x:v>TT10_C04_SELECTOR_APOYO_2</x:v>
      </x:c>
      <x:c r="E71" s="7" t="n">
        <x:v>1</x:v>
      </x:c>
      <x:c r="F71" s="7" t="n">
        <x:v>1</x:v>
      </x:c>
      <x:c r="G71" s="5" t="str">
        <x:v>Compra</x:v>
      </x:c>
      <x:c r="H71" s="5" t="str">
        <x:v>Asiento6008 abierto; montaje axial y4M6PCD84; no cavidad inaccesible</x:v>
      </x:c>
      <x:c r="I71" s="5" t="str">
        <x:v>Conjunto comprado; acero/ fundición según OEM</x:v>
      </x:c>
      <x:c r="J71" s="5" t="str">
        <x:v>Cantidades por conjunto; no sumar como total de máquina.</x:v>
      </x:c>
    </x:row>
    <x:row r="72" ht="30" customHeight="1">
      <x:c r="A72" s="4" t="str">
        <x:v>TT10_C05_PC_01</x:v>
      </x:c>
      <x:c r="B72" s="4" t="str">
        <x:v>Conjunto general y montaje</x:v>
      </x:c>
      <x:c r="C72" s="6" t="n">
        <x:v>69</x:v>
      </x:c>
      <x:c r="D72" s="4" t="str">
        <x:v>TT10_C04_SELECTOR_BASE</x:v>
      </x:c>
      <x:c r="E72" s="6" t="n">
        <x:v>1</x:v>
      </x:c>
      <x:c r="F72" s="6" t="n">
        <x:v>1</x:v>
      </x:c>
      <x:c r="G72" s="4" t="str">
        <x:v>Fabricación</x:v>
      </x:c>
      <x:c r="H72" s="4" t="str">
        <x:v>Soporte con ventana46mm para cadena y guarda; caras restantes transmiten apoyo</x:v>
      </x:c>
      <x:c r="I72" s="4" t="str">
        <x:v>ASTM A36</x:v>
      </x:c>
      <x:c r="J72" s="4" t="str">
        <x:v>Cantidades por conjunto; no sumar como total de máquina.</x:v>
      </x:c>
    </x:row>
    <x:row r="73" ht="30" customHeight="1">
      <x:c r="A73" s="5" t="str">
        <x:v>TT10_C05_PC_01</x:v>
      </x:c>
      <x:c r="B73" s="5" t="str">
        <x:v>Conjunto general y montaje</x:v>
      </x:c>
      <x:c r="C73" s="7" t="n">
        <x:v>70</x:v>
      </x:c>
      <x:c r="D73" s="5" t="str">
        <x:v>TT10_C04_SELECTOR_CUBO_E</x:v>
      </x:c>
      <x:c r="E73" s="7" t="n">
        <x:v>1</x:v>
      </x:c>
      <x:c r="F73" s="7" t="n">
        <x:v>1</x:v>
      </x:c>
      <x:c r="G73" s="5" t="str">
        <x:v>Fabricación</x:v>
      </x:c>
      <x:c r="H73" s="5" t="str">
        <x:v>CuboE con extension; pasoD41 hastaX1062, socketD40H7 y chavetero12x35</x:v>
      </x:c>
      <x:c r="I73" s="5" t="str">
        <x:v>AISI 4140 bonificado</x:v>
      </x:c>
      <x:c r="J73" s="5" t="str">
        <x:v>Cantidades por conjunto; no sumar como total de máquina.</x:v>
      </x:c>
    </x:row>
    <x:row r="74" ht="30" customHeight="1">
      <x:c r="A74" s="4" t="str">
        <x:v>TT10_C05_PC_01</x:v>
      </x:c>
      <x:c r="B74" s="4" t="str">
        <x:v>Conjunto general y montaje</x:v>
      </x:c>
      <x:c r="C74" s="6" t="n">
        <x:v>71</x:v>
      </x:c>
      <x:c r="D74" s="4" t="str">
        <x:v>TT10_C04_SELECTOR_EJE</x:v>
      </x:c>
      <x:c r="E74" s="6" t="n">
        <x:v>1</x:v>
      </x:c>
      <x:c r="F74" s="6" t="n">
        <x:v>1</x:v>
      </x:c>
      <x:c r="G74" s="4" t="str">
        <x:v>Fabricación</x:v>
      </x:c>
      <x:c r="H74" s="4" t="str">
        <x:v>Eje D40h6; extremoX1060; ranuraDIN471D37.5x1.85 enX855.1</x:v>
      </x:c>
      <x:c r="I74" s="4" t="str">
        <x:v>42CrMo4+QT; pistas58-64HRC</x:v>
      </x:c>
      <x:c r="J74" s="4" t="str">
        <x:v>Cantidades por conjunto; no sumar como total de máquina.</x:v>
      </x:c>
    </x:row>
    <x:row r="75" ht="30" customHeight="1">
      <x:c r="A75" s="5" t="str">
        <x:v>TT10_C05_PC_01</x:v>
      </x:c>
      <x:c r="B75" s="5" t="str">
        <x:v>Conjunto general y montaje</x:v>
      </x:c>
      <x:c r="C75" s="7" t="n">
        <x:v>72</x:v>
      </x:c>
      <x:c r="D75" s="5" t="str">
        <x:v>TT10_C04_SELECTOR_ESPACIADOR</x:v>
      </x:c>
      <x:c r="E75" s="7" t="n">
        <x:v>1</x:v>
      </x:c>
      <x:c r="F75" s="7" t="n">
        <x:v>1</x:v>
      </x:c>
      <x:c r="G75" s="5" t="str">
        <x:v>Fabricación</x:v>
      </x:c>
      <x:c r="H75" s="5" t="str">
        <x:v>Soporte con ventana46mm para cadena y guarda; caras restantes transmiten apoyo</x:v>
      </x:c>
      <x:c r="I75" s="5" t="str">
        <x:v>ASTM A36</x:v>
      </x:c>
      <x:c r="J75" s="5" t="str">
        <x:v>Cantidades por conjunto; no sumar como total de máquina.</x:v>
      </x:c>
    </x:row>
    <x:row r="76" ht="30" customHeight="1">
      <x:c r="A76" s="4" t="str">
        <x:v>TT10_C05_PC_01</x:v>
      </x:c>
      <x:c r="B76" s="4" t="str">
        <x:v>Conjunto general y montaje</x:v>
      </x:c>
      <x:c r="C76" s="6" t="n">
        <x:v>73</x:v>
      </x:c>
      <x:c r="D76" s="4" t="str">
        <x:v>TT10_C04_SY30_B12_930_4491.25</x:v>
      </x:c>
      <x:c r="E76" s="6" t="n">
        <x:v>2</x:v>
      </x:c>
      <x:c r="F76" s="6" t="n">
        <x:v>2</x:v>
      </x:c>
      <x:c r="G76" s="4" t="str">
        <x:v>Compra</x:v>
      </x:c>
      <x:c r="H76" s="4" t="str">
        <x:v>M12x45,8.8;25.5mm nominales de rosca util</x:v>
      </x:c>
      <x:c r="I76" s="4" t="str">
        <x:v>Clase 8.8 / ISO 898-1</x:v>
      </x:c>
      <x:c r="J76" s="4" t="str">
        <x:v>Cantidades por conjunto; no sumar como total de máquina.</x:v>
      </x:c>
    </x:row>
    <x:row r="77" ht="30" customHeight="1">
      <x:c r="A77" s="5" t="str">
        <x:v>TT10_C05_PC_01</x:v>
      </x:c>
      <x:c r="B77" s="5" t="str">
        <x:v>Conjunto general y montaje</x:v>
      </x:c>
      <x:c r="C77" s="7" t="n">
        <x:v>74</x:v>
      </x:c>
      <x:c r="D77" s="5" t="str">
        <x:v>TT10_C04_SY30_B12_972_4491.25</x:v>
      </x:c>
      <x:c r="E77" s="7" t="n">
        <x:v>2</x:v>
      </x:c>
      <x:c r="F77" s="7" t="n">
        <x:v>2</x:v>
      </x:c>
      <x:c r="G77" s="5" t="str">
        <x:v>Compra</x:v>
      </x:c>
      <x:c r="H77" s="5" t="str">
        <x:v>M12x45,8.8;25.5mm nominales de rosca util</x:v>
      </x:c>
      <x:c r="I77" s="5" t="str">
        <x:v>Clase 8.8 / ISO 898-1</x:v>
      </x:c>
      <x:c r="J77" s="5" t="str">
        <x:v>Cantidades por conjunto; no sumar como total de máquina.</x:v>
      </x:c>
    </x:row>
    <x:row r="78" ht="30" customHeight="1">
      <x:c r="A78" s="4" t="str">
        <x:v>TT10_C05_PC_01</x:v>
      </x:c>
      <x:c r="B78" s="4" t="str">
        <x:v>Conjunto general y montaje</x:v>
      </x:c>
      <x:c r="C78" s="6" t="n">
        <x:v>75</x:v>
      </x:c>
      <x:c r="D78" s="4" t="str">
        <x:v>TT10_C04_SY30_W12_930_4491.25</x:v>
      </x:c>
      <x:c r="E78" s="6" t="n">
        <x:v>2</x:v>
      </x:c>
      <x:c r="F78" s="6" t="n">
        <x:v>2</x:v>
      </x:c>
      <x:c r="G78" s="4" t="str">
        <x:v>Compra</x:v>
      </x:c>
      <x:c r="H78" s="4" t="str">
        <x:v>ArandelaM12,24x13x2.5</x:v>
      </x:c>
      <x:c r="I78" s="4" t="str">
        <x:v>Arandela endurecida 300 HV / ISO 7089</x:v>
      </x:c>
      <x:c r="J78" s="4" t="str">
        <x:v>Cantidades por conjunto; no sumar como total de máquina.</x:v>
      </x:c>
    </x:row>
    <x:row r="79" ht="30" customHeight="1">
      <x:c r="A79" s="5" t="str">
        <x:v>TT10_C05_PC_01</x:v>
      </x:c>
      <x:c r="B79" s="5" t="str">
        <x:v>Conjunto general y montaje</x:v>
      </x:c>
      <x:c r="C79" s="7" t="n">
        <x:v>76</x:v>
      </x:c>
      <x:c r="D79" s="5" t="str">
        <x:v>TT10_C04_SY30_W12_930_4608.75</x:v>
      </x:c>
      <x:c r="E79" s="7" t="n">
        <x:v>2</x:v>
      </x:c>
      <x:c r="F79" s="7" t="n">
        <x:v>2</x:v>
      </x:c>
      <x:c r="G79" s="5" t="str">
        <x:v>Compra</x:v>
      </x:c>
      <x:c r="H79" s="5" t="str">
        <x:v>ArandelaM12,24x13x2.5</x:v>
      </x:c>
      <x:c r="I79" s="5" t="str">
        <x:v>Arandela endurecida 300 HV / ISO 7089</x:v>
      </x:c>
      <x:c r="J79" s="5" t="str">
        <x:v>Cantidades por conjunto; no sumar como total de máquina.</x:v>
      </x:c>
    </x:row>
    <x:row r="80" ht="30" customHeight="1">
      <x:c r="A80" s="4" t="str">
        <x:v>TT10_C05_PC_01</x:v>
      </x:c>
      <x:c r="B80" s="4" t="str">
        <x:v>Conjunto general y montaje</x:v>
      </x:c>
      <x:c r="C80" s="6" t="n">
        <x:v>77</x:v>
      </x:c>
      <x:c r="D80" s="4" t="str">
        <x:v>TT10_C04_TAPA6008_1</x:v>
      </x:c>
      <x:c r="E80" s="6" t="n">
        <x:v>1</x:v>
      </x:c>
      <x:c r="F80" s="6" t="n">
        <x:v>1</x:v>
      </x:c>
      <x:c r="G80" s="4" t="str">
        <x:v>Fabricación</x:v>
      </x:c>
      <x:c r="H80" s="4" t="str">
        <x:v>Tapa104x4, cabezas en cajera; desmontaje exterior</x:v>
      </x:c>
      <x:c r="I80" s="4" t="str">
        <x:v>ASTM A36</x:v>
      </x:c>
      <x:c r="J80" s="4" t="str">
        <x:v>Cantidades por conjunto; no sumar como total de máquina.</x:v>
      </x:c>
    </x:row>
    <x:row r="81" ht="30" customHeight="1">
      <x:c r="A81" s="5" t="str">
        <x:v>TT10_C05_PC_01</x:v>
      </x:c>
      <x:c r="B81" s="5" t="str">
        <x:v>Conjunto general y montaje</x:v>
      </x:c>
      <x:c r="C81" s="7" t="n">
        <x:v>78</x:v>
      </x:c>
      <x:c r="D81" s="5" t="str">
        <x:v>TT10_C04_TAPA6008_2</x:v>
      </x:c>
      <x:c r="E81" s="7" t="n">
        <x:v>1</x:v>
      </x:c>
      <x:c r="F81" s="7" t="n">
        <x:v>1</x:v>
      </x:c>
      <x:c r="G81" s="5" t="str">
        <x:v>Fabricación</x:v>
      </x:c>
      <x:c r="H81" s="5" t="str">
        <x:v>Tapa104x4, cabezas en cajera; desmontaje exterior</x:v>
      </x:c>
      <x:c r="I81" s="5" t="str">
        <x:v>ASTM A36</x:v>
      </x:c>
      <x:c r="J81" s="5" t="str">
        <x:v>Cantidades por conjunto; no sumar como total de máquina.</x:v>
      </x:c>
    </x:row>
    <x:row r="82" ht="30" customHeight="1">
      <x:c r="A82" s="4" t="str">
        <x:v>TT10_C05_PC_01</x:v>
      </x:c>
      <x:c r="B82" s="4" t="str">
        <x:v>Conjunto general y montaje</x:v>
      </x:c>
      <x:c r="C82" s="6" t="n">
        <x:v>79</x:v>
      </x:c>
      <x:c r="D82" s="4" t="str">
        <x:v>TT10_C04_TRAVESANO</x:v>
      </x:c>
      <x:c r="E82" s="6" t="n">
        <x:v>1</x:v>
      </x:c>
      <x:c r="F82" s="6" t="n">
        <x:v>1</x:v>
      </x:c>
      <x:c r="G82" s="4" t="str">
        <x:v>Fabricación</x:v>
      </x:c>
      <x:c r="H82" s="4" t="str">
        <x:v>RHS100x50x5,L230; une los dos postes del puesto manual, a3</x:v>
      </x:c>
      <x:c r="I82" s="4" t="str">
        <x:v>S275J0H / EN 10219-1</x:v>
      </x:c>
      <x:c r="J82" s="4" t="str">
        <x:v>Cantidades por conjunto; no sumar como total de máquina.</x:v>
      </x:c>
    </x:row>
    <x:row r="83" ht="30" customHeight="1">
      <x:c r="A83" s="5" t="str">
        <x:v>TT10_C05_PC_01</x:v>
      </x:c>
      <x:c r="B83" s="5" t="str">
        <x:v>Conjunto general y montaje</x:v>
      </x:c>
      <x:c r="C83" s="7" t="n">
        <x:v>80</x:v>
      </x:c>
      <x:c r="D83" s="5" t="str">
        <x:v>TT10_C05_ARANDELA_TENSOR_0</x:v>
      </x:c>
      <x:c r="E83" s="7" t="n">
        <x:v>1</x:v>
      </x:c>
      <x:c r="F83" s="7" t="n">
        <x:v>1</x:v>
      </x:c>
      <x:c r="G83" s="5" t="str">
        <x:v>Compra</x:v>
      </x:c>
      <x:c r="H83" s="5" t="str">
        <x:v>Arandela puente44x21x4, endurecida, cubre ranura22</x:v>
      </x:c>
      <x:c r="I83" s="5" t="str">
        <x:v>Arandela endurecida 300 HV / ISO 7089</x:v>
      </x:c>
      <x:c r="J83" s="5" t="str">
        <x:v>Cantidades por conjunto; no sumar como total de máquina.</x:v>
      </x:c>
    </x:row>
    <x:row r="84" ht="30" customHeight="1">
      <x:c r="A84" s="4" t="str">
        <x:v>TT10_C05_PC_01</x:v>
      </x:c>
      <x:c r="B84" s="4" t="str">
        <x:v>Conjunto general y montaje</x:v>
      </x:c>
      <x:c r="C84" s="6" t="n">
        <x:v>81</x:v>
      </x:c>
      <x:c r="D84" s="4" t="str">
        <x:v>TT10_C05_ARANDELA_TENSOR_1</x:v>
      </x:c>
      <x:c r="E84" s="6" t="n">
        <x:v>1</x:v>
      </x:c>
      <x:c r="F84" s="6" t="n">
        <x:v>1</x:v>
      </x:c>
      <x:c r="G84" s="4" t="str">
        <x:v>Compra</x:v>
      </x:c>
      <x:c r="H84" s="4" t="str">
        <x:v>Arandela puente44x21x4, endurecida, cubre ranura22</x:v>
      </x:c>
      <x:c r="I84" s="4" t="str">
        <x:v>Arandela endurecida 300 HV / ISO 7089</x:v>
      </x:c>
      <x:c r="J84" s="4" t="str">
        <x:v>Cantidades por conjunto; no sumar como total de máquina.</x:v>
      </x:c>
    </x:row>
    <x:row r="85" ht="30" customHeight="1">
      <x:c r="A85" s="5" t="str">
        <x:v>TT10_C05_PC_01</x:v>
      </x:c>
      <x:c r="B85" s="5" t="str">
        <x:v>Conjunto general y montaje</x:v>
      </x:c>
      <x:c r="C85" s="7" t="n">
        <x:v>82</x:v>
      </x:c>
      <x:c r="D85" s="5" t="str">
        <x:v>TT10_C05_ARANDELA_TENSOR_2</x:v>
      </x:c>
      <x:c r="E85" s="7" t="n">
        <x:v>1</x:v>
      </x:c>
      <x:c r="F85" s="7" t="n">
        <x:v>1</x:v>
      </x:c>
      <x:c r="G85" s="5" t="str">
        <x:v>Compra</x:v>
      </x:c>
      <x:c r="H85" s="5" t="str">
        <x:v>Arandela puente44x21x4, endurecida, cubre ranura22</x:v>
      </x:c>
      <x:c r="I85" s="5" t="str">
        <x:v>Arandela endurecida 300 HV / ISO 7089</x:v>
      </x:c>
      <x:c r="J85" s="5" t="str">
        <x:v>Cantidades por conjunto; no sumar como total de máquina.</x:v>
      </x:c>
    </x:row>
    <x:row r="86" ht="30" customHeight="1">
      <x:c r="A86" s="4" t="str">
        <x:v>TT10_C05_PC_01</x:v>
      </x:c>
      <x:c r="B86" s="4" t="str">
        <x:v>Conjunto general y montaje</x:v>
      </x:c>
      <x:c r="C86" s="6" t="n">
        <x:v>83</x:v>
      </x:c>
      <x:c r="D86" s="4" t="str">
        <x:v>TT10_C05_ARANDELA_TENSOR_3</x:v>
      </x:c>
      <x:c r="E86" s="6" t="n">
        <x:v>1</x:v>
      </x:c>
      <x:c r="F86" s="6" t="n">
        <x:v>1</x:v>
      </x:c>
      <x:c r="G86" s="4" t="str">
        <x:v>Compra</x:v>
      </x:c>
      <x:c r="H86" s="4" t="str">
        <x:v>Arandela puente44x21x4, endurecida, cubre ranura22</x:v>
      </x:c>
      <x:c r="I86" s="4" t="str">
        <x:v>Arandela endurecida 300 HV / ISO 7089</x:v>
      </x:c>
      <x:c r="J86" s="4" t="str">
        <x:v>Cantidades por conjunto; no sumar como total de máquina.</x:v>
      </x:c>
    </x:row>
    <x:row r="87" ht="30" customHeight="1">
      <x:c r="A87" s="5" t="str">
        <x:v>TT10_C05_PC_01</x:v>
      </x:c>
      <x:c r="B87" s="5" t="str">
        <x:v>Conjunto general y montaje</x:v>
      </x:c>
      <x:c r="C87" s="7" t="n">
        <x:v>84</x:v>
      </x:c>
      <x:c r="D87" s="5" t="str">
        <x:v>TT10_C05_B20_TENSOR_0</x:v>
      </x:c>
      <x:c r="E87" s="7" t="n">
        <x:v>1</x:v>
      </x:c>
      <x:c r="F87" s="7" t="n">
        <x:v>1</x:v>
      </x:c>
      <x:c r="G87" s="5" t="str">
        <x:v>Compra</x:v>
      </x:c>
      <x:c r="H87" s="5" t="str">
        <x:v>Tornillo M20x45,ISO4017 8.8; geometria nominal</x:v>
      </x:c>
      <x:c r="I87" s="5" t="str">
        <x:v>Clase 8.8 / ISO 898-1</x:v>
      </x:c>
      <x:c r="J87" s="5" t="str">
        <x:v>Cantidades por conjunto; no sumar como total de máquina.</x:v>
      </x:c>
    </x:row>
    <x:row r="88" ht="30" customHeight="1">
      <x:c r="A88" s="4" t="str">
        <x:v>TT10_C05_PC_01</x:v>
      </x:c>
      <x:c r="B88" s="4" t="str">
        <x:v>Conjunto general y montaje</x:v>
      </x:c>
      <x:c r="C88" s="6" t="n">
        <x:v>85</x:v>
      </x:c>
      <x:c r="D88" s="4" t="str">
        <x:v>TT10_C05_B20_TENSOR_1</x:v>
      </x:c>
      <x:c r="E88" s="6" t="n">
        <x:v>1</x:v>
      </x:c>
      <x:c r="F88" s="6" t="n">
        <x:v>1</x:v>
      </x:c>
      <x:c r="G88" s="4" t="str">
        <x:v>Compra</x:v>
      </x:c>
      <x:c r="H88" s="4" t="str">
        <x:v>Tornillo M20x45,ISO4017 8.8; geometria nominal</x:v>
      </x:c>
      <x:c r="I88" s="4" t="str">
        <x:v>Clase 8.8 / ISO 898-1</x:v>
      </x:c>
      <x:c r="J88" s="4" t="str">
        <x:v>Cantidades por conjunto; no sumar como total de máquina.</x:v>
      </x:c>
    </x:row>
    <x:row r="89" ht="30" customHeight="1">
      <x:c r="A89" s="5" t="str">
        <x:v>TT10_C05_PC_01</x:v>
      </x:c>
      <x:c r="B89" s="5" t="str">
        <x:v>Conjunto general y montaje</x:v>
      </x:c>
      <x:c r="C89" s="7" t="n">
        <x:v>86</x:v>
      </x:c>
      <x:c r="D89" s="5" t="str">
        <x:v>TT10_C05_B20_TENSOR_2</x:v>
      </x:c>
      <x:c r="E89" s="7" t="n">
        <x:v>1</x:v>
      </x:c>
      <x:c r="F89" s="7" t="n">
        <x:v>1</x:v>
      </x:c>
      <x:c r="G89" s="5" t="str">
        <x:v>Compra</x:v>
      </x:c>
      <x:c r="H89" s="5" t="str">
        <x:v>Tornillo M20x45,ISO4017 8.8; geometria nominal</x:v>
      </x:c>
      <x:c r="I89" s="5" t="str">
        <x:v>Clase 8.8 / ISO 898-1</x:v>
      </x:c>
      <x:c r="J89" s="5" t="str">
        <x:v>Cantidades por conjunto; no sumar como total de máquina.</x:v>
      </x:c>
    </x:row>
    <x:row r="90" ht="30" customHeight="1">
      <x:c r="A90" s="4" t="str">
        <x:v>TT10_C05_PC_01</x:v>
      </x:c>
      <x:c r="B90" s="4" t="str">
        <x:v>Conjunto general y montaje</x:v>
      </x:c>
      <x:c r="C90" s="6" t="n">
        <x:v>87</x:v>
      </x:c>
      <x:c r="D90" s="4" t="str">
        <x:v>TT10_C05_B20_TENSOR_3</x:v>
      </x:c>
      <x:c r="E90" s="6" t="n">
        <x:v>1</x:v>
      </x:c>
      <x:c r="F90" s="6" t="n">
        <x:v>1</x:v>
      </x:c>
      <x:c r="G90" s="4" t="str">
        <x:v>Compra</x:v>
      </x:c>
      <x:c r="H90" s="4" t="str">
        <x:v>Tornillo M20x45,ISO4017 8.8; geometria nominal</x:v>
      </x:c>
      <x:c r="I90" s="4" t="str">
        <x:v>Clase 8.8 / ISO 898-1</x:v>
      </x:c>
      <x:c r="J90" s="4" t="str">
        <x:v>Cantidades por conjunto; no sumar como total de máquina.</x:v>
      </x:c>
    </x:row>
    <x:row r="91" ht="30" customHeight="1">
      <x:c r="A91" s="5" t="str">
        <x:v>TT10_C05_PC_01</x:v>
      </x:c>
      <x:c r="B91" s="5" t="str">
        <x:v>Conjunto general y montaje</x:v>
      </x:c>
      <x:c r="C91" s="7" t="n">
        <x:v>88</x:v>
      </x:c>
      <x:c r="D91" s="5" t="str">
        <x:v>TT10_C05_B4_RETEN_0_0</x:v>
      </x:c>
      <x:c r="E91" s="7" t="n">
        <x:v>1</x:v>
      </x:c>
      <x:c r="F91" s="7" t="n">
        <x:v>1</x:v>
      </x:c>
      <x:c r="G91" s="5" t="str">
        <x:v>Compra</x:v>
      </x:c>
      <x:c r="H91" s="5" t="str">
        <x:v>M4x9,8.8; tornillo del puente cautivo; fijador desmontable</x:v>
      </x:c>
      <x:c r="I91" s="5" t="str">
        <x:v>Clase 10.9 / ISO 898-1</x:v>
      </x:c>
      <x:c r="J91" s="5" t="str">
        <x:v>Cantidades por conjunto; no sumar como total de máquina.</x:v>
      </x:c>
    </x:row>
    <x:row r="92" ht="30" customHeight="1">
      <x:c r="A92" s="4" t="str">
        <x:v>TT10_C05_PC_01</x:v>
      </x:c>
      <x:c r="B92" s="4" t="str">
        <x:v>Conjunto general y montaje</x:v>
      </x:c>
      <x:c r="C92" s="6" t="n">
        <x:v>89</x:v>
      </x:c>
      <x:c r="D92" s="4" t="str">
        <x:v>TT10_C05_B4_RETEN_0_1</x:v>
      </x:c>
      <x:c r="E92" s="6" t="n">
        <x:v>1</x:v>
      </x:c>
      <x:c r="F92" s="6" t="n">
        <x:v>1</x:v>
      </x:c>
      <x:c r="G92" s="4" t="str">
        <x:v>Compra</x:v>
      </x:c>
      <x:c r="H92" s="4" t="str">
        <x:v>M4x9,8.8; tornillo del puente cautivo; fijador desmontable</x:v>
      </x:c>
      <x:c r="I92" s="4" t="str">
        <x:v>Clase 10.9 / ISO 898-1</x:v>
      </x:c>
      <x:c r="J92" s="4" t="str">
        <x:v>Cantidades por conjunto; no sumar como total de máquina.</x:v>
      </x:c>
    </x:row>
    <x:row r="93" ht="30" customHeight="1">
      <x:c r="A93" s="5" t="str">
        <x:v>TT10_C05_PC_01</x:v>
      </x:c>
      <x:c r="B93" s="5" t="str">
        <x:v>Conjunto general y montaje</x:v>
      </x:c>
      <x:c r="C93" s="7" t="n">
        <x:v>90</x:v>
      </x:c>
      <x:c r="D93" s="5" t="str">
        <x:v>TT10_C05_B4_RETEN_1_0</x:v>
      </x:c>
      <x:c r="E93" s="7" t="n">
        <x:v>1</x:v>
      </x:c>
      <x:c r="F93" s="7" t="n">
        <x:v>1</x:v>
      </x:c>
      <x:c r="G93" s="5" t="str">
        <x:v>Compra</x:v>
      </x:c>
      <x:c r="H93" s="5" t="str">
        <x:v>M4x9,8.8; tornillo del puente cautivo; fijador desmontable</x:v>
      </x:c>
      <x:c r="I93" s="5" t="str">
        <x:v>Clase 10.9 / ISO 898-1</x:v>
      </x:c>
      <x:c r="J93" s="5" t="str">
        <x:v>Cantidades por conjunto; no sumar como total de máquina.</x:v>
      </x:c>
    </x:row>
    <x:row r="94" ht="30" customHeight="1">
      <x:c r="A94" s="4" t="str">
        <x:v>TT10_C05_PC_01</x:v>
      </x:c>
      <x:c r="B94" s="4" t="str">
        <x:v>Conjunto general y montaje</x:v>
      </x:c>
      <x:c r="C94" s="6" t="n">
        <x:v>91</x:v>
      </x:c>
      <x:c r="D94" s="4" t="str">
        <x:v>TT10_C05_B4_RETEN_1_1</x:v>
      </x:c>
      <x:c r="E94" s="6" t="n">
        <x:v>1</x:v>
      </x:c>
      <x:c r="F94" s="6" t="n">
        <x:v>1</x:v>
      </x:c>
      <x:c r="G94" s="4" t="str">
        <x:v>Compra</x:v>
      </x:c>
      <x:c r="H94" s="4" t="str">
        <x:v>M4x9,8.8; tornillo del puente cautivo; fijador desmontable</x:v>
      </x:c>
      <x:c r="I94" s="4" t="str">
        <x:v>Clase 10.9 / ISO 898-1</x:v>
      </x:c>
      <x:c r="J94" s="4" t="str">
        <x:v>Cantidades por conjunto; no sumar como total de máquina.</x:v>
      </x:c>
    </x:row>
    <x:row r="95" ht="30" customHeight="1">
      <x:c r="A95" s="5" t="str">
        <x:v>TT10_C05_PC_01</x:v>
      </x:c>
      <x:c r="B95" s="5" t="str">
        <x:v>Conjunto general y montaje</x:v>
      </x:c>
      <x:c r="C95" s="7" t="n">
        <x:v>92</x:v>
      </x:c>
      <x:c r="D95" s="5" t="str">
        <x:v>TT10_C05_BASE_FIJA_TENSOR</x:v>
      </x:c>
      <x:c r="E95" s="7" t="n">
        <x:v>1</x:v>
      </x:c>
      <x:c r="F95" s="7" t="n">
        <x:v>1</x:v>
      </x:c>
      <x:c r="G95" s="5" t="str">
        <x:v>Fabricación</x:v>
      </x:c>
      <x:c r="H95" s="5" t="str">
        <x:v>Base fija630x420x20; cuatro M20 roscados20;apriete100Nm;no son anclajes a losa</x:v>
      </x:c>
      <x:c r="I95" s="5" t="str">
        <x:v>ASTM A36</x:v>
      </x:c>
      <x:c r="J95" s="5" t="str">
        <x:v>Cantidades por conjunto; no sumar como total de máquina.</x:v>
      </x:c>
    </x:row>
    <x:row r="96" ht="30" customHeight="1">
      <x:c r="A96" s="4" t="str">
        <x:v>TT10_C05_PC_01</x:v>
      </x:c>
      <x:c r="B96" s="4" t="str">
        <x:v>Conjunto general y montaje</x:v>
      </x:c>
      <x:c r="C96" s="6" t="n">
        <x:v>93</x:v>
      </x:c>
      <x:c r="D96" s="4" t="str">
        <x:v>TT10_C05_BDNB_28_23</x:v>
      </x:c>
      <x:c r="E96" s="6" t="n">
        <x:v>1</x:v>
      </x:c>
      <x:c r="F96" s="6" t="n">
        <x:v>1</x:v>
      </x:c>
      <x:c r="G96" s="4" t="str">
        <x:v>Compra</x:v>
      </x:c>
      <x:c r="H96" s="4" t="str">
        <x:v>Warner BDNB 28.23Nm, brida lado entrada, exterior reconstruido según MCC-P-1310 03/25 p69; cotas nominales medias</x:v>
      </x:c>
      <x:c r="I96" s="4" t="str">
        <x:v>Equipo comprado</x:v>
      </x:c>
      <x:c r="J96" s="4" t="str">
        <x:v>Cantidades por conjunto; no sumar como total de máquina.</x:v>
      </x:c>
    </x:row>
    <x:row r="97" ht="30" customHeight="1">
      <x:c r="A97" s="5" t="str">
        <x:v>TT10_C05_PC_01</x:v>
      </x:c>
      <x:c r="B97" s="5" t="str">
        <x:v>Conjunto general y montaje</x:v>
      </x:c>
      <x:c r="C97" s="7" t="n">
        <x:v>94</x:v>
      </x:c>
      <x:c r="D97" s="5" t="str">
        <x:v>TT10_C05_BDNB_APOYO_0_INFERIOR</x:v>
      </x:c>
      <x:c r="E97" s="7" t="n">
        <x:v>1</x:v>
      </x:c>
      <x:c r="F97" s="7" t="n">
        <x:v>1</x:v>
      </x:c>
      <x:c r="G97" s="5" t="str">
        <x:v>Fabricación</x:v>
      </x:c>
      <x:c r="H97" s="5" t="str">
        <x:v>Apoyo partido6006, asientoH7, tapa2M6x60, roscasM6 cuerpo; soldaduraa4 base</x:v>
      </x:c>
      <x:c r="I97" s="5" t="str">
        <x:v>ASTM A36</x:v>
      </x:c>
      <x:c r="J97" s="5" t="str">
        <x:v>Cantidades por conjunto; no sumar como total de máquina.</x:v>
      </x:c>
    </x:row>
    <x:row r="98" ht="30" customHeight="1">
      <x:c r="A98" s="4" t="str">
        <x:v>TT10_C05_PC_01</x:v>
      </x:c>
      <x:c r="B98" s="4" t="str">
        <x:v>Conjunto general y montaje</x:v>
      </x:c>
      <x:c r="C98" s="6" t="n">
        <x:v>95</x:v>
      </x:c>
      <x:c r="D98" s="4" t="str">
        <x:v>TT10_C05_BDNB_APOYO_0_TAPA</x:v>
      </x:c>
      <x:c r="E98" s="6" t="n">
        <x:v>1</x:v>
      </x:c>
      <x:c r="F98" s="6" t="n">
        <x:v>1</x:v>
      </x:c>
      <x:c r="G98" s="4" t="str">
        <x:v>Fabricación</x:v>
      </x:c>
      <x:c r="H98" s="4" t="str">
        <x:v>Apoyo partido6006, asientoH7, tapa2M6x60, roscasM6 cuerpo; soldaduraa4 base</x:v>
      </x:c>
      <x:c r="I98" s="4" t="str">
        <x:v>ASTM A36</x:v>
      </x:c>
      <x:c r="J98" s="4" t="str">
        <x:v>Cantidades por conjunto; no sumar como total de máquina.</x:v>
      </x:c>
    </x:row>
    <x:row r="99" ht="30" customHeight="1">
      <x:c r="A99" s="5" t="str">
        <x:v>TT10_C05_PC_01</x:v>
      </x:c>
      <x:c r="B99" s="5" t="str">
        <x:v>Conjunto general y montaje</x:v>
      </x:c>
      <x:c r="C99" s="7" t="n">
        <x:v>96</x:v>
      </x:c>
      <x:c r="D99" s="5" t="str">
        <x:v>TT10_C05_BDNB_APOYO_1_INFERIOR</x:v>
      </x:c>
      <x:c r="E99" s="7" t="n">
        <x:v>1</x:v>
      </x:c>
      <x:c r="F99" s="7" t="n">
        <x:v>1</x:v>
      </x:c>
      <x:c r="G99" s="5" t="str">
        <x:v>Fabricación</x:v>
      </x:c>
      <x:c r="H99" s="5" t="str">
        <x:v>Apoyo partido6006, asientoH7, tapa2M6x60, roscasM6 cuerpo; soldaduraa4 base</x:v>
      </x:c>
      <x:c r="I99" s="5" t="str">
        <x:v>ASTM A36</x:v>
      </x:c>
      <x:c r="J99" s="5" t="str">
        <x:v>Cantidades por conjunto; no sumar como total de máquina.</x:v>
      </x:c>
    </x:row>
    <x:row r="100" ht="30" customHeight="1">
      <x:c r="A100" s="4" t="str">
        <x:v>TT10_C05_PC_01</x:v>
      </x:c>
      <x:c r="B100" s="4" t="str">
        <x:v>Conjunto general y montaje</x:v>
      </x:c>
      <x:c r="C100" s="6" t="n">
        <x:v>97</x:v>
      </x:c>
      <x:c r="D100" s="4" t="str">
        <x:v>TT10_C05_BDNB_APOYO_1_TAPA</x:v>
      </x:c>
      <x:c r="E100" s="6" t="n">
        <x:v>1</x:v>
      </x:c>
      <x:c r="F100" s="6" t="n">
        <x:v>1</x:v>
      </x:c>
      <x:c r="G100" s="4" t="str">
        <x:v>Fabricación</x:v>
      </x:c>
      <x:c r="H100" s="4" t="str">
        <x:v>Apoyo partido6006, asientoH7, tapa2M6x60, roscasM6 cuerpo; soldaduraa4 base</x:v>
      </x:c>
      <x:c r="I100" s="4" t="str">
        <x:v>ASTM A36</x:v>
      </x:c>
      <x:c r="J100" s="4" t="str">
        <x:v>Cantidades por conjunto; no sumar como total de máquina.</x:v>
      </x:c>
    </x:row>
    <x:row r="101" ht="30" customHeight="1">
      <x:c r="A101" s="5" t="str">
        <x:v>TT10_C05_PC_01</x:v>
      </x:c>
      <x:c r="B101" s="5" t="str">
        <x:v>Conjunto general y montaje</x:v>
      </x:c>
      <x:c r="C101" s="7" t="n">
        <x:v>98</x:v>
      </x:c>
      <x:c r="D101" s="5" t="str">
        <x:v>TT10_C05_BDNB_APOYO_2_INFERIOR</x:v>
      </x:c>
      <x:c r="E101" s="7" t="n">
        <x:v>1</x:v>
      </x:c>
      <x:c r="F101" s="7" t="n">
        <x:v>1</x:v>
      </x:c>
      <x:c r="G101" s="5" t="str">
        <x:v>Fabricación</x:v>
      </x:c>
      <x:c r="H101" s="5" t="str">
        <x:v>Apoyo partido6906, asientoH7, tapa2M6x60, roscasM6 cuerpo; soldaduraa4 base</x:v>
      </x:c>
      <x:c r="I101" s="5" t="str">
        <x:v>ASTM A36</x:v>
      </x:c>
      <x:c r="J101" s="5" t="str">
        <x:v>Cantidades por conjunto; no sumar como total de máquina.</x:v>
      </x:c>
    </x:row>
    <x:row r="102" ht="30" customHeight="1">
      <x:c r="A102" s="4" t="str">
        <x:v>TT10_C05_PC_01</x:v>
      </x:c>
      <x:c r="B102" s="4" t="str">
        <x:v>Conjunto general y montaje</x:v>
      </x:c>
      <x:c r="C102" s="6" t="n">
        <x:v>99</x:v>
      </x:c>
      <x:c r="D102" s="4" t="str">
        <x:v>TT10_C05_BDNB_APOYO_2_TAPA</x:v>
      </x:c>
      <x:c r="E102" s="6" t="n">
        <x:v>1</x:v>
      </x:c>
      <x:c r="F102" s="6" t="n">
        <x:v>1</x:v>
      </x:c>
      <x:c r="G102" s="4" t="str">
        <x:v>Fabricación</x:v>
      </x:c>
      <x:c r="H102" s="4" t="str">
        <x:v>Apoyo partido6906, asientoH7, tapa2M6x60, roscasM6 cuerpo; soldaduraa4 base</x:v>
      </x:c>
      <x:c r="I102" s="4" t="str">
        <x:v>ASTM A36</x:v>
      </x:c>
      <x:c r="J102" s="4" t="str">
        <x:v>Cantidades por conjunto; no sumar como total de máquina.</x:v>
      </x:c>
    </x:row>
    <x:row r="103" ht="30" customHeight="1">
      <x:c r="A103" s="5" t="str">
        <x:v>TT10_C05_PC_01</x:v>
      </x:c>
      <x:c r="B103" s="5" t="str">
        <x:v>Conjunto general y montaje</x:v>
      </x:c>
      <x:c r="C103" s="7" t="n">
        <x:v>100</x:v>
      </x:c>
      <x:c r="D103" s="5" t="str">
        <x:v>TT10_C05_BDNB_APOYO_3_INFERIOR</x:v>
      </x:c>
      <x:c r="E103" s="7" t="n">
        <x:v>1</x:v>
      </x:c>
      <x:c r="F103" s="7" t="n">
        <x:v>1</x:v>
      </x:c>
      <x:c r="G103" s="5" t="str">
        <x:v>Fabricación</x:v>
      </x:c>
      <x:c r="H103" s="5" t="str">
        <x:v>Apoyo partido6906, asientoH7, tapa2M6x60, roscasM6 cuerpo; soldaduraa4 base</x:v>
      </x:c>
      <x:c r="I103" s="5" t="str">
        <x:v>ASTM A36</x:v>
      </x:c>
      <x:c r="J103" s="5" t="str">
        <x:v>Cantidades por conjunto; no sumar como total de máquina.</x:v>
      </x:c>
    </x:row>
    <x:row r="104" ht="30" customHeight="1">
      <x:c r="A104" s="4" t="str">
        <x:v>TT10_C05_PC_01</x:v>
      </x:c>
      <x:c r="B104" s="4" t="str">
        <x:v>Conjunto general y montaje</x:v>
      </x:c>
      <x:c r="C104" s="6" t="n">
        <x:v>101</x:v>
      </x:c>
      <x:c r="D104" s="4" t="str">
        <x:v>TT10_C05_BDNB_APOYO_3_TAPA</x:v>
      </x:c>
      <x:c r="E104" s="6" t="n">
        <x:v>1</x:v>
      </x:c>
      <x:c r="F104" s="6" t="n">
        <x:v>1</x:v>
      </x:c>
      <x:c r="G104" s="4" t="str">
        <x:v>Fabricación</x:v>
      </x:c>
      <x:c r="H104" s="4" t="str">
        <x:v>Apoyo partido6906, asientoH7, tapa2M6x60, roscasM6 cuerpo; soldaduraa4 base</x:v>
      </x:c>
      <x:c r="I104" s="4" t="str">
        <x:v>ASTM A36</x:v>
      </x:c>
      <x:c r="J104" s="4" t="str">
        <x:v>Cantidades por conjunto; no sumar como total de máquina.</x:v>
      </x:c>
    </x:row>
    <x:row r="105" ht="30" customHeight="1">
      <x:c r="A105" s="5" t="str">
        <x:v>TT10_C05_PC_01</x:v>
      </x:c>
      <x:c r="B105" s="5" t="str">
        <x:v>Conjunto general y montaje</x:v>
      </x:c>
      <x:c r="C105" s="7" t="n">
        <x:v>102</x:v>
      </x:c>
      <x:c r="D105" s="5" t="str">
        <x:v>TT10_C05_BDNB_BASE</x:v>
      </x:c>
      <x:c r="E105" s="7" t="n">
        <x:v>1</x:v>
      </x:c>
      <x:c r="F105" s="7" t="n">
        <x:v>1</x:v>
      </x:c>
      <x:c r="G105" s="5" t="str">
        <x:v>Fabricación</x:v>
      </x:c>
      <x:c r="H105" s="5" t="str">
        <x:v>Base16 con ventana cadena,4pasos11;4M10x35 en placa existente roscadaM10</x:v>
      </x:c>
      <x:c r="I105" s="5" t="str">
        <x:v>ASTM A36</x:v>
      </x:c>
      <x:c r="J105" s="5" t="str">
        <x:v>Cantidades por conjunto; no sumar como total de máquina.</x:v>
      </x:c>
    </x:row>
    <x:row r="106" ht="30" customHeight="1">
      <x:c r="A106" s="4" t="str">
        <x:v>TT10_C05_PC_01</x:v>
      </x:c>
      <x:c r="B106" s="4" t="str">
        <x:v>Conjunto general y montaje</x:v>
      </x:c>
      <x:c r="C106" s="6" t="n">
        <x:v>103</x:v>
      </x:c>
      <x:c r="D106" s="4" t="str">
        <x:v>TT10_C05_BDNB_CHAVETA_ENTRADA</x:v>
      </x:c>
      <x:c r="E106" s="6" t="n">
        <x:v>1</x:v>
      </x:c>
      <x:c r="F106" s="6" t="n">
        <x:v>1</x:v>
      </x:c>
      <x:c r="G106" s="4" t="str">
        <x:v>Compra</x:v>
      </x:c>
      <x:c r="H106" s="4" t="str">
        <x:v>ChavetaDIN6885A8x7, longitud según código</x:v>
      </x:c>
      <x:c r="I106" s="4" t="str">
        <x:v>C45E</x:v>
      </x:c>
      <x:c r="J106" s="4" t="str">
        <x:v>Cantidades por conjunto; no sumar como total de máquina.</x:v>
      </x:c>
    </x:row>
    <x:row r="107" ht="30" customHeight="1">
      <x:c r="A107" s="5" t="str">
        <x:v>TT10_C05_PC_01</x:v>
      </x:c>
      <x:c r="B107" s="5" t="str">
        <x:v>Conjunto general y montaje</x:v>
      </x:c>
      <x:c r="C107" s="7" t="n">
        <x:v>104</x:v>
      </x:c>
      <x:c r="D107" s="5" t="str">
        <x:v>TT10_C05_BDNB_CHAVETA_SALIDA</x:v>
      </x:c>
      <x:c r="E107" s="7" t="n">
        <x:v>1</x:v>
      </x:c>
      <x:c r="F107" s="7" t="n">
        <x:v>1</x:v>
      </x:c>
      <x:c r="G107" s="5" t="str">
        <x:v>Compra</x:v>
      </x:c>
      <x:c r="H107" s="5" t="str">
        <x:v>ChavetaDIN6885A8x7, longitud según código</x:v>
      </x:c>
      <x:c r="I107" s="5" t="str">
        <x:v>C45E</x:v>
      </x:c>
      <x:c r="J107" s="5" t="str">
        <x:v>Cantidades por conjunto; no sumar como total de máquina.</x:v>
      </x:c>
    </x:row>
    <x:row r="108" ht="30" customHeight="1">
      <x:c r="A108" s="4" t="str">
        <x:v>TT10_C05_PC_01</x:v>
      </x:c>
      <x:c r="B108" s="4" t="str">
        <x:v>Conjunto general y montaje</x:v>
      </x:c>
      <x:c r="C108" s="6" t="n">
        <x:v>105</x:v>
      </x:c>
      <x:c r="D108" s="4" t="str">
        <x:v>TT10_C05_BDNB_CORONA_20D</x:v>
      </x:c>
      <x:c r="E108" s="6" t="n">
        <x:v>1</x:v>
      </x:c>
      <x:c r="F108" s="6" t="n">
        <x:v>1</x:v>
      </x:c>
      <x:c r="G108" s="4" t="str">
        <x:v>Compra</x:v>
      </x:c>
      <x:c r="H108" s="4" t="str">
        <x:v>Mädler10888120: interfaz modificada30H7/8JS9; dentado visual simplificado</x:v>
      </x:c>
      <x:c r="I108" s="4" t="str">
        <x:v>Equipo comprado</x:v>
      </x:c>
      <x:c r="J108" s="4" t="str">
        <x:v>Cantidades por conjunto; no sumar como total de máquina.</x:v>
      </x:c>
    </x:row>
    <x:row r="109" ht="30" customHeight="1">
      <x:c r="A109" s="5" t="str">
        <x:v>TT10_C05_PC_01</x:v>
      </x:c>
      <x:c r="B109" s="5" t="str">
        <x:v>Conjunto general y montaje</x:v>
      </x:c>
      <x:c r="C109" s="7" t="n">
        <x:v>106</x:v>
      </x:c>
      <x:c r="D109" s="5" t="str">
        <x:v>TT10_C05_BDNB_CUBO_SELECTOR</x:v>
      </x:c>
      <x:c r="E109" s="7" t="n">
        <x:v>1</x:v>
      </x:c>
      <x:c r="F109" s="7" t="n">
        <x:v>1</x:v>
      </x:c>
      <x:c r="G109" s="5" t="str">
        <x:v>Fabricación</x:v>
      </x:c>
      <x:c r="H109" s="5" t="str">
        <x:v>Cubo manual con corona integral z48,m2.5,20 grados; asiento47 y garras conservadas</x:v>
      </x:c>
      <x:c r="I109" s="5" t="str">
        <x:v>AISI 4140 bonificado</x:v>
      </x:c>
      <x:c r="J109" s="5" t="str">
        <x:v>Cantidades por conjunto; no sumar como total de máquina.</x:v>
      </x:c>
    </x:row>
    <x:row r="110" ht="30" customHeight="1">
      <x:c r="A110" s="4" t="str">
        <x:v>TT10_C05_PC_01</x:v>
      </x:c>
      <x:c r="B110" s="4" t="str">
        <x:v>Conjunto general y montaje</x:v>
      </x:c>
      <x:c r="C110" s="6" t="n">
        <x:v>107</x:v>
      </x:c>
      <x:c r="D110" s="4" t="str">
        <x:v>TT10_C05_BDNB_EJE_ENTRADA</x:v>
      </x:c>
      <x:c r="E110" s="6" t="n">
        <x:v>1</x:v>
      </x:c>
      <x:c r="F110" s="6" t="n">
        <x:v>1</x:v>
      </x:c>
      <x:c r="G110" s="4" t="str">
        <x:v>Fabricación</x:v>
      </x:c>
      <x:c r="H110" s="4" t="str">
        <x:v>Eje30h6; socket12.73; chaveta8x7; taladro transversal4.825</x:v>
      </x:c>
      <x:c r="I110" s="4" t="str">
        <x:v>AISI 4140 bonificado</x:v>
      </x:c>
      <x:c r="J110" s="4" t="str">
        <x:v>Cantidades por conjunto; no sumar como total de máquina.</x:v>
      </x:c>
    </x:row>
    <x:row r="111" ht="30" customHeight="1">
      <x:c r="A111" s="5" t="str">
        <x:v>TT10_C05_PC_01</x:v>
      </x:c>
      <x:c r="B111" s="5" t="str">
        <x:v>Conjunto general y montaje</x:v>
      </x:c>
      <x:c r="C111" s="7" t="n">
        <x:v>108</x:v>
      </x:c>
      <x:c r="D111" s="5" t="str">
        <x:v>TT10_C05_BDNB_EJE_SALIDA</x:v>
      </x:c>
      <x:c r="E111" s="7" t="n">
        <x:v>1</x:v>
      </x:c>
      <x:c r="F111" s="7" t="n">
        <x:v>1</x:v>
      </x:c>
      <x:c r="G111" s="5" t="str">
        <x:v>Fabricación</x:v>
      </x:c>
      <x:c r="H111" s="5" t="str">
        <x:v>Eje30h6, espiga12.70; dos6906; chaveta8x7; unión positiva3/16</x:v>
      </x:c>
      <x:c r="I111" s="5" t="str">
        <x:v>AISI 4140 bonificado</x:v>
      </x:c>
      <x:c r="J111" s="5" t="str">
        <x:v>Cantidades por conjunto; no sumar como total de máquina.</x:v>
      </x:c>
    </x:row>
    <x:row r="112" ht="30" customHeight="1">
      <x:c r="A112" s="4" t="str">
        <x:v>TT10_C05_PC_01</x:v>
      </x:c>
      <x:c r="B112" s="4" t="str">
        <x:v>Conjunto general y montaje</x:v>
      </x:c>
      <x:c r="C112" s="6" t="n">
        <x:v>109</x:v>
      </x:c>
      <x:c r="D112" s="4" t="str">
        <x:v>TT10_C05_BDNB_ENGRANAJE</x:v>
      </x:c>
      <x:c r="E112" s="6" t="n">
        <x:v>1</x:v>
      </x:c>
      <x:c r="F112" s="6" t="n">
        <x:v>1</x:v>
      </x:c>
      <x:c r="G112" s="4" t="str">
        <x:v>Fabricación</x:v>
      </x:c>
      <x:c r="H112" s="4" t="str">
        <x:v>Engranaje48d,m2.5,20grados,b20;30H7,8JS9</x:v>
      </x:c>
      <x:c r="I112" s="4" t="str">
        <x:v>AISI 4140 bonificado</x:v>
      </x:c>
      <x:c r="J112" s="4" t="str">
        <x:v>Cantidades por conjunto; no sumar como total de máquina.</x:v>
      </x:c>
    </x:row>
    <x:row r="113" ht="30" customHeight="1">
      <x:c r="A113" s="5" t="str">
        <x:v>TT10_C05_PC_01</x:v>
      </x:c>
      <x:c r="B113" s="5" t="str">
        <x:v>Conjunto general y montaje</x:v>
      </x:c>
      <x:c r="C113" s="7" t="n">
        <x:v>110</x:v>
      </x:c>
      <x:c r="D113" s="5" t="str">
        <x:v>TT10_C05_BDNB_M10</x:v>
      </x:c>
      <x:c r="E113" s="7" t="n">
        <x:v>4</x:v>
      </x:c>
      <x:c r="F113" s="7" t="n">
        <x:v>4</x:v>
      </x:c>
      <x:c r="G113" s="5" t="str">
        <x:v>Compra</x:v>
      </x:c>
      <x:c r="H113" s="5" t="str">
        <x:v>TornilloISO4017 M10x35-8.8; rosca nominal</x:v>
      </x:c>
      <x:c r="I113" s="5" t="str">
        <x:v>Clase 8.8 / ISO 898-1</x:v>
      </x:c>
      <x:c r="J113" s="5" t="str">
        <x:v>Cantidades por conjunto; no sumar como total de máquina.</x:v>
      </x:c>
    </x:row>
    <x:row r="114" ht="30" customHeight="1">
      <x:c r="A114" s="4" t="str">
        <x:v>TT10_C05_PC_01</x:v>
      </x:c>
      <x:c r="B114" s="4" t="str">
        <x:v>Conjunto general y montaje</x:v>
      </x:c>
      <x:c r="C114" s="6" t="n">
        <x:v>111</x:v>
      </x:c>
      <x:c r="D114" s="4" t="str">
        <x:v>TT10_C05_BDNB_M5</x:v>
      </x:c>
      <x:c r="E114" s="6" t="n">
        <x:v>4</x:v>
      </x:c>
      <x:c r="F114" s="6" t="n">
        <x:v>4</x:v>
      </x:c>
      <x:c r="G114" s="4" t="str">
        <x:v>Compra</x:v>
      </x:c>
      <x:c r="H114" s="4" t="str">
        <x:v>ISO4017 M5x20-8.8, rosca nominal</x:v>
      </x:c>
      <x:c r="I114" s="4" t="str">
        <x:v>Clase 8.8 / ISO 898-1</x:v>
      </x:c>
      <x:c r="J114" s="4" t="str">
        <x:v>Cantidades por conjunto; no sumar como total de máquina.</x:v>
      </x:c>
    </x:row>
    <x:row r="115" ht="30" customHeight="1">
      <x:c r="A115" s="5" t="str">
        <x:v>TT10_C05_PC_01</x:v>
      </x:c>
      <x:c r="B115" s="5" t="str">
        <x:v>Conjunto general y montaje</x:v>
      </x:c>
      <x:c r="C115" s="7" t="n">
        <x:v>112</x:v>
      </x:c>
      <x:c r="D115" s="5" t="str">
        <x:v>TT10_C05_BDNB_M6</x:v>
      </x:c>
      <x:c r="E115" s="7" t="n">
        <x:v>8</x:v>
      </x:c>
      <x:c r="F115" s="7" t="n">
        <x:v>8</x:v>
      </x:c>
      <x:c r="G115" s="5" t="str">
        <x:v>Compra</x:v>
      </x:c>
      <x:c r="H115" s="5" t="str">
        <x:v>TornilloISO4017 M6x60-8.8; rosca nominal</x:v>
      </x:c>
      <x:c r="I115" s="5" t="str">
        <x:v>Clase 8.8 / ISO 898-1</x:v>
      </x:c>
      <x:c r="J115" s="5" t="str">
        <x:v>Cantidades por conjunto; no sumar como total de máquina.</x:v>
      </x:c>
    </x:row>
    <x:row r="116" ht="30" customHeight="1">
      <x:c r="A116" s="4" t="str">
        <x:v>TT10_C05_PC_01</x:v>
      </x:c>
      <x:c r="B116" s="4" t="str">
        <x:v>Conjunto general y montaje</x:v>
      </x:c>
      <x:c r="C116" s="6" t="n">
        <x:v>113</x:v>
      </x:c>
      <x:c r="D116" s="4" t="str">
        <x:v>TT10_C05_BDNB_N3_ENTRADA</x:v>
      </x:c>
      <x:c r="E116" s="6" t="n">
        <x:v>1</x:v>
      </x:c>
      <x:c r="F116" s="6" t="n">
        <x:v>1</x:v>
      </x:c>
      <x:c r="G116" s="4" t="str">
        <x:v>Compra</x:v>
      </x:c>
      <x:c r="H116" s="4" t="str">
        <x:v>TuercaISO7042 M3 autoblocante metálica, rosca nominal</x:v>
      </x:c>
      <x:c r="I116" s="4" t="str">
        <x:v>Tuerca clase 8 / ISO 898-2</x:v>
      </x:c>
      <x:c r="J116" s="4" t="str">
        <x:v>Cantidades por conjunto; no sumar como total de máquina.</x:v>
      </x:c>
    </x:row>
    <x:row r="117" ht="30" customHeight="1">
      <x:c r="A117" s="5" t="str">
        <x:v>TT10_C05_PC_01</x:v>
      </x:c>
      <x:c r="B117" s="5" t="str">
        <x:v>Conjunto general y montaje</x:v>
      </x:c>
      <x:c r="C117" s="7" t="n">
        <x:v>114</x:v>
      </x:c>
      <x:c r="D117" s="5" t="str">
        <x:v>TT10_C05_BDNB_N3_SALIDA</x:v>
      </x:c>
      <x:c r="E117" s="7" t="n">
        <x:v>1</x:v>
      </x:c>
      <x:c r="F117" s="7" t="n">
        <x:v>1</x:v>
      </x:c>
      <x:c r="G117" s="5" t="str">
        <x:v>Compra</x:v>
      </x:c>
      <x:c r="H117" s="5" t="str">
        <x:v>TuercaISO7042 M3 autoblocante metálica, rosca nominal</x:v>
      </x:c>
      <x:c r="I117" s="5" t="str">
        <x:v>Tuerca clase 8 / ISO 898-2</x:v>
      </x:c>
      <x:c r="J117" s="5" t="str">
        <x:v>Cantidades por conjunto; no sumar como total de máquina.</x:v>
      </x:c>
    </x:row>
    <x:row r="118" ht="30" customHeight="1">
      <x:c r="A118" s="4" t="str">
        <x:v>TT10_C05_PC_01</x:v>
      </x:c>
      <x:c r="B118" s="4" t="str">
        <x:v>Conjunto general y montaje</x:v>
      </x:c>
      <x:c r="C118" s="6" t="n">
        <x:v>115</x:v>
      </x:c>
      <x:c r="D118" s="4" t="str">
        <x:v>TT10_C05_BDNB_N5</x:v>
      </x:c>
      <x:c r="E118" s="6" t="n">
        <x:v>4</x:v>
      </x:c>
      <x:c r="F118" s="6" t="n">
        <x:v>4</x:v>
      </x:c>
      <x:c r="G118" s="4" t="str">
        <x:v>Compra</x:v>
      </x:c>
      <x:c r="H118" s="4" t="str">
        <x:v>TuercaISO4032 M5-8; rosca nominal</x:v>
      </x:c>
      <x:c r="I118" s="4" t="str">
        <x:v>Tuerca clase 8 / ISO 898-2</x:v>
      </x:c>
      <x:c r="J118" s="4" t="str">
        <x:v>Cantidades por conjunto; no sumar como total de máquina.</x:v>
      </x:c>
    </x:row>
    <x:row r="119" ht="30" customHeight="1">
      <x:c r="A119" s="5" t="str">
        <x:v>TT10_C05_PC_01</x:v>
      </x:c>
      <x:c r="B119" s="5" t="str">
        <x:v>Conjunto general y montaje</x:v>
      </x:c>
      <x:c r="C119" s="7" t="n">
        <x:v>116</x:v>
      </x:c>
      <x:c r="D119" s="5" t="str">
        <x:v>TT10_C05_BDNB_PASADOR_ENTRADA</x:v>
      </x:c>
      <x:c r="E119" s="7" t="n">
        <x:v>1</x:v>
      </x:c>
      <x:c r="F119" s="7" t="n">
        <x:v>1</x:v>
      </x:c>
      <x:c r="G119" s="5" t="str">
        <x:v>Fabricación</x:v>
      </x:c>
      <x:c r="H119" s="5" t="str">
        <x:v>Pasador transversal3/16, cabeza7, puntaM3x5; C45E bonificado, Rp0.2 minimo650MPa</x:v>
      </x:c>
      <x:c r="I119" s="5" t="str">
        <x:v>C45E / EN 10083-2</x:v>
      </x:c>
      <x:c r="J119" s="5" t="str">
        <x:v>Cantidades por conjunto; no sumar como total de máquina.</x:v>
      </x:c>
    </x:row>
    <x:row r="120" ht="30" customHeight="1">
      <x:c r="A120" s="4" t="str">
        <x:v>TT10_C05_PC_01</x:v>
      </x:c>
      <x:c r="B120" s="4" t="str">
        <x:v>Conjunto general y montaje</x:v>
      </x:c>
      <x:c r="C120" s="6" t="n">
        <x:v>117</x:v>
      </x:c>
      <x:c r="D120" s="4" t="str">
        <x:v>TT10_C05_BDNB_PASADOR_SALIDA</x:v>
      </x:c>
      <x:c r="E120" s="6" t="n">
        <x:v>1</x:v>
      </x:c>
      <x:c r="F120" s="6" t="n">
        <x:v>1</x:v>
      </x:c>
      <x:c r="G120" s="4" t="str">
        <x:v>Fabricación</x:v>
      </x:c>
      <x:c r="H120" s="4" t="str">
        <x:v>Pasador transversal3/16, cabeza7, puntaM3x5; C45E bonificado, Rp0.2 minimo650MPa</x:v>
      </x:c>
      <x:c r="I120" s="4" t="str">
        <x:v>C45E / EN 10083-2</x:v>
      </x:c>
      <x:c r="J120" s="4" t="str">
        <x:v>Cantidades por conjunto; no sumar como total de máquina.</x:v>
      </x:c>
    </x:row>
    <x:row r="121" ht="30" customHeight="1">
      <x:c r="A121" s="5" t="str">
        <x:v>TT10_C05_PC_01</x:v>
      </x:c>
      <x:c r="B121" s="5" t="str">
        <x:v>Conjunto general y montaje</x:v>
      </x:c>
      <x:c r="C121" s="7" t="n">
        <x:v>118</x:v>
      </x:c>
      <x:c r="D121" s="5" t="str">
        <x:v>TT10_C05_BDNB_PLACA_REACCION</x:v>
      </x:c>
      <x:c r="E121" s="7" t="n">
        <x:v>1</x:v>
      </x:c>
      <x:c r="F121" s="7" t="n">
        <x:v>1</x:v>
      </x:c>
      <x:c r="G121" s="5" t="str">
        <x:v>Fabricación</x:v>
      </x:c>
      <x:c r="H121" s="5" t="str">
        <x:v>Reacción BDNB8mm,4Ø5.5PCD53.85; soldaduraa4 ambos lados a base</x:v>
      </x:c>
      <x:c r="I121" s="5" t="str">
        <x:v>ASTM A36</x:v>
      </x:c>
      <x:c r="J121" s="5" t="str">
        <x:v>Cantidades por conjunto; no sumar como total de máquina.</x:v>
      </x:c>
    </x:row>
    <x:row r="122" ht="30" customHeight="1">
      <x:c r="A122" s="4" t="str">
        <x:v>TT10_C05_PC_01</x:v>
      </x:c>
      <x:c r="B122" s="4" t="str">
        <x:v>Conjunto general y montaje</x:v>
      </x:c>
      <x:c r="C122" s="6" t="n">
        <x:v>119</x:v>
      </x:c>
      <x:c r="D122" s="4" t="str">
        <x:v>TT10_C05_BDNB_RODAMIENTO_0</x:v>
      </x:c>
      <x:c r="E122" s="6" t="n">
        <x:v>1</x:v>
      </x:c>
      <x:c r="F122" s="6" t="n">
        <x:v>1</x:v>
      </x:c>
      <x:c r="G122" s="4" t="str">
        <x:v>Compra</x:v>
      </x:c>
      <x:c r="H122" s="4" t="str">
        <x:v>RodamientoSKF6006; envolvente de montaje; selección de vida separada</x:v>
      </x:c>
      <x:c r="I122" s="4" t="str">
        <x:v>Equipo comprado</x:v>
      </x:c>
      <x:c r="J122" s="4" t="str">
        <x:v>Cantidades por conjunto; no sumar como total de máquina.</x:v>
      </x:c>
    </x:row>
    <x:row r="123" ht="30" customHeight="1">
      <x:c r="A123" s="5" t="str">
        <x:v>TT10_C05_PC_01</x:v>
      </x:c>
      <x:c r="B123" s="5" t="str">
        <x:v>Conjunto general y montaje</x:v>
      </x:c>
      <x:c r="C123" s="7" t="n">
        <x:v>120</x:v>
      </x:c>
      <x:c r="D123" s="5" t="str">
        <x:v>TT10_C05_BDNB_RODAMIENTO_1</x:v>
      </x:c>
      <x:c r="E123" s="7" t="n">
        <x:v>1</x:v>
      </x:c>
      <x:c r="F123" s="7" t="n">
        <x:v>1</x:v>
      </x:c>
      <x:c r="G123" s="5" t="str">
        <x:v>Compra</x:v>
      </x:c>
      <x:c r="H123" s="5" t="str">
        <x:v>RodamientoSKF6006; envolvente de montaje; selección de vida separada</x:v>
      </x:c>
      <x:c r="I123" s="5" t="str">
        <x:v>Equipo comprado</x:v>
      </x:c>
      <x:c r="J123" s="5" t="str">
        <x:v>Cantidades por conjunto; no sumar como total de máquina.</x:v>
      </x:c>
    </x:row>
    <x:row r="124" ht="30" customHeight="1">
      <x:c r="A124" s="4" t="str">
        <x:v>TT10_C05_PC_01</x:v>
      </x:c>
      <x:c r="B124" s="4" t="str">
        <x:v>Conjunto general y montaje</x:v>
      </x:c>
      <x:c r="C124" s="6" t="n">
        <x:v>121</x:v>
      </x:c>
      <x:c r="D124" s="4" t="str">
        <x:v>TT10_C05_BDNB_RODAMIENTO_2</x:v>
      </x:c>
      <x:c r="E124" s="6" t="n">
        <x:v>1</x:v>
      </x:c>
      <x:c r="F124" s="6" t="n">
        <x:v>1</x:v>
      </x:c>
      <x:c r="G124" s="4" t="str">
        <x:v>Compra</x:v>
      </x:c>
      <x:c r="H124" s="4" t="str">
        <x:v>RodamientoSKF6906; envolvente de montaje; selección de vida separada</x:v>
      </x:c>
      <x:c r="I124" s="4" t="str">
        <x:v>Equipo comprado</x:v>
      </x:c>
      <x:c r="J124" s="4" t="str">
        <x:v>Cantidades por conjunto; no sumar como total de máquina.</x:v>
      </x:c>
    </x:row>
    <x:row r="125" ht="30" customHeight="1">
      <x:c r="A125" s="5" t="str">
        <x:v>TT10_C05_PC_01</x:v>
      </x:c>
      <x:c r="B125" s="5" t="str">
        <x:v>Conjunto general y montaje</x:v>
      </x:c>
      <x:c r="C125" s="7" t="n">
        <x:v>122</x:v>
      </x:c>
      <x:c r="D125" s="5" t="str">
        <x:v>TT10_C05_BDNB_RODAMIENTO_3</x:v>
      </x:c>
      <x:c r="E125" s="7" t="n">
        <x:v>1</x:v>
      </x:c>
      <x:c r="F125" s="7" t="n">
        <x:v>1</x:v>
      </x:c>
      <x:c r="G125" s="5" t="str">
        <x:v>Compra</x:v>
      </x:c>
      <x:c r="H125" s="5" t="str">
        <x:v>RodamientoSKF6906; envolvente de montaje; selección de vida separada</x:v>
      </x:c>
      <x:c r="I125" s="5" t="str">
        <x:v>Equipo comprado</x:v>
      </x:c>
      <x:c r="J125" s="5" t="str">
        <x:v>Cantidades por conjunto; no sumar como total de máquina.</x:v>
      </x:c>
    </x:row>
    <x:row r="126" ht="30" customHeight="1">
      <x:c r="A126" s="4" t="str">
        <x:v>TT10_C05_PC_01</x:v>
      </x:c>
      <x:c r="B126" s="4" t="str">
        <x:v>Conjunto general y montaje</x:v>
      </x:c>
      <x:c r="C126" s="6" t="n">
        <x:v>123</x:v>
      </x:c>
      <x:c r="D126" s="4" t="str">
        <x:v>TT10_C05_BDNB_W10</x:v>
      </x:c>
      <x:c r="E126" s="6" t="n">
        <x:v>4</x:v>
      </x:c>
      <x:c r="F126" s="6" t="n">
        <x:v>4</x:v>
      </x:c>
      <x:c r="G126" s="4" t="str">
        <x:v>Compra</x:v>
      </x:c>
      <x:c r="H126" s="4" t="str">
        <x:v>ArandelaISO7089 M10</x:v>
      </x:c>
      <x:c r="I126" s="4" t="str">
        <x:v>Arandela endurecida 300 HV / ISO 7089</x:v>
      </x:c>
      <x:c r="J126" s="4" t="str">
        <x:v>Cantidades por conjunto; no sumar como total de máquina.</x:v>
      </x:c>
    </x:row>
    <x:row r="127" ht="30" customHeight="1">
      <x:c r="A127" s="5" t="str">
        <x:v>TT10_C05_PC_01</x:v>
      </x:c>
      <x:c r="B127" s="5" t="str">
        <x:v>Conjunto general y montaje</x:v>
      </x:c>
      <x:c r="C127" s="7" t="n">
        <x:v>124</x:v>
      </x:c>
      <x:c r="D127" s="5" t="str">
        <x:v>TT10_C05_BDNB_W5</x:v>
      </x:c>
      <x:c r="E127" s="7" t="n">
        <x:v>4</x:v>
      </x:c>
      <x:c r="F127" s="7" t="n">
        <x:v>4</x:v>
      </x:c>
      <x:c r="G127" s="5" t="str">
        <x:v>Compra</x:v>
      </x:c>
      <x:c r="H127" s="5" t="str">
        <x:v>ArandelaDIN433 M5,9x5.3x1</x:v>
      </x:c>
      <x:c r="I127" s="5" t="str">
        <x:v>Arandela endurecida 300 HV / ISO 7089</x:v>
      </x:c>
      <x:c r="J127" s="5" t="str">
        <x:v>Cantidades por conjunto; no sumar como total de máquina.</x:v>
      </x:c>
    </x:row>
    <x:row r="128" ht="30" customHeight="1">
      <x:c r="A128" s="4" t="str">
        <x:v>TT10_C05_PC_01</x:v>
      </x:c>
      <x:c r="B128" s="4" t="str">
        <x:v>Conjunto general y montaje</x:v>
      </x:c>
      <x:c r="C128" s="6" t="n">
        <x:v>125</x:v>
      </x:c>
      <x:c r="D128" s="4" t="str">
        <x:v>TT10_C05_BDNB_W6</x:v>
      </x:c>
      <x:c r="E128" s="6" t="n">
        <x:v>8</x:v>
      </x:c>
      <x:c r="F128" s="6" t="n">
        <x:v>8</x:v>
      </x:c>
      <x:c r="G128" s="4" t="str">
        <x:v>Compra</x:v>
      </x:c>
      <x:c r="H128" s="4" t="str">
        <x:v>ArandelaISO7089 M6</x:v>
      </x:c>
      <x:c r="I128" s="4" t="str">
        <x:v>Arandela endurecida 300 HV / ISO 7089</x:v>
      </x:c>
      <x:c r="J128" s="4" t="str">
        <x:v>Cantidades por conjunto; no sumar como total de máquina.</x:v>
      </x:c>
    </x:row>
    <x:row r="129" ht="30" customHeight="1">
      <x:c r="A129" s="5" t="str">
        <x:v>TT10_C05_PC_01</x:v>
      </x:c>
      <x:c r="B129" s="5" t="str">
        <x:v>Conjunto general y montaje</x:v>
      </x:c>
      <x:c r="C129" s="7" t="n">
        <x:v>126</x:v>
      </x:c>
      <x:c r="D129" s="5" t="str">
        <x:v>TT10_C05_BLOQUE_SELECTOR</x:v>
      </x:c>
      <x:c r="E129" s="7" t="n">
        <x:v>1</x:v>
      </x:c>
      <x:c r="F129" s="7" t="n">
        <x:v>1</x:v>
      </x:c>
      <x:c r="G129" s="5" t="str">
        <x:v>Fabricación</x:v>
      </x:c>
      <x:c r="H129" s="5" t="str">
        <x:v>BloqueC03 conservado con4M4laterales para retencion cautiva</x:v>
      </x:c>
      <x:c r="I129" s="5" t="str">
        <x:v>ASTM A36</x:v>
      </x:c>
      <x:c r="J129" s="5" t="str">
        <x:v>Cantidades por conjunto; no sumar como total de máquina.</x:v>
      </x:c>
    </x:row>
    <x:row r="130" ht="30" customHeight="1">
      <x:c r="A130" s="4" t="str">
        <x:v>TT10_C05_PC_01</x:v>
      </x:c>
      <x:c r="B130" s="4" t="str">
        <x:v>Conjunto general y montaje</x:v>
      </x:c>
      <x:c r="C130" s="6" t="n">
        <x:v>127</x:v>
      </x:c>
      <x:c r="D130" s="4" t="str">
        <x:v>TT10_C05_CORREDERA_TENSOR</x:v>
      </x:c>
      <x:c r="E130" s="6" t="n">
        <x:v>1</x:v>
      </x:c>
      <x:c r="F130" s="6" t="n">
        <x:v>1</x:v>
      </x:c>
      <x:c r="G130" s="4" t="str">
        <x:v>Fabricación</x:v>
      </x:c>
      <x:c r="H130" s="4" t="str">
        <x:v>Corredera comun590x320x20;4ranuras22x62; carrera Y+/-20mm; ambos postes solidarios</x:v>
      </x:c>
      <x:c r="I130" s="4" t="str">
        <x:v>ASTM A36</x:v>
      </x:c>
      <x:c r="J130" s="4" t="str">
        <x:v>Cantidades por conjunto; no sumar como total de máquina.</x:v>
      </x:c>
    </x:row>
    <x:row r="131" ht="30" customHeight="1">
      <x:c r="A131" s="5" t="str">
        <x:v>TT10_C05_PC_01</x:v>
      </x:c>
      <x:c r="B131" s="5" t="str">
        <x:v>Conjunto general y montaje</x:v>
      </x:c>
      <x:c r="C131" s="7" t="n">
        <x:v>128</x:v>
      </x:c>
      <x:c r="D131" s="5" t="str">
        <x:v>TT10_C05_GUIA_TENSOR_0</x:v>
      </x:c>
      <x:c r="E131" s="7" t="n">
        <x:v>1</x:v>
      </x:c>
      <x:c r="F131" s="7" t="n">
        <x:v>1</x:v>
      </x:c>
      <x:c r="G131" s="5" t="str">
        <x:v>Fabricación</x:v>
      </x:c>
      <x:c r="H131" s="5" t="str">
        <x:v>Guia lateral mecanizada;holgura transversal total0.3..0.5mm; soldar a base fija y mecanizar despues</x:v>
      </x:c>
      <x:c r="I131" s="5" t="str">
        <x:v>ASTM A36</x:v>
      </x:c>
      <x:c r="J131" s="5" t="str">
        <x:v>Cantidades por conjunto; no sumar como total de máquina.</x:v>
      </x:c>
    </x:row>
    <x:row r="132" ht="30" customHeight="1">
      <x:c r="A132" s="4" t="str">
        <x:v>TT10_C05_PC_01</x:v>
      </x:c>
      <x:c r="B132" s="4" t="str">
        <x:v>Conjunto general y montaje</x:v>
      </x:c>
      <x:c r="C132" s="6" t="n">
        <x:v>129</x:v>
      </x:c>
      <x:c r="D132" s="4" t="str">
        <x:v>TT10_C05_GUIA_TENSOR_1</x:v>
      </x:c>
      <x:c r="E132" s="6" t="n">
        <x:v>1</x:v>
      </x:c>
      <x:c r="F132" s="6" t="n">
        <x:v>1</x:v>
      </x:c>
      <x:c r="G132" s="4" t="str">
        <x:v>Fabricación</x:v>
      </x:c>
      <x:c r="H132" s="4" t="str">
        <x:v>Guia lateral mecanizada;holgura transversal total0.3..0.5mm; soldar a base fija y mecanizar despues</x:v>
      </x:c>
      <x:c r="I132" s="4" t="str">
        <x:v>ASTM A36</x:v>
      </x:c>
      <x:c r="J132" s="4" t="str">
        <x:v>Cantidades por conjunto; no sumar como total de máquina.</x:v>
      </x:c>
    </x:row>
    <x:row r="133" ht="30" customHeight="1">
      <x:c r="A133" s="5" t="str">
        <x:v>TT10_C05_PC_01</x:v>
      </x:c>
      <x:c r="B133" s="5" t="str">
        <x:v>Conjunto general y montaje</x:v>
      </x:c>
      <x:c r="C133" s="7" t="n">
        <x:v>130</x:v>
      </x:c>
      <x:c r="D133" s="5" t="str">
        <x:v>TT10_C05_JACK_M16_0_0</x:v>
      </x:c>
      <x:c r="E133" s="7" t="n">
        <x:v>1</x:v>
      </x:c>
      <x:c r="F133" s="7" t="n">
        <x:v>1</x:v>
      </x:c>
      <x:c r="G133" s="5" t="str">
        <x:v>Compra</x:v>
      </x:c>
      <x:c r="H133" s="5" t="str">
        <x:v>M16x80,8.8 de regulacion; rosca total; punta plana; bloquear con contratuerca</x:v>
      </x:c>
      <x:c r="I133" s="5" t="str">
        <x:v>8.8</x:v>
      </x:c>
      <x:c r="J133" s="5" t="str">
        <x:v>Cantidades por conjunto; no sumar como total de máquina.</x:v>
      </x:c>
    </x:row>
    <x:row r="134" ht="30" customHeight="1">
      <x:c r="A134" s="4" t="str">
        <x:v>TT10_C05_PC_01</x:v>
      </x:c>
      <x:c r="B134" s="4" t="str">
        <x:v>Conjunto general y montaje</x:v>
      </x:c>
      <x:c r="C134" s="6" t="n">
        <x:v>131</x:v>
      </x:c>
      <x:c r="D134" s="4" t="str">
        <x:v>TT10_C05_JACK_M16_0_1</x:v>
      </x:c>
      <x:c r="E134" s="6" t="n">
        <x:v>1</x:v>
      </x:c>
      <x:c r="F134" s="6" t="n">
        <x:v>1</x:v>
      </x:c>
      <x:c r="G134" s="4" t="str">
        <x:v>Compra</x:v>
      </x:c>
      <x:c r="H134" s="4" t="str">
        <x:v>M16x80,8.8 de regulacion; rosca total; punta plana; bloquear con contratuerca</x:v>
      </x:c>
      <x:c r="I134" s="4" t="str">
        <x:v>8.8</x:v>
      </x:c>
      <x:c r="J134" s="4" t="str">
        <x:v>Cantidades por conjunto; no sumar como total de máquina.</x:v>
      </x:c>
    </x:row>
    <x:row r="135" ht="30" customHeight="1">
      <x:c r="A135" s="5" t="str">
        <x:v>TT10_C05_PC_01</x:v>
      </x:c>
      <x:c r="B135" s="5" t="str">
        <x:v>Conjunto general y montaje</x:v>
      </x:c>
      <x:c r="C135" s="7" t="n">
        <x:v>132</x:v>
      </x:c>
      <x:c r="D135" s="5" t="str">
        <x:v>TT10_C05_JACK_M16_1_0</x:v>
      </x:c>
      <x:c r="E135" s="7" t="n">
        <x:v>1</x:v>
      </x:c>
      <x:c r="F135" s="7" t="n">
        <x:v>1</x:v>
      </x:c>
      <x:c r="G135" s="5" t="str">
        <x:v>Compra</x:v>
      </x:c>
      <x:c r="H135" s="5" t="str">
        <x:v>M16x80,8.8 de regulacion; rosca total; punta plana; bloquear con contratuerca</x:v>
      </x:c>
      <x:c r="I135" s="5" t="str">
        <x:v>8.8</x:v>
      </x:c>
      <x:c r="J135" s="5" t="str">
        <x:v>Cantidades por conjunto; no sumar como total de máquina.</x:v>
      </x:c>
    </x:row>
    <x:row r="136" ht="30" customHeight="1">
      <x:c r="A136" s="4" t="str">
        <x:v>TT10_C05_PC_01</x:v>
      </x:c>
      <x:c r="B136" s="4" t="str">
        <x:v>Conjunto general y montaje</x:v>
      </x:c>
      <x:c r="C136" s="6" t="n">
        <x:v>133</x:v>
      </x:c>
      <x:c r="D136" s="4" t="str">
        <x:v>TT10_C05_JACK_M16_1_1</x:v>
      </x:c>
      <x:c r="E136" s="6" t="n">
        <x:v>1</x:v>
      </x:c>
      <x:c r="F136" s="6" t="n">
        <x:v>1</x:v>
      </x:c>
      <x:c r="G136" s="4" t="str">
        <x:v>Compra</x:v>
      </x:c>
      <x:c r="H136" s="4" t="str">
        <x:v>M16x80,8.8 de regulacion; rosca total; punta plana; bloquear con contratuerca</x:v>
      </x:c>
      <x:c r="I136" s="4" t="str">
        <x:v>8.8</x:v>
      </x:c>
      <x:c r="J136" s="4" t="str">
        <x:v>Cantidades por conjunto; no sumar como total de máquina.</x:v>
      </x:c>
    </x:row>
    <x:row r="137" ht="30" customHeight="1">
      <x:c r="A137" s="5" t="str">
        <x:v>TT10_C05_PC_01</x:v>
      </x:c>
      <x:c r="B137" s="5" t="str">
        <x:v>Conjunto general y montaje</x:v>
      </x:c>
      <x:c r="C137" s="7" t="n">
        <x:v>134</x:v>
      </x:c>
      <x:c r="D137" s="5" t="str">
        <x:v>TT10_C05_JAM_M16_0_0</x:v>
      </x:c>
      <x:c r="E137" s="7" t="n">
        <x:v>1</x:v>
      </x:c>
      <x:c r="F137" s="7" t="n">
        <x:v>1</x:v>
      </x:c>
      <x:c r="G137" s="5" t="str">
        <x:v>Compra</x:v>
      </x:c>
      <x:c r="H137" s="5" t="str">
        <x:v>ContratuercaM16 clase8; mantener ajuste con cuatro M20 apretados</x:v>
      </x:c>
      <x:c r="I137" s="5" t="str">
        <x:v>Tuerca clase 8 / ISO 898-2</x:v>
      </x:c>
      <x:c r="J137" s="5" t="str">
        <x:v>Cantidades por conjunto; no sumar como total de máquina.</x:v>
      </x:c>
    </x:row>
    <x:row r="138" ht="30" customHeight="1">
      <x:c r="A138" s="4" t="str">
        <x:v>TT10_C05_PC_01</x:v>
      </x:c>
      <x:c r="B138" s="4" t="str">
        <x:v>Conjunto general y montaje</x:v>
      </x:c>
      <x:c r="C138" s="6" t="n">
        <x:v>135</x:v>
      </x:c>
      <x:c r="D138" s="4" t="str">
        <x:v>TT10_C05_JAM_M16_0_1</x:v>
      </x:c>
      <x:c r="E138" s="6" t="n">
        <x:v>1</x:v>
      </x:c>
      <x:c r="F138" s="6" t="n">
        <x:v>1</x:v>
      </x:c>
      <x:c r="G138" s="4" t="str">
        <x:v>Compra</x:v>
      </x:c>
      <x:c r="H138" s="4" t="str">
        <x:v>ContratuercaM16 clase8; mantener ajuste con cuatro M20 apretados</x:v>
      </x:c>
      <x:c r="I138" s="4" t="str">
        <x:v>Tuerca clase 8 / ISO 898-2</x:v>
      </x:c>
      <x:c r="J138" s="4" t="str">
        <x:v>Cantidades por conjunto; no sumar como total de máquina.</x:v>
      </x:c>
    </x:row>
    <x:row r="139" ht="30" customHeight="1">
      <x:c r="A139" s="5" t="str">
        <x:v>TT10_C05_PC_01</x:v>
      </x:c>
      <x:c r="B139" s="5" t="str">
        <x:v>Conjunto general y montaje</x:v>
      </x:c>
      <x:c r="C139" s="7" t="n">
        <x:v>136</x:v>
      </x:c>
      <x:c r="D139" s="5" t="str">
        <x:v>TT10_C05_JAM_M16_1_0</x:v>
      </x:c>
      <x:c r="E139" s="7" t="n">
        <x:v>1</x:v>
      </x:c>
      <x:c r="F139" s="7" t="n">
        <x:v>1</x:v>
      </x:c>
      <x:c r="G139" s="5" t="str">
        <x:v>Compra</x:v>
      </x:c>
      <x:c r="H139" s="5" t="str">
        <x:v>ContratuercaM16 clase8; mantener ajuste con cuatro M20 apretados</x:v>
      </x:c>
      <x:c r="I139" s="5" t="str">
        <x:v>Tuerca clase 8 / ISO 898-2</x:v>
      </x:c>
      <x:c r="J139" s="5" t="str">
        <x:v>Cantidades por conjunto; no sumar como total de máquina.</x:v>
      </x:c>
    </x:row>
    <x:row r="140" ht="30" customHeight="1">
      <x:c r="A140" s="4" t="str">
        <x:v>TT10_C05_PC_01</x:v>
      </x:c>
      <x:c r="B140" s="4" t="str">
        <x:v>Conjunto general y montaje</x:v>
      </x:c>
      <x:c r="C140" s="6" t="n">
        <x:v>137</x:v>
      </x:c>
      <x:c r="D140" s="4" t="str">
        <x:v>TT10_C05_JAM_M16_1_1</x:v>
      </x:c>
      <x:c r="E140" s="6" t="n">
        <x:v>1</x:v>
      </x:c>
      <x:c r="F140" s="6" t="n">
        <x:v>1</x:v>
      </x:c>
      <x:c r="G140" s="4" t="str">
        <x:v>Compra</x:v>
      </x:c>
      <x:c r="H140" s="4" t="str">
        <x:v>ContratuercaM16 clase8; mantener ajuste con cuatro M20 apretados</x:v>
      </x:c>
      <x:c r="I140" s="4" t="str">
        <x:v>Tuerca clase 8 / ISO 898-2</x:v>
      </x:c>
      <x:c r="J140" s="4" t="str">
        <x:v>Cantidades por conjunto; no sumar como total de máquina.</x:v>
      </x:c>
    </x:row>
    <x:row r="141" ht="30" customHeight="1">
      <x:c r="A141" s="5" t="str">
        <x:v>TT10_C05_PC_01</x:v>
      </x:c>
      <x:c r="B141" s="5" t="str">
        <x:v>Conjunto general y montaje</x:v>
      </x:c>
      <x:c r="C141" s="7" t="n">
        <x:v>138</x:v>
      </x:c>
      <x:c r="D141" s="5" t="str">
        <x:v>TT10_C05_OREJA_TENSOR_0_0</x:v>
      </x:c>
      <x:c r="E141" s="7" t="n">
        <x:v>1</x:v>
      </x:c>
      <x:c r="F141" s="7" t="n">
        <x:v>1</x:v>
      </x:c>
      <x:c r="G141" s="5" t="str">
        <x:v>Fabricación</x:v>
      </x:c>
      <x:c r="H141" s="5" t="str">
        <x:v>Oreja36x20x36;M16x2; soldaduraa6 a base fija</x:v>
      </x:c>
      <x:c r="I141" s="5" t="str">
        <x:v>ASTM A36</x:v>
      </x:c>
      <x:c r="J141" s="5" t="str">
        <x:v>Cantidades por conjunto; no sumar como total de máquina.</x:v>
      </x:c>
    </x:row>
    <x:row r="142" ht="30" customHeight="1">
      <x:c r="A142" s="4" t="str">
        <x:v>TT10_C05_PC_01</x:v>
      </x:c>
      <x:c r="B142" s="4" t="str">
        <x:v>Conjunto general y montaje</x:v>
      </x:c>
      <x:c r="C142" s="6" t="n">
        <x:v>139</x:v>
      </x:c>
      <x:c r="D142" s="4" t="str">
        <x:v>TT10_C05_OREJA_TENSOR_0_1</x:v>
      </x:c>
      <x:c r="E142" s="6" t="n">
        <x:v>1</x:v>
      </x:c>
      <x:c r="F142" s="6" t="n">
        <x:v>1</x:v>
      </x:c>
      <x:c r="G142" s="4" t="str">
        <x:v>Fabricación</x:v>
      </x:c>
      <x:c r="H142" s="4" t="str">
        <x:v>Oreja36x20x36;M16x2; soldaduraa6 a base fija</x:v>
      </x:c>
      <x:c r="I142" s="4" t="str">
        <x:v>ASTM A36</x:v>
      </x:c>
      <x:c r="J142" s="4" t="str">
        <x:v>Cantidades por conjunto; no sumar como total de máquina.</x:v>
      </x:c>
    </x:row>
    <x:row r="143" ht="30" customHeight="1">
      <x:c r="A143" s="5" t="str">
        <x:v>TT10_C05_PC_01</x:v>
      </x:c>
      <x:c r="B143" s="5" t="str">
        <x:v>Conjunto general y montaje</x:v>
      </x:c>
      <x:c r="C143" s="7" t="n">
        <x:v>140</x:v>
      </x:c>
      <x:c r="D143" s="5" t="str">
        <x:v>TT10_C05_OREJA_TENSOR_1_0</x:v>
      </x:c>
      <x:c r="E143" s="7" t="n">
        <x:v>1</x:v>
      </x:c>
      <x:c r="F143" s="7" t="n">
        <x:v>1</x:v>
      </x:c>
      <x:c r="G143" s="5" t="str">
        <x:v>Fabricación</x:v>
      </x:c>
      <x:c r="H143" s="5" t="str">
        <x:v>Oreja36x20x36;M16x2; soldaduraa6 a base fija</x:v>
      </x:c>
      <x:c r="I143" s="5" t="str">
        <x:v>ASTM A36</x:v>
      </x:c>
      <x:c r="J143" s="5" t="str">
        <x:v>Cantidades por conjunto; no sumar como total de máquina.</x:v>
      </x:c>
    </x:row>
    <x:row r="144" ht="30" customHeight="1">
      <x:c r="A144" s="4" t="str">
        <x:v>TT10_C05_PC_01</x:v>
      </x:c>
      <x:c r="B144" s="4" t="str">
        <x:v>Conjunto general y montaje</x:v>
      </x:c>
      <x:c r="C144" s="6" t="n">
        <x:v>141</x:v>
      </x:c>
      <x:c r="D144" s="4" t="str">
        <x:v>TT10_C05_OREJA_TENSOR_1_1</x:v>
      </x:c>
      <x:c r="E144" s="6" t="n">
        <x:v>1</x:v>
      </x:c>
      <x:c r="F144" s="6" t="n">
        <x:v>1</x:v>
      </x:c>
      <x:c r="G144" s="4" t="str">
        <x:v>Fabricación</x:v>
      </x:c>
      <x:c r="H144" s="4" t="str">
        <x:v>Oreja36x20x36;M16x2; soldaduraa6 a base fija</x:v>
      </x:c>
      <x:c r="I144" s="4" t="str">
        <x:v>ASTM A36</x:v>
      </x:c>
      <x:c r="J144" s="4" t="str">
        <x:v>Cantidades por conjunto; no sumar como total de máquina.</x:v>
      </x:c>
    </x:row>
    <x:row r="145" ht="30" customHeight="1">
      <x:c r="A145" s="5" t="str">
        <x:v>TT10_C05_PC_01</x:v>
      </x:c>
      <x:c r="B145" s="5" t="str">
        <x:v>Conjunto general y montaje</x:v>
      </x:c>
      <x:c r="C145" s="7" t="n">
        <x:v>142</x:v>
      </x:c>
      <x:c r="D145" s="5" t="str">
        <x:v>TT10_C05_POSTE_CORTO_TENSOR</x:v>
      </x:c>
      <x:c r="E145" s="7" t="n">
        <x:v>1</x:v>
      </x:c>
      <x:c r="F145" s="7" t="n">
        <x:v>1</x:v>
      </x:c>
      <x:c r="G145" s="5" t="str">
        <x:v>Fabricación</x:v>
      </x:c>
      <x:c r="H145" s="5" t="str">
        <x:v>RHS50x50x5;L1037.5;recortado20para conservar altura del eje</x:v>
      </x:c>
      <x:c r="I145" s="5" t="str">
        <x:v>S275J0H / EN 10219-1</x:v>
      </x:c>
      <x:c r="J145" s="5" t="str">
        <x:v>Cantidades por conjunto; no sumar como total de máquina.</x:v>
      </x:c>
    </x:row>
    <x:row r="146" ht="30" customHeight="1">
      <x:c r="A146" s="4" t="str">
        <x:v>TT10_C05_PC_01</x:v>
      </x:c>
      <x:c r="B146" s="4" t="str">
        <x:v>Conjunto general y montaje</x:v>
      </x:c>
      <x:c r="C146" s="6" t="n">
        <x:v>143</x:v>
      </x:c>
      <x:c r="D146" s="4" t="str">
        <x:v>TT10_C05_POSTE_VOLANTE_TENSOR</x:v>
      </x:c>
      <x:c r="E146" s="6" t="n">
        <x:v>1</x:v>
      </x:c>
      <x:c r="F146" s="6" t="n">
        <x:v>1</x:v>
      </x:c>
      <x:c r="G146" s="4" t="str">
        <x:v>Fabricación</x:v>
      </x:c>
      <x:c r="H146" s="4" t="str">
        <x:v>Poste del volante recortado20mm; conservar mecanizado superior y centros</x:v>
      </x:c>
      <x:c r="I146" s="4" t="str">
        <x:v>ASTM A36</x:v>
      </x:c>
      <x:c r="J146" s="4" t="str">
        <x:v>Cantidades por conjunto; no sumar como total de máquina.</x:v>
      </x:c>
    </x:row>
    <x:row r="147" ht="30" customHeight="1">
      <x:c r="A147" s="5" t="str">
        <x:v>TT10_C05_PC_01</x:v>
      </x:c>
      <x:c r="B147" s="5" t="str">
        <x:v>Conjunto general y montaje</x:v>
      </x:c>
      <x:c r="C147" s="7" t="n">
        <x:v>144</x:v>
      </x:c>
      <x:c r="D147" s="5" t="str">
        <x:v>TT10_C05_RETEN_CAUTIVO_SELECTOR</x:v>
      </x:c>
      <x:c r="E147" s="7" t="n">
        <x:v>1</x:v>
      </x:c>
      <x:c r="F147" s="7" t="n">
        <x:v>1</x:v>
      </x:c>
      <x:c r="G147" s="5" t="str">
        <x:v>Fabricación</x:v>
      </x:c>
      <x:c r="H147" s="5" t="str">
        <x:v>Puente cautivo para pasadorD6;23mm hasta cabeza, permite levantar16mm;4M4 laterales al bloque</x:v>
      </x:c>
      <x:c r="I147" s="5" t="str">
        <x:v>ASTM A36</x:v>
      </x:c>
      <x:c r="J147" s="5" t="str">
        <x:v>Cantidades por conjunto; no sumar como total de máquina.</x:v>
      </x:c>
    </x:row>
    <x:row r="148" ht="30" customHeight="1">
      <x:c r="A148" s="4" t="str">
        <x:v>TT10_C05_PC_01</x:v>
      </x:c>
      <x:c r="B148" s="4" t="str">
        <x:v>Conjunto general y montaje</x:v>
      </x:c>
      <x:c r="C148" s="6" t="n">
        <x:v>145</x:v>
      </x:c>
      <x:c r="D148" s="4" t="str">
        <x:v>TT10_CART_N_INF</x:v>
      </x:c>
      <x:c r="E148" s="6" t="n">
        <x:v>1</x:v>
      </x:c>
      <x:c r="F148" s="6" t="n">
        <x:v>1</x:v>
      </x:c>
      <x:c r="G148" s="4" t="str">
        <x:v>Fabricación</x:v>
      </x:c>
      <x:c r="H148" s="4" t="str">
        <x:v>Cartela horizontal20 entre puente y placa de nodo</x:v>
      </x:c>
      <x:c r="I148" s="4" t="str">
        <x:v>ASTM A36</x:v>
      </x:c>
      <x:c r="J148" s="4" t="str">
        <x:v>Cantidades por conjunto; no sumar como total de máquina.</x:v>
      </x:c>
    </x:row>
    <x:row r="149" ht="30" customHeight="1">
      <x:c r="A149" s="5" t="str">
        <x:v>TT10_C05_PC_01</x:v>
      </x:c>
      <x:c r="B149" s="5" t="str">
        <x:v>Conjunto general y montaje</x:v>
      </x:c>
      <x:c r="C149" s="7" t="n">
        <x:v>146</x:v>
      </x:c>
      <x:c r="D149" s="5" t="str">
        <x:v>TT10_CART_N_SUP</x:v>
      </x:c>
      <x:c r="E149" s="7" t="n">
        <x:v>1</x:v>
      </x:c>
      <x:c r="F149" s="7" t="n">
        <x:v>1</x:v>
      </x:c>
      <x:c r="G149" s="5" t="str">
        <x:v>Fabricación</x:v>
      </x:c>
      <x:c r="H149" s="5" t="str">
        <x:v>Cartela horizontal20 entre puente y placa de nodo</x:v>
      </x:c>
      <x:c r="I149" s="5" t="str">
        <x:v>ASTM A36</x:v>
      </x:c>
      <x:c r="J149" s="5" t="str">
        <x:v>Cantidades por conjunto; no sumar como total de máquina.</x:v>
      </x:c>
    </x:row>
    <x:row r="150" ht="30" customHeight="1">
      <x:c r="A150" s="4" t="str">
        <x:v>TT10_C05_PC_01</x:v>
      </x:c>
      <x:c r="B150" s="4" t="str">
        <x:v>Conjunto general y montaje</x:v>
      </x:c>
      <x:c r="C150" s="6" t="n">
        <x:v>147</x:v>
      </x:c>
      <x:c r="D150" s="4" t="str">
        <x:v>TT10_CART_P_INF</x:v>
      </x:c>
      <x:c r="E150" s="6" t="n">
        <x:v>1</x:v>
      </x:c>
      <x:c r="F150" s="6" t="n">
        <x:v>1</x:v>
      </x:c>
      <x:c r="G150" s="4" t="str">
        <x:v>Fabricación</x:v>
      </x:c>
      <x:c r="H150" s="4" t="str">
        <x:v>Cartela horizontal20 entre puente y placa de nodo</x:v>
      </x:c>
      <x:c r="I150" s="4" t="str">
        <x:v>ASTM A36</x:v>
      </x:c>
      <x:c r="J150" s="4" t="str">
        <x:v>Cantidades por conjunto; no sumar como total de máquina.</x:v>
      </x:c>
    </x:row>
    <x:row r="151" ht="30" customHeight="1">
      <x:c r="A151" s="5" t="str">
        <x:v>TT10_C05_PC_01</x:v>
      </x:c>
      <x:c r="B151" s="5" t="str">
        <x:v>Conjunto general y montaje</x:v>
      </x:c>
      <x:c r="C151" s="7" t="n">
        <x:v>148</x:v>
      </x:c>
      <x:c r="D151" s="5" t="str">
        <x:v>TT10_CART_P_SUP</x:v>
      </x:c>
      <x:c r="E151" s="7" t="n">
        <x:v>1</x:v>
      </x:c>
      <x:c r="F151" s="7" t="n">
        <x:v>1</x:v>
      </x:c>
      <x:c r="G151" s="5" t="str">
        <x:v>Fabricación</x:v>
      </x:c>
      <x:c r="H151" s="5" t="str">
        <x:v>Cartela horizontal20 entre puente y placa de nodo</x:v>
      </x:c>
      <x:c r="I151" s="5" t="str">
        <x:v>ASTM A36</x:v>
      </x:c>
      <x:c r="J151" s="5" t="str">
        <x:v>Cantidades por conjunto; no sumar como total de máquina.</x:v>
      </x:c>
    </x:row>
    <x:row r="152" ht="30" customHeight="1">
      <x:c r="A152" s="4" t="str">
        <x:v>TT10_C05_PC_01</x:v>
      </x:c>
      <x:c r="B152" s="4" t="str">
        <x:v>Conjunto general y montaje</x:v>
      </x:c>
      <x:c r="C152" s="6" t="n">
        <x:v>149</x:v>
      </x:c>
      <x:c r="D152" s="4" t="str">
        <x:v>TT10_COLLAR_N</x:v>
      </x:c>
      <x:c r="E152" s="6" t="n">
        <x:v>1</x:v>
      </x:c>
      <x:c r="F152" s="6" t="n">
        <x:v>1</x:v>
      </x:c>
      <x:c r="G152" s="4" t="str">
        <x:v>Fabricación</x:v>
      </x:c>
      <x:c r="H152" s="4" t="str">
        <x:v>Casquillo D220/d200.2 L161: transmisión de apriete y pista de sello</x:v>
      </x:c>
      <x:c r="I152" s="4" t="str">
        <x:v>C45E / EN 10083-2</x:v>
      </x:c>
      <x:c r="J152" s="4" t="str">
        <x:v>Cantidades por conjunto; no sumar como total de máquina.</x:v>
      </x:c>
    </x:row>
    <x:row r="153" ht="30" customHeight="1">
      <x:c r="A153" s="5" t="str">
        <x:v>TT10_C05_PC_01</x:v>
      </x:c>
      <x:c r="B153" s="5" t="str">
        <x:v>Conjunto general y montaje</x:v>
      </x:c>
      <x:c r="C153" s="7" t="n">
        <x:v>150</x:v>
      </x:c>
      <x:c r="D153" s="5" t="str">
        <x:v>TT10_COLLAR_P</x:v>
      </x:c>
      <x:c r="E153" s="7" t="n">
        <x:v>1</x:v>
      </x:c>
      <x:c r="F153" s="7" t="n">
        <x:v>1</x:v>
      </x:c>
      <x:c r="G153" s="5" t="str">
        <x:v>Fabricación</x:v>
      </x:c>
      <x:c r="H153" s="5" t="str">
        <x:v>Casquillo D220/d200.2 L161: transmisión de apriete y pista de sello</x:v>
      </x:c>
      <x:c r="I153" s="5" t="str">
        <x:v>C45E / EN 10083-2</x:v>
      </x:c>
      <x:c r="J153" s="5" t="str">
        <x:v>Cantidades por conjunto; no sumar como total de máquina.</x:v>
      </x:c>
    </x:row>
    <x:row r="154" ht="30" customHeight="1">
      <x:c r="A154" s="4" t="str">
        <x:v>TT10_C05_PC_01</x:v>
      </x:c>
      <x:c r="B154" s="4" t="str">
        <x:v>Conjunto general y montaje</x:v>
      </x:c>
      <x:c r="C154" s="6" t="n">
        <x:v>151</x:v>
      </x:c>
      <x:c r="D154" s="4" t="str">
        <x:v>TT10_D_ACOPLE_SALIDA</x:v>
      </x:c>
      <x:c r="E154" s="6" t="n">
        <x:v>1</x:v>
      </x:c>
      <x:c r="F154" s="6" t="n">
        <x:v>1</x:v>
      </x:c>
      <x:c r="G154" s="4" t="str">
        <x:v>Compra</x:v>
      </x:c>
      <x:c r="H154" s="4" t="str">
        <x:v>Acoplamiento de salida entre cubo y reductor; dibujo nominal</x:v>
      </x:c>
      <x:c r="I154" s="4" t="str">
        <x:v>Equipo comprado</x:v>
      </x:c>
      <x:c r="J154" s="4" t="str">
        <x:v>Cantidades por conjunto; no sumar como total de máquina.</x:v>
      </x:c>
    </x:row>
    <x:row r="155" ht="30" customHeight="1">
      <x:c r="A155" s="5" t="str">
        <x:v>TT10_C05_PC_01</x:v>
      </x:c>
      <x:c r="B155" s="5" t="str">
        <x:v>Conjunto general y montaje</x:v>
      </x:c>
      <x:c r="C155" s="7" t="n">
        <x:v>152</x:v>
      </x:c>
      <x:c r="D155" s="5" t="str">
        <x:v>TT10_D_ARMARIO</x:v>
      </x:c>
      <x:c r="E155" s="7" t="n">
        <x:v>1</x:v>
      </x:c>
      <x:c r="F155" s="7" t="n">
        <x:v>1</x:v>
      </x:c>
      <x:c r="G155" s="5" t="str">
        <x:v>Compra</x:v>
      </x:c>
      <x:c r="H155" s="5" t="str">
        <x:v>Armario de variador y control; representación de presentación</x:v>
      </x:c>
      <x:c r="I155" s="5" t="str">
        <x:v>Armario comercial; chapa y acabado según referencia de compra</x:v>
      </x:c>
      <x:c r="J155" s="5" t="str">
        <x:v>Cantidades por conjunto; no sumar como total de máquina.</x:v>
      </x:c>
    </x:row>
    <x:row r="156" ht="30" customHeight="1">
      <x:c r="A156" s="4" t="str">
        <x:v>TT10_C05_PC_01</x:v>
      </x:c>
      <x:c r="B156" s="4" t="str">
        <x:v>Conjunto general y montaje</x:v>
      </x:c>
      <x:c r="C156" s="6" t="n">
        <x:v>153</x:v>
      </x:c>
      <x:c r="D156" s="4" t="str">
        <x:v>TT10_D_ARO_RESGUARDO_N</x:v>
      </x:c>
      <x:c r="E156" s="6" t="n">
        <x:v>1</x:v>
      </x:c>
      <x:c r="F156" s="6" t="n">
        <x:v>1</x:v>
      </x:c>
      <x:c r="G156" s="4" t="str">
        <x:v>Fabricación</x:v>
      </x:c>
      <x:c r="H156" s="4" t="str">
        <x:v>Resguardo tubular desmontable ARO_RESGUARDO_N</x:v>
      </x:c>
      <x:c r="I156" s="4" t="str">
        <x:v>S275J0H / EN 10219-1</x:v>
      </x:c>
      <x:c r="J156" s="4" t="str">
        <x:v>Cantidades por conjunto; no sumar como total de máquina.</x:v>
      </x:c>
    </x:row>
    <x:row r="157" ht="30" customHeight="1">
      <x:c r="A157" s="5" t="str">
        <x:v>TT10_C05_PC_01</x:v>
      </x:c>
      <x:c r="B157" s="5" t="str">
        <x:v>Conjunto general y montaje</x:v>
      </x:c>
      <x:c r="C157" s="7" t="n">
        <x:v>154</x:v>
      </x:c>
      <x:c r="D157" s="5" t="str">
        <x:v>TT10_D_ARO_RESGUARDO_P</x:v>
      </x:c>
      <x:c r="E157" s="7" t="n">
        <x:v>1</x:v>
      </x:c>
      <x:c r="F157" s="7" t="n">
        <x:v>1</x:v>
      </x:c>
      <x:c r="G157" s="5" t="str">
        <x:v>Fabricación</x:v>
      </x:c>
      <x:c r="H157" s="5" t="str">
        <x:v>Resguardo tubular desmontable ARO_RESGUARDO_P</x:v>
      </x:c>
      <x:c r="I157" s="5" t="str">
        <x:v>S275J0H / EN 10219-1</x:v>
      </x:c>
      <x:c r="J157" s="5" t="str">
        <x:v>Cantidades por conjunto; no sumar como total de máquina.</x:v>
      </x:c>
    </x:row>
    <x:row r="158" ht="30" customHeight="1">
      <x:c r="A158" s="4" t="str">
        <x:v>TT10_C05_PC_01</x:v>
      </x:c>
      <x:c r="B158" s="4" t="str">
        <x:v>Conjunto general y montaje</x:v>
      </x:c>
      <x:c r="C158" s="6" t="n">
        <x:v>155</x:v>
      </x:c>
      <x:c r="D158" s="4" t="str">
        <x:v>TT10_D_AUX_4_1</x:v>
      </x:c>
      <x:c r="E158" s="6" t="n">
        <x:v>1</x:v>
      </x:c>
      <x:c r="F158" s="6" t="n">
        <x:v>1</x:v>
      </x:c>
      <x:c r="G158" s="4" t="str">
        <x:v>Compra</x:v>
      </x:c>
      <x:c r="H158" s="4" t="str">
        <x:v>Reducción auxiliar 4:1; representación de arquitectura</x:v>
      </x:c>
      <x:c r="I158" s="4" t="str">
        <x:v>Equipo sustituido por PSN 142 i5; no comprar variante 4:1</x:v>
      </x:c>
      <x:c r="J158" s="4" t="str">
        <x:v>Cantidades por conjunto; no sumar como total de máquina.</x:v>
      </x:c>
    </x:row>
    <x:row r="159" ht="30" customHeight="1">
      <x:c r="A159" s="5" t="str">
        <x:v>TT10_C05_PC_01</x:v>
      </x:c>
      <x:c r="B159" s="5" t="str">
        <x:v>Conjunto general y montaje</x:v>
      </x:c>
      <x:c r="C159" s="7" t="n">
        <x:v>156</x:v>
      </x:c>
      <x:c r="D159" s="5" t="str">
        <x:v>TT10_D_B16_0</x:v>
      </x:c>
      <x:c r="E159" s="7" t="n">
        <x:v>32</x:v>
      </x:c>
      <x:c r="F159" s="7" t="n">
        <x:v>32</x:v>
      </x:c>
      <x:c r="G159" s="5" t="str">
        <x:v>Compra</x:v>
      </x:c>
      <x:c r="H159" s="5" t="str">
        <x:v>Perno nominal M16x50</x:v>
      </x:c>
      <x:c r="I159" s="5" t="str">
        <x:v>Clase 10.9 / ISO 898-1</x:v>
      </x:c>
      <x:c r="J159" s="5" t="str">
        <x:v>Cantidades por conjunto; no sumar como total de máquina.</x:v>
      </x:c>
    </x:row>
    <x:row r="160" ht="30" customHeight="1">
      <x:c r="A160" s="4" t="str">
        <x:v>TT10_C05_PC_01</x:v>
      </x:c>
      <x:c r="B160" s="4" t="str">
        <x:v>Conjunto general y montaje</x:v>
      </x:c>
      <x:c r="C160" s="6" t="n">
        <x:v>157</x:v>
      </x:c>
      <x:c r="D160" s="4" t="str">
        <x:v>TT10_D_BASE_ARMARIO</x:v>
      </x:c>
      <x:c r="E160" s="6" t="n">
        <x:v>1</x:v>
      </x:c>
      <x:c r="F160" s="6" t="n">
        <x:v>1</x:v>
      </x:c>
      <x:c r="G160" s="4" t="str">
        <x:v>Fabricación</x:v>
      </x:c>
      <x:c r="H160" s="4" t="str">
        <x:v>Base del armario</x:v>
      </x:c>
      <x:c r="I160" s="4" t="str">
        <x:v>ASTM A36</x:v>
      </x:c>
      <x:c r="J160" s="4" t="str">
        <x:v>Cantidades por conjunto; no sumar como total de máquina.</x:v>
      </x:c>
    </x:row>
    <x:row r="161" ht="30" customHeight="1">
      <x:c r="A161" s="5" t="str">
        <x:v>TT10_C05_PC_01</x:v>
      </x:c>
      <x:c r="B161" s="5" t="str">
        <x:v>Conjunto general y montaje</x:v>
      </x:c>
      <x:c r="C161" s="7" t="n">
        <x:v>158</x:v>
      </x:c>
      <x:c r="D161" s="5" t="str">
        <x:v>TT10_D_BASE_BOTONERA</x:v>
      </x:c>
      <x:c r="E161" s="7" t="n">
        <x:v>1</x:v>
      </x:c>
      <x:c r="F161" s="7" t="n">
        <x:v>1</x:v>
      </x:c>
      <x:c r="G161" s="5" t="str">
        <x:v>Fabricación</x:v>
      </x:c>
      <x:c r="H161" s="5" t="str">
        <x:v>Base de botonera</x:v>
      </x:c>
      <x:c r="I161" s="5" t="str">
        <x:v>ASTM A36</x:v>
      </x:c>
      <x:c r="J161" s="5" t="str">
        <x:v>Cantidades por conjunto; no sumar como total de máquina.</x:v>
      </x:c>
    </x:row>
    <x:row r="162" ht="30" customHeight="1">
      <x:c r="A162" s="4" t="str">
        <x:v>TT10_C05_PC_01</x:v>
      </x:c>
      <x:c r="B162" s="4" t="str">
        <x:v>Conjunto general y montaje</x:v>
      </x:c>
      <x:c r="C162" s="6" t="n">
        <x:v>159</x:v>
      </x:c>
      <x:c r="D162" s="4" t="str">
        <x:v>TT10_D_BASE_FRENO_N</x:v>
      </x:c>
      <x:c r="E162" s="6" t="n">
        <x:v>1</x:v>
      </x:c>
      <x:c r="F162" s="6" t="n">
        <x:v>1</x:v>
      </x:c>
      <x:c r="G162" s="4" t="str">
        <x:v>Fabricación</x:v>
      </x:c>
      <x:c r="H162" s="4" t="str">
        <x:v>Base de pedestal de freno N</x:v>
      </x:c>
      <x:c r="I162" s="4" t="str">
        <x:v>ASTM A36</x:v>
      </x:c>
      <x:c r="J162" s="4" t="str">
        <x:v>Cantidades por conjunto; no sumar como total de máquina.</x:v>
      </x:c>
    </x:row>
    <x:row r="163" ht="30" customHeight="1">
      <x:c r="A163" s="5" t="str">
        <x:v>TT10_C05_PC_01</x:v>
      </x:c>
      <x:c r="B163" s="5" t="str">
        <x:v>Conjunto general y montaje</x:v>
      </x:c>
      <x:c r="C163" s="7" t="n">
        <x:v>160</x:v>
      </x:c>
      <x:c r="D163" s="5" t="str">
        <x:v>TT10_D_BASE_FRENO_P</x:v>
      </x:c>
      <x:c r="E163" s="7" t="n">
        <x:v>1</x:v>
      </x:c>
      <x:c r="F163" s="7" t="n">
        <x:v>1</x:v>
      </x:c>
      <x:c r="G163" s="5" t="str">
        <x:v>Fabricación</x:v>
      </x:c>
      <x:c r="H163" s="5" t="str">
        <x:v>Base de pedestal de freno P</x:v>
      </x:c>
      <x:c r="I163" s="5" t="str">
        <x:v>ASTM A36</x:v>
      </x:c>
      <x:c r="J163" s="5" t="str">
        <x:v>Cantidades por conjunto; no sumar como total de máquina.</x:v>
      </x:c>
    </x:row>
    <x:row r="164" ht="30" customHeight="1">
      <x:c r="A164" s="4" t="str">
        <x:v>TT10_C05_PC_01</x:v>
      </x:c>
      <x:c r="B164" s="4" t="str">
        <x:v>Conjunto general y montaje</x:v>
      </x:c>
      <x:c r="C164" s="6" t="n">
        <x:v>161</x:v>
      </x:c>
      <x:c r="D164" s="4" t="str">
        <x:v>TT10_D_BASE_MOTOR</x:v>
      </x:c>
      <x:c r="E164" s="6" t="n">
        <x:v>1</x:v>
      </x:c>
      <x:c r="F164" s="6" t="n">
        <x:v>1</x:v>
      </x:c>
      <x:c r="G164" s="4" t="str">
        <x:v>Fabricación</x:v>
      </x:c>
      <x:c r="H164" s="4" t="str">
        <x:v>Placa base del segundo apoyo de bancada</x:v>
      </x:c>
      <x:c r="I164" s="4" t="str">
        <x:v>ASTM A36</x:v>
      </x:c>
      <x:c r="J164" s="4" t="str">
        <x:v>Cantidades por conjunto; no sumar como total de máquina.</x:v>
      </x:c>
    </x:row>
    <x:row r="165" ht="30" customHeight="1">
      <x:c r="A165" s="5" t="str">
        <x:v>TT10_C05_PC_01</x:v>
      </x:c>
      <x:c r="B165" s="5" t="str">
        <x:v>Conjunto general y montaje</x:v>
      </x:c>
      <x:c r="C165" s="7" t="n">
        <x:v>162</x:v>
      </x:c>
      <x:c r="D165" s="5" t="str">
        <x:v>TT10_D_BASE_PRESENTE</x:v>
      </x:c>
      <x:c r="E165" s="7" t="n">
        <x:v>1</x:v>
      </x:c>
      <x:c r="F165" s="7" t="n">
        <x:v>1</x:v>
      </x:c>
      <x:c r="G165" s="5" t="str">
        <x:v>Fabricación</x:v>
      </x:c>
      <x:c r="H165" s="5" t="str">
        <x:v>Base del mando de hombre presente</x:v>
      </x:c>
      <x:c r="I165" s="5" t="str">
        <x:v>ASTM A36</x:v>
      </x:c>
      <x:c r="J165" s="5" t="str">
        <x:v>Cantidades por conjunto; no sumar como total de máquina.</x:v>
      </x:c>
    </x:row>
    <x:row r="166" ht="30" customHeight="1">
      <x:c r="A166" s="4" t="str">
        <x:v>TT10_C05_PC_01</x:v>
      </x:c>
      <x:c r="B166" s="4" t="str">
        <x:v>Conjunto general y montaje</x:v>
      </x:c>
      <x:c r="C166" s="6" t="n">
        <x:v>163</x:v>
      </x:c>
      <x:c r="D166" s="4" t="str">
        <x:v>TT10_D_BASE_RECUP_N</x:v>
      </x:c>
      <x:c r="E166" s="6" t="n">
        <x:v>1</x:v>
      </x:c>
      <x:c r="F166" s="6" t="n">
        <x:v>1</x:v>
      </x:c>
      <x:c r="G166" s="4" t="str">
        <x:v>Fabricación</x:v>
      </x:c>
      <x:c r="H166" s="4" t="str">
        <x:v>Base de mando de recuperación</x:v>
      </x:c>
      <x:c r="I166" s="4" t="str">
        <x:v>ASTM A36</x:v>
      </x:c>
      <x:c r="J166" s="4" t="str">
        <x:v>Cantidades por conjunto; no sumar como total de máquina.</x:v>
      </x:c>
    </x:row>
    <x:row r="167" ht="30" customHeight="1">
      <x:c r="A167" s="5" t="str">
        <x:v>TT10_C05_PC_01</x:v>
      </x:c>
      <x:c r="B167" s="5" t="str">
        <x:v>Conjunto general y montaje</x:v>
      </x:c>
      <x:c r="C167" s="7" t="n">
        <x:v>164</x:v>
      </x:c>
      <x:c r="D167" s="5" t="str">
        <x:v>TT10_D_BASE_RECUP_P</x:v>
      </x:c>
      <x:c r="E167" s="7" t="n">
        <x:v>1</x:v>
      </x:c>
      <x:c r="F167" s="7" t="n">
        <x:v>1</x:v>
      </x:c>
      <x:c r="G167" s="5" t="str">
        <x:v>Fabricación</x:v>
      </x:c>
      <x:c r="H167" s="5" t="str">
        <x:v>Base de mando de recuperación</x:v>
      </x:c>
      <x:c r="I167" s="5" t="str">
        <x:v>ASTM A36</x:v>
      </x:c>
      <x:c r="J167" s="5" t="str">
        <x:v>Cantidades por conjunto; no sumar como total de máquina.</x:v>
      </x:c>
    </x:row>
    <x:row r="168" ht="30" customHeight="1">
      <x:c r="A168" s="4" t="str">
        <x:v>TT10_C05_PC_01</x:v>
      </x:c>
      <x:c r="B168" s="4" t="str">
        <x:v>Conjunto general y montaje</x:v>
      </x:c>
      <x:c r="C168" s="6" t="n">
        <x:v>165</x:v>
      </x:c>
      <x:c r="D168" s="4" t="str">
        <x:v>TT10_D_BLANCO_PIN</x:v>
      </x:c>
      <x:c r="E168" s="6" t="n">
        <x:v>2</x:v>
      </x:c>
      <x:c r="F168" s="6" t="n">
        <x:v>2</x:v>
      </x:c>
      <x:c r="G168" s="4" t="str">
        <x:v>Fabricación</x:v>
      </x:c>
      <x:c r="H168" s="4" t="str">
        <x:v>Bandera de detección del pasador retirado</x:v>
      </x:c>
      <x:c r="I168" s="4" t="str">
        <x:v>ASTM A36</x:v>
      </x:c>
      <x:c r="J168" s="4" t="str">
        <x:v>Cantidades por conjunto; no sumar como total de máquina.</x:v>
      </x:c>
    </x:row>
    <x:row r="169" ht="30" customHeight="1">
      <x:c r="A169" s="5" t="str">
        <x:v>TT10_C05_PC_01</x:v>
      </x:c>
      <x:c r="B169" s="5" t="str">
        <x:v>Conjunto general y montaje</x:v>
      </x:c>
      <x:c r="C169" s="7" t="n">
        <x:v>166</x:v>
      </x:c>
      <x:c r="D169" s="5" t="str">
        <x:v>TT10_D_BOTONERA</x:v>
      </x:c>
      <x:c r="E169" s="7" t="n">
        <x:v>1</x:v>
      </x:c>
      <x:c r="F169" s="7" t="n">
        <x:v>1</x:v>
      </x:c>
      <x:c r="G169" s="5" t="str">
        <x:v>Compra</x:v>
      </x:c>
      <x:c r="H169" s="5" t="str">
        <x:v>Botonera: subir, bajar, retorno y paro de emergencia</x:v>
      </x:c>
      <x:c r="I169" s="5" t="str">
        <x:v>Dispositivo de mando comercial; materiales según referencia OEM</x:v>
      </x:c>
      <x:c r="J169" s="5" t="str">
        <x:v>Cantidades por conjunto; no sumar como total de máquina.</x:v>
      </x:c>
    </x:row>
    <x:row r="170" ht="30" customHeight="1">
      <x:c r="A170" s="4" t="str">
        <x:v>TT10_C05_PC_01</x:v>
      </x:c>
      <x:c r="B170" s="4" t="str">
        <x:v>Conjunto general y montaje</x:v>
      </x:c>
      <x:c r="C170" s="6" t="n">
        <x:v>167</x:v>
      </x:c>
      <x:c r="D170" s="4" t="str">
        <x:v>TT10_D_BOTON_0</x:v>
      </x:c>
      <x:c r="E170" s="6" t="n">
        <x:v>1</x:v>
      </x:c>
      <x:c r="F170" s="6" t="n">
        <x:v>1</x:v>
      </x:c>
      <x:c r="G170" s="4" t="str">
        <x:v>Compra</x:v>
      </x:c>
      <x:c r="H170" s="4" t="str">
        <x:v>Pulsador 0</x:v>
      </x:c>
      <x:c r="I170" s="4" t="str">
        <x:v>Dispositivo de mando comercial; materiales según referencia OEM</x:v>
      </x:c>
      <x:c r="J170" s="4" t="str">
        <x:v>Cantidades por conjunto; no sumar como total de máquina.</x:v>
      </x:c>
    </x:row>
    <x:row r="171" ht="30" customHeight="1">
      <x:c r="A171" s="5" t="str">
        <x:v>TT10_C05_PC_01</x:v>
      </x:c>
      <x:c r="B171" s="5" t="str">
        <x:v>Conjunto general y montaje</x:v>
      </x:c>
      <x:c r="C171" s="7" t="n">
        <x:v>168</x:v>
      </x:c>
      <x:c r="D171" s="5" t="str">
        <x:v>TT10_D_BOTON_1</x:v>
      </x:c>
      <x:c r="E171" s="7" t="n">
        <x:v>1</x:v>
      </x:c>
      <x:c r="F171" s="7" t="n">
        <x:v>1</x:v>
      </x:c>
      <x:c r="G171" s="5" t="str">
        <x:v>Compra</x:v>
      </x:c>
      <x:c r="H171" s="5" t="str">
        <x:v>Pulsador 1</x:v>
      </x:c>
      <x:c r="I171" s="5" t="str">
        <x:v>Dispositivo de mando comercial; materiales según referencia OEM</x:v>
      </x:c>
      <x:c r="J171" s="5" t="str">
        <x:v>Cantidades por conjunto; no sumar como total de máquina.</x:v>
      </x:c>
    </x:row>
    <x:row r="172" ht="30" customHeight="1">
      <x:c r="A172" s="4" t="str">
        <x:v>TT10_C05_PC_01</x:v>
      </x:c>
      <x:c r="B172" s="4" t="str">
        <x:v>Conjunto general y montaje</x:v>
      </x:c>
      <x:c r="C172" s="6" t="n">
        <x:v>169</x:v>
      </x:c>
      <x:c r="D172" s="4" t="str">
        <x:v>TT10_D_BOTON_2</x:v>
      </x:c>
      <x:c r="E172" s="6" t="n">
        <x:v>1</x:v>
      </x:c>
      <x:c r="F172" s="6" t="n">
        <x:v>1</x:v>
      </x:c>
      <x:c r="G172" s="4" t="str">
        <x:v>Compra</x:v>
      </x:c>
      <x:c r="H172" s="4" t="str">
        <x:v>Pulsador 2</x:v>
      </x:c>
      <x:c r="I172" s="4" t="str">
        <x:v>Dispositivo de mando comercial; materiales según referencia OEM</x:v>
      </x:c>
      <x:c r="J172" s="4" t="str">
        <x:v>Cantidades por conjunto; no sumar como total de máquina.</x:v>
      </x:c>
    </x:row>
    <x:row r="173" ht="30" customHeight="1">
      <x:c r="A173" s="5" t="str">
        <x:v>TT10_C05_PC_01</x:v>
      </x:c>
      <x:c r="B173" s="5" t="str">
        <x:v>Conjunto general y montaje</x:v>
      </x:c>
      <x:c r="C173" s="7" t="n">
        <x:v>170</x:v>
      </x:c>
      <x:c r="D173" s="5" t="str">
        <x:v>TT10_D_CABLE_PESTILLO_FIN_N</x:v>
      </x:c>
      <x:c r="E173" s="7" t="n">
        <x:v>1</x:v>
      </x:c>
      <x:c r="F173" s="7" t="n">
        <x:v>1</x:v>
      </x:c>
      <x:c r="G173" s="5" t="str">
        <x:v>Compra</x:v>
      </x:c>
      <x:c r="H173" s="5" t="str">
        <x:v>Eje de conexión geométrica CABLE_PESTILLO_FIN_N</x:v>
      </x:c>
      <x:c r="I173" s="5" t="str">
        <x:v>Cable/conducción comercial; composición según ficha</x:v>
      </x:c>
      <x:c r="J173" s="5" t="str">
        <x:v>Cantidades por conjunto; no sumar como total de máquina.</x:v>
      </x:c>
    </x:row>
    <x:row r="174" ht="30" customHeight="1">
      <x:c r="A174" s="4" t="str">
        <x:v>TT10_C05_PC_01</x:v>
      </x:c>
      <x:c r="B174" s="4" t="str">
        <x:v>Conjunto general y montaje</x:v>
      </x:c>
      <x:c r="C174" s="6" t="n">
        <x:v>171</x:v>
      </x:c>
      <x:c r="D174" s="4" t="str">
        <x:v>TT10_D_CABLE_PESTILLO_FIN_P</x:v>
      </x:c>
      <x:c r="E174" s="6" t="n">
        <x:v>1</x:v>
      </x:c>
      <x:c r="F174" s="6" t="n">
        <x:v>1</x:v>
      </x:c>
      <x:c r="G174" s="4" t="str">
        <x:v>Compra</x:v>
      </x:c>
      <x:c r="H174" s="4" t="str">
        <x:v>Eje de conexión geométrica CABLE_PESTILLO_FIN_P</x:v>
      </x:c>
      <x:c r="I174" s="4" t="str">
        <x:v>Cable/conducción comercial; composición según ficha</x:v>
      </x:c>
      <x:c r="J174" s="4" t="str">
        <x:v>Cantidades por conjunto; no sumar como total de máquina.</x:v>
      </x:c>
    </x:row>
    <x:row r="175" ht="30" customHeight="1">
      <x:c r="A175" s="5" t="str">
        <x:v>TT10_C05_PC_01</x:v>
      </x:c>
      <x:c r="B175" s="5" t="str">
        <x:v>Conjunto general y montaje</x:v>
      </x:c>
      <x:c r="C175" s="7" t="n">
        <x:v>172</x:v>
      </x:c>
      <x:c r="D175" s="5" t="str">
        <x:v>TT10_D_CABLE_PESTILLO_N</x:v>
      </x:c>
      <x:c r="E175" s="7" t="n">
        <x:v>1</x:v>
      </x:c>
      <x:c r="F175" s="7" t="n">
        <x:v>1</x:v>
      </x:c>
      <x:c r="G175" s="5" t="str">
        <x:v>Compra</x:v>
      </x:c>
      <x:c r="H175" s="5" t="str">
        <x:v>Eje de conexión geométrica CABLE_PESTILLO_N</x:v>
      </x:c>
      <x:c r="I175" s="5" t="str">
        <x:v>Cable/conducción comercial; composición según ficha</x:v>
      </x:c>
      <x:c r="J175" s="5" t="str">
        <x:v>Cantidades por conjunto; no sumar como total de máquina.</x:v>
      </x:c>
    </x:row>
    <x:row r="176" ht="30" customHeight="1">
      <x:c r="A176" s="4" t="str">
        <x:v>TT10_C05_PC_01</x:v>
      </x:c>
      <x:c r="B176" s="4" t="str">
        <x:v>Conjunto general y montaje</x:v>
      </x:c>
      <x:c r="C176" s="6" t="n">
        <x:v>173</x:v>
      </x:c>
      <x:c r="D176" s="4" t="str">
        <x:v>TT10_D_CABLE_PESTILLO_P</x:v>
      </x:c>
      <x:c r="E176" s="6" t="n">
        <x:v>1</x:v>
      </x:c>
      <x:c r="F176" s="6" t="n">
        <x:v>1</x:v>
      </x:c>
      <x:c r="G176" s="4" t="str">
        <x:v>Compra</x:v>
      </x:c>
      <x:c r="H176" s="4" t="str">
        <x:v>Eje de conexión geométrica CABLE_PESTILLO_P</x:v>
      </x:c>
      <x:c r="I176" s="4" t="str">
        <x:v>Cable/conducción comercial; composición según ficha</x:v>
      </x:c>
      <x:c r="J176" s="4" t="str">
        <x:v>Cantidades por conjunto; no sumar como total de máquina.</x:v>
      </x:c>
    </x:row>
    <x:row r="177" ht="30" customHeight="1">
      <x:c r="A177" s="5" t="str">
        <x:v>TT10_C05_PC_01</x:v>
      </x:c>
      <x:c r="B177" s="5" t="str">
        <x:v>Conjunto general y montaje</x:v>
      </x:c>
      <x:c r="C177" s="7" t="n">
        <x:v>174</x:v>
      </x:c>
      <x:c r="D177" s="5" t="str">
        <x:v>TT10_D_CABLE_PESTILLO_SUP_N</x:v>
      </x:c>
      <x:c r="E177" s="7" t="n">
        <x:v>1</x:v>
      </x:c>
      <x:c r="F177" s="7" t="n">
        <x:v>1</x:v>
      </x:c>
      <x:c r="G177" s="5" t="str">
        <x:v>Compra</x:v>
      </x:c>
      <x:c r="H177" s="5" t="str">
        <x:v>Eje de conexión geométrica CABLE_PESTILLO_SUP_N</x:v>
      </x:c>
      <x:c r="I177" s="5" t="str">
        <x:v>Cable/conducción comercial; composición según ficha</x:v>
      </x:c>
      <x:c r="J177" s="5" t="str">
        <x:v>Cantidades por conjunto; no sumar como total de máquina.</x:v>
      </x:c>
    </x:row>
    <x:row r="178" ht="30" customHeight="1">
      <x:c r="A178" s="4" t="str">
        <x:v>TT10_C05_PC_01</x:v>
      </x:c>
      <x:c r="B178" s="4" t="str">
        <x:v>Conjunto general y montaje</x:v>
      </x:c>
      <x:c r="C178" s="6" t="n">
        <x:v>175</x:v>
      </x:c>
      <x:c r="D178" s="4" t="str">
        <x:v>TT10_D_CABLE_PESTILLO_SUP_P</x:v>
      </x:c>
      <x:c r="E178" s="6" t="n">
        <x:v>1</x:v>
      </x:c>
      <x:c r="F178" s="6" t="n">
        <x:v>1</x:v>
      </x:c>
      <x:c r="G178" s="4" t="str">
        <x:v>Compra</x:v>
      </x:c>
      <x:c r="H178" s="4" t="str">
        <x:v>Eje de conexión geométrica CABLE_PESTILLO_SUP_P</x:v>
      </x:c>
      <x:c r="I178" s="4" t="str">
        <x:v>Cable/conducción comercial; composición según ficha</x:v>
      </x:c>
      <x:c r="J178" s="4" t="str">
        <x:v>Cantidades por conjunto; no sumar como total de máquina.</x:v>
      </x:c>
    </x:row>
    <x:row r="179" ht="30" customHeight="1">
      <x:c r="A179" s="5" t="str">
        <x:v>TT10_C05_PC_01</x:v>
      </x:c>
      <x:c r="B179" s="5" t="str">
        <x:v>Conjunto general y montaje</x:v>
      </x:c>
      <x:c r="C179" s="7" t="n">
        <x:v>176</x:v>
      </x:c>
      <x:c r="D179" s="5" t="str">
        <x:v>TT10_D_CABLE_PRESENTE</x:v>
      </x:c>
      <x:c r="E179" s="7" t="n">
        <x:v>1</x:v>
      </x:c>
      <x:c r="F179" s="7" t="n">
        <x:v>1</x:v>
      </x:c>
      <x:c r="G179" s="5" t="str">
        <x:v>Compra</x:v>
      </x:c>
      <x:c r="H179" s="5" t="str">
        <x:v>Eje de conexión geométrica CABLE_PRESENTE</x:v>
      </x:c>
      <x:c r="I179" s="5" t="str">
        <x:v>Cable/conducción comercial; composición según ficha</x:v>
      </x:c>
      <x:c r="J179" s="5" t="str">
        <x:v>Cantidades por conjunto; no sumar como total de máquina.</x:v>
      </x:c>
    </x:row>
    <x:row r="180" ht="30" customHeight="1">
      <x:c r="A180" s="4" t="str">
        <x:v>TT10_C05_PC_01</x:v>
      </x:c>
      <x:c r="B180" s="4" t="str">
        <x:v>Conjunto general y montaje</x:v>
      </x:c>
      <x:c r="C180" s="6" t="n">
        <x:v>177</x:v>
      </x:c>
      <x:c r="D180" s="4" t="str">
        <x:v>TT10_D_CARTELA_MOTOR_0</x:v>
      </x:c>
      <x:c r="E180" s="6" t="n">
        <x:v>1</x:v>
      </x:c>
      <x:c r="F180" s="6" t="n">
        <x:v>1</x:v>
      </x:c>
      <x:c r="G180" s="4" t="str">
        <x:v>Fabricación</x:v>
      </x:c>
      <x:c r="H180" s="4" t="str">
        <x:v>Apoyo lateral desmontable de bancada</x:v>
      </x:c>
      <x:c r="I180" s="4" t="str">
        <x:v>ASTM A36</x:v>
      </x:c>
      <x:c r="J180" s="4" t="str">
        <x:v>Cantidades por conjunto; no sumar como total de máquina.</x:v>
      </x:c>
    </x:row>
    <x:row r="181" ht="30" customHeight="1">
      <x:c r="A181" s="5" t="str">
        <x:v>TT10_C05_PC_01</x:v>
      </x:c>
      <x:c r="B181" s="5" t="str">
        <x:v>Conjunto general y montaje</x:v>
      </x:c>
      <x:c r="C181" s="7" t="n">
        <x:v>178</x:v>
      </x:c>
      <x:c r="D181" s="5" t="str">
        <x:v>TT10_D_CARTELA_MOTOR_1</x:v>
      </x:c>
      <x:c r="E181" s="7" t="n">
        <x:v>1</x:v>
      </x:c>
      <x:c r="F181" s="7" t="n">
        <x:v>1</x:v>
      </x:c>
      <x:c r="G181" s="5" t="str">
        <x:v>Fabricación</x:v>
      </x:c>
      <x:c r="H181" s="5" t="str">
        <x:v>Apoyo lateral desmontable de bancada</x:v>
      </x:c>
      <x:c r="I181" s="5" t="str">
        <x:v>ASTM A36</x:v>
      </x:c>
      <x:c r="J181" s="5" t="str">
        <x:v>Cantidades por conjunto; no sumar como total de máquina.</x:v>
      </x:c>
    </x:row>
    <x:row r="182" ht="30" customHeight="1">
      <x:c r="A182" s="4" t="str">
        <x:v>TT10_C05_PC_01</x:v>
      </x:c>
      <x:c r="B182" s="4" t="str">
        <x:v>Conjunto general y montaje</x:v>
      </x:c>
      <x:c r="C182" s="6" t="n">
        <x:v>179</x:v>
      </x:c>
      <x:c r="D182" s="4" t="str">
        <x:v>TT10_D_COLUMNA_MOTOR</x:v>
      </x:c>
      <x:c r="E182" s="6" t="n">
        <x:v>1</x:v>
      </x:c>
      <x:c r="F182" s="6" t="n">
        <x:v>1</x:v>
      </x:c>
      <x:c r="G182" s="4" t="str">
        <x:v>Fabricación</x:v>
      </x:c>
      <x:c r="H182" s="4" t="str">
        <x:v>Columna adicional RHS200x200; asiento sobre placa base</x:v>
      </x:c>
      <x:c r="I182" s="4" t="str">
        <x:v>S275J0H / EN 10219-1</x:v>
      </x:c>
      <x:c r="J182" s="4" t="str">
        <x:v>Cantidades por conjunto; no sumar como total de máquina.</x:v>
      </x:c>
    </x:row>
    <x:row r="183" ht="30" customHeight="1">
      <x:c r="A183" s="5" t="str">
        <x:v>TT10_C05_PC_01</x:v>
      </x:c>
      <x:c r="B183" s="5" t="str">
        <x:v>Conjunto general y montaje</x:v>
      </x:c>
      <x:c r="C183" s="7" t="n">
        <x:v>180</x:v>
      </x:c>
      <x:c r="D183" s="5" t="str">
        <x:v>TT10_D_CUBO_N</x:v>
      </x:c>
      <x:c r="E183" s="7" t="n">
        <x:v>1</x:v>
      </x:c>
      <x:c r="F183" s="7" t="n">
        <x:v>1</x:v>
      </x:c>
      <x:c r="G183" s="5" t="str">
        <x:v>Fabricación</x:v>
      </x:c>
      <x:c r="H183" s="5" t="str">
        <x:v>Cubo de conexión por apriete y brida de disco N</x:v>
      </x:c>
      <x:c r="I183" s="5" t="str">
        <x:v>AISI 4140 bonificado</x:v>
      </x:c>
      <x:c r="J183" s="5" t="str">
        <x:v>Cantidades por conjunto; no sumar como total de máquina.</x:v>
      </x:c>
    </x:row>
    <x:row r="184" ht="30" customHeight="1">
      <x:c r="A184" s="4" t="str">
        <x:v>TT10_C05_PC_01</x:v>
      </x:c>
      <x:c r="B184" s="4" t="str">
        <x:v>Conjunto general y montaje</x:v>
      </x:c>
      <x:c r="C184" s="6" t="n">
        <x:v>181</x:v>
      </x:c>
      <x:c r="D184" s="4" t="str">
        <x:v>TT10_D_CUBO_P</x:v>
      </x:c>
      <x:c r="E184" s="6" t="n">
        <x:v>1</x:v>
      </x:c>
      <x:c r="F184" s="6" t="n">
        <x:v>1</x:v>
      </x:c>
      <x:c r="G184" s="4" t="str">
        <x:v>Fabricación</x:v>
      </x:c>
      <x:c r="H184" s="4" t="str">
        <x:v>Cubo de conexión por apriete y brida de disco P</x:v>
      </x:c>
      <x:c r="I184" s="4" t="str">
        <x:v>AISI 4140 bonificado</x:v>
      </x:c>
      <x:c r="J184" s="4" t="str">
        <x:v>Cantidades por conjunto; no sumar como total de máquina.</x:v>
      </x:c>
    </x:row>
    <x:row r="185" ht="30" customHeight="1">
      <x:c r="A185" s="5" t="str">
        <x:v>TT10_C05_PC_01</x:v>
      </x:c>
      <x:c r="B185" s="5" t="str">
        <x:v>Conjunto general y montaje</x:v>
      </x:c>
      <x:c r="C185" s="7" t="n">
        <x:v>182</x:v>
      </x:c>
      <x:c r="D185" s="5" t="str">
        <x:v>TT10_D_DISCO_N</x:v>
      </x:c>
      <x:c r="E185" s="7" t="n">
        <x:v>1</x:v>
      </x:c>
      <x:c r="F185" s="7" t="n">
        <x:v>1</x:v>
      </x:c>
      <x:c r="G185" s="5" t="str">
        <x:v>Compra</x:v>
      </x:c>
      <x:c r="H185" s="5" t="str">
        <x:v>Disco de freno de salida N; diámetro nominal de dibujo</x:v>
      </x:c>
      <x:c r="I185" s="5" t="str">
        <x:v>Equipo comprado</x:v>
      </x:c>
      <x:c r="J185" s="5" t="str">
        <x:v>Cantidades por conjunto; no sumar como total de máquina.</x:v>
      </x:c>
    </x:row>
    <x:row r="186" ht="30" customHeight="1">
      <x:c r="A186" s="4" t="str">
        <x:v>TT10_C05_PC_01</x:v>
      </x:c>
      <x:c r="B186" s="4" t="str">
        <x:v>Conjunto general y montaje</x:v>
      </x:c>
      <x:c r="C186" s="6" t="n">
        <x:v>183</x:v>
      </x:c>
      <x:c r="D186" s="4" t="str">
        <x:v>TT10_D_DISCO_P</x:v>
      </x:c>
      <x:c r="E186" s="6" t="n">
        <x:v>1</x:v>
      </x:c>
      <x:c r="F186" s="6" t="n">
        <x:v>1</x:v>
      </x:c>
      <x:c r="G186" s="4" t="str">
        <x:v>Compra</x:v>
      </x:c>
      <x:c r="H186" s="4" t="str">
        <x:v>Disco de freno de salida P; diámetro nominal de dibujo</x:v>
      </x:c>
      <x:c r="I186" s="4" t="str">
        <x:v>Equipo comprado</x:v>
      </x:c>
      <x:c r="J186" s="4" t="str">
        <x:v>Cantidades por conjunto; no sumar como total de máquina.</x:v>
      </x:c>
    </x:row>
    <x:row r="187" ht="30" customHeight="1">
      <x:c r="A187" s="5" t="str">
        <x:v>TT10_C05_PC_01</x:v>
      </x:c>
      <x:c r="B187" s="5" t="str">
        <x:v>Conjunto general y montaje</x:v>
      </x:c>
      <x:c r="C187" s="7" t="n">
        <x:v>184</x:v>
      </x:c>
      <x:c r="D187" s="5" t="str">
        <x:v>TT10_D_ENCODER</x:v>
      </x:c>
      <x:c r="E187" s="7" t="n">
        <x:v>1</x:v>
      </x:c>
      <x:c r="F187" s="7" t="n">
        <x:v>1</x:v>
      </x:c>
      <x:c r="G187" s="5" t="str">
        <x:v>Compra</x:v>
      </x:c>
      <x:c r="H187" s="5" t="str">
        <x:v>Encoder de velocidad en eje motor</x:v>
      </x:c>
      <x:c r="I187" s="5" t="str">
        <x:v>Equipo comprado</x:v>
      </x:c>
      <x:c r="J187" s="5" t="str">
        <x:v>Cantidades por conjunto; no sumar como total de máquina.</x:v>
      </x:c>
    </x:row>
    <x:row r="188" ht="30" customHeight="1">
      <x:c r="A188" s="4" t="str">
        <x:v>TT10_C05_PC_01</x:v>
      </x:c>
      <x:c r="B188" s="4" t="str">
        <x:v>Conjunto general y montaje</x:v>
      </x:c>
      <x:c r="C188" s="6" t="n">
        <x:v>185</x:v>
      </x:c>
      <x:c r="D188" s="4" t="str">
        <x:v>TT10_D_ENTRADA_REDUCTOR</x:v>
      </x:c>
      <x:c r="E188" s="6" t="n">
        <x:v>1</x:v>
      </x:c>
      <x:c r="F188" s="6" t="n">
        <x:v>1</x:v>
      </x:c>
      <x:c r="G188" s="4" t="str">
        <x:v>Compra</x:v>
      </x:c>
      <x:c r="H188" s="4" t="str">
        <x:v>Eje de conexión geométrica ENTRADA_REDUCTOR</x:v>
      </x:c>
      <x:c r="I188" s="4" t="str">
        <x:v>Equipo comprado; materiales y masa según ficha OEM</x:v>
      </x:c>
      <x:c r="J188" s="4" t="str">
        <x:v>Cantidades por conjunto; no sumar como total de máquina.</x:v>
      </x:c>
    </x:row>
    <x:row r="189" ht="30" customHeight="1">
      <x:c r="A189" s="5" t="str">
        <x:v>TT10_C05_PC_01</x:v>
      </x:c>
      <x:c r="B189" s="5" t="str">
        <x:v>Conjunto general y montaje</x:v>
      </x:c>
      <x:c r="C189" s="7" t="n">
        <x:v>186</x:v>
      </x:c>
      <x:c r="D189" s="5" t="str">
        <x:v>TT10_D_LIBERACION_FRENO_N</x:v>
      </x:c>
      <x:c r="E189" s="7" t="n">
        <x:v>1</x:v>
      </x:c>
      <x:c r="F189" s="7" t="n">
        <x:v>1</x:v>
      </x:c>
      <x:c r="G189" s="5" t="str">
        <x:v>Compra</x:v>
      </x:c>
      <x:c r="H189" s="5" t="str">
        <x:v>Eje de conexión geométrica LIBERACION_FRENO_N</x:v>
      </x:c>
      <x:c r="I189" s="5" t="str">
        <x:v>Mecanismo OEM Svendborg; incluido en pinza</x:v>
      </x:c>
      <x:c r="J189" s="5" t="str">
        <x:v>Cantidades por conjunto; no sumar como total de máquina.</x:v>
      </x:c>
    </x:row>
    <x:row r="190" ht="30" customHeight="1">
      <x:c r="A190" s="4" t="str">
        <x:v>TT10_C05_PC_01</x:v>
      </x:c>
      <x:c r="B190" s="4" t="str">
        <x:v>Conjunto general y montaje</x:v>
      </x:c>
      <x:c r="C190" s="6" t="n">
        <x:v>187</x:v>
      </x:c>
      <x:c r="D190" s="4" t="str">
        <x:v>TT10_D_LIBERACION_FRENO_P</x:v>
      </x:c>
      <x:c r="E190" s="6" t="n">
        <x:v>1</x:v>
      </x:c>
      <x:c r="F190" s="6" t="n">
        <x:v>1</x:v>
      </x:c>
      <x:c r="G190" s="4" t="str">
        <x:v>Compra</x:v>
      </x:c>
      <x:c r="H190" s="4" t="str">
        <x:v>Eje de conexión geométrica LIBERACION_FRENO_P</x:v>
      </x:c>
      <x:c r="I190" s="4" t="str">
        <x:v>Mecanismo OEM Svendborg; incluido en pinza</x:v>
      </x:c>
      <x:c r="J190" s="4" t="str">
        <x:v>Cantidades por conjunto; no sumar como total de máquina.</x:v>
      </x:c>
    </x:row>
    <x:row r="191" ht="30" customHeight="1">
      <x:c r="A191" s="5" t="str">
        <x:v>TT10_C05_PC_01</x:v>
      </x:c>
      <x:c r="B191" s="5" t="str">
        <x:v>Conjunto general y montaje</x:v>
      </x:c>
      <x:c r="C191" s="7" t="n">
        <x:v>188</x:v>
      </x:c>
      <x:c r="D191" s="5" t="str">
        <x:v>TT10_D_MANDO_PRESENTE</x:v>
      </x:c>
      <x:c r="E191" s="7" t="n">
        <x:v>1</x:v>
      </x:c>
      <x:c r="F191" s="7" t="n">
        <x:v>1</x:v>
      </x:c>
      <x:c r="G191" s="5" t="str">
        <x:v>Fabricación</x:v>
      </x:c>
      <x:c r="H191" s="5" t="str">
        <x:v>Palanca de hombre presente para liberación manual nominal</x:v>
      </x:c>
      <x:c r="I191" s="5" t="str">
        <x:v>ASTM A36</x:v>
      </x:c>
      <x:c r="J191" s="5" t="str">
        <x:v>Cantidades por conjunto; no sumar como total de máquina.</x:v>
      </x:c>
    </x:row>
    <x:row r="192" ht="30" customHeight="1">
      <x:c r="A192" s="4" t="str">
        <x:v>TT10_C05_PC_01</x:v>
      </x:c>
      <x:c r="B192" s="4" t="str">
        <x:v>Conjunto general y montaje</x:v>
      </x:c>
      <x:c r="C192" s="6" t="n">
        <x:v>189</x:v>
      </x:c>
      <x:c r="D192" s="4" t="str">
        <x:v>TT10_D_MOTOR</x:v>
      </x:c>
      <x:c r="E192" s="6" t="n">
        <x:v>1</x:v>
      </x:c>
      <x:c r="F192" s="6" t="n">
        <x:v>1</x:v>
      </x:c>
      <x:c r="G192" s="4" t="str">
        <x:v>Compra</x:v>
      </x:c>
      <x:c r="H192" s="4" t="str">
        <x:v>Motor eléctrico con encoder; geometría nominal, potencia no seleccionada</x:v>
      </x:c>
      <x:c r="I192" s="4" t="str">
        <x:v>Equipo comprado; materiales y masa según ficha OEM</x:v>
      </x:c>
      <x:c r="J192" s="4" t="str">
        <x:v>Cantidades por conjunto; no sumar como total de máquina.</x:v>
      </x:c>
    </x:row>
    <x:row r="193" ht="30" customHeight="1">
      <x:c r="A193" s="5" t="str">
        <x:v>TT10_C05_PC_01</x:v>
      </x:c>
      <x:c r="B193" s="5" t="str">
        <x:v>Conjunto general y montaje</x:v>
      </x:c>
      <x:c r="C193" s="7" t="n">
        <x:v>190</x:v>
      </x:c>
      <x:c r="D193" s="5" t="str">
        <x:v>TT10_D_PALANCA_PESTILLO_N</x:v>
      </x:c>
      <x:c r="E193" s="7" t="n">
        <x:v>1</x:v>
      </x:c>
      <x:c r="F193" s="7" t="n">
        <x:v>1</x:v>
      </x:c>
      <x:c r="G193" s="5" t="str">
        <x:v>Fabricación</x:v>
      </x:c>
      <x:c r="H193" s="5" t="str">
        <x:v>Palanca accesible de recuperación del pestillo por cable</x:v>
      </x:c>
      <x:c r="I193" s="5" t="str">
        <x:v>AISI 4140 bonificado</x:v>
      </x:c>
      <x:c r="J193" s="5" t="str">
        <x:v>Cantidades por conjunto; no sumar como total de máquina.</x:v>
      </x:c>
    </x:row>
    <x:row r="194" ht="30" customHeight="1">
      <x:c r="A194" s="4" t="str">
        <x:v>TT10_C05_PC_01</x:v>
      </x:c>
      <x:c r="B194" s="4" t="str">
        <x:v>Conjunto general y montaje</x:v>
      </x:c>
      <x:c r="C194" s="6" t="n">
        <x:v>191</x:v>
      </x:c>
      <x:c r="D194" s="4" t="str">
        <x:v>TT10_D_PALANCA_PESTILLO_P</x:v>
      </x:c>
      <x:c r="E194" s="6" t="n">
        <x:v>1</x:v>
      </x:c>
      <x:c r="F194" s="6" t="n">
        <x:v>1</x:v>
      </x:c>
      <x:c r="G194" s="4" t="str">
        <x:v>Fabricación</x:v>
      </x:c>
      <x:c r="H194" s="4" t="str">
        <x:v>Palanca accesible de recuperación del pestillo por cable</x:v>
      </x:c>
      <x:c r="I194" s="4" t="str">
        <x:v>AISI 4140 bonificado</x:v>
      </x:c>
      <x:c r="J194" s="4" t="str">
        <x:v>Cantidades por conjunto; no sumar como total de máquina.</x:v>
      </x:c>
    </x:row>
    <x:row r="195" ht="30" customHeight="1">
      <x:c r="A195" s="5" t="str">
        <x:v>TT10_C05_PC_01</x:v>
      </x:c>
      <x:c r="B195" s="5" t="str">
        <x:v>Conjunto general y montaje</x:v>
      </x:c>
      <x:c r="C195" s="7" t="n">
        <x:v>192</x:v>
      </x:c>
      <x:c r="D195" s="5" t="str">
        <x:v>TT10_D_PALANCA_SELECTOR</x:v>
      </x:c>
      <x:c r="E195" s="7" t="n">
        <x:v>1</x:v>
      </x:c>
      <x:c r="F195" s="7" t="n">
        <x:v>1</x:v>
      </x:c>
      <x:c r="G195" s="5" t="str">
        <x:v>Fabricación</x:v>
      </x:c>
      <x:c r="H195" s="5" t="str">
        <x:v>Selector E-0-M a altura accesible; transmisión por varilla</x:v>
      </x:c>
      <x:c r="I195" s="5" t="str">
        <x:v>ASTM A36</x:v>
      </x:c>
      <x:c r="J195" s="5" t="str">
        <x:v>Cantidades por conjunto; no sumar como total de máquina.</x:v>
      </x:c>
    </x:row>
    <x:row r="196" ht="30" customHeight="1">
      <x:c r="A196" s="4" t="str">
        <x:v>TT10_C05_PC_01</x:v>
      </x:c>
      <x:c r="B196" s="4" t="str">
        <x:v>Conjunto general y montaje</x:v>
      </x:c>
      <x:c r="C196" s="6" t="n">
        <x:v>193</x:v>
      </x:c>
      <x:c r="D196" s="4" t="str">
        <x:v>TT10_D_PASTILLA_N0</x:v>
      </x:c>
      <x:c r="E196" s="6" t="n">
        <x:v>1</x:v>
      </x:c>
      <x:c r="F196" s="6" t="n">
        <x:v>1</x:v>
      </x:c>
      <x:c r="G196" s="4" t="str">
        <x:v>Compra</x:v>
      </x:c>
      <x:c r="H196" s="4" t="str">
        <x:v>Pastilla de freno; contacto nominal intencional</x:v>
      </x:c>
      <x:c r="I196" s="4" t="str">
        <x:v>Material de fricción OEM Svendborg; según suministro</x:v>
      </x:c>
      <x:c r="J196" s="4" t="str">
        <x:v>Cantidades por conjunto; no sumar como total de máquina.</x:v>
      </x:c>
    </x:row>
    <x:row r="197" ht="30" customHeight="1">
      <x:c r="A197" s="5" t="str">
        <x:v>TT10_C05_PC_01</x:v>
      </x:c>
      <x:c r="B197" s="5" t="str">
        <x:v>Conjunto general y montaje</x:v>
      </x:c>
      <x:c r="C197" s="7" t="n">
        <x:v>194</x:v>
      </x:c>
      <x:c r="D197" s="5" t="str">
        <x:v>TT10_D_PASTILLA_N1</x:v>
      </x:c>
      <x:c r="E197" s="7" t="n">
        <x:v>1</x:v>
      </x:c>
      <x:c r="F197" s="7" t="n">
        <x:v>1</x:v>
      </x:c>
      <x:c r="G197" s="5" t="str">
        <x:v>Compra</x:v>
      </x:c>
      <x:c r="H197" s="5" t="str">
        <x:v>Pastilla de freno; contacto nominal intencional</x:v>
      </x:c>
      <x:c r="I197" s="5" t="str">
        <x:v>Material de fricción OEM Svendborg; según suministro</x:v>
      </x:c>
      <x:c r="J197" s="5" t="str">
        <x:v>Cantidades por conjunto; no sumar como total de máquina.</x:v>
      </x:c>
    </x:row>
    <x:row r="198" ht="30" customHeight="1">
      <x:c r="A198" s="4" t="str">
        <x:v>TT10_C05_PC_01</x:v>
      </x:c>
      <x:c r="B198" s="4" t="str">
        <x:v>Conjunto general y montaje</x:v>
      </x:c>
      <x:c r="C198" s="6" t="n">
        <x:v>195</x:v>
      </x:c>
      <x:c r="D198" s="4" t="str">
        <x:v>TT10_D_PASTILLA_P0</x:v>
      </x:c>
      <x:c r="E198" s="6" t="n">
        <x:v>1</x:v>
      </x:c>
      <x:c r="F198" s="6" t="n">
        <x:v>1</x:v>
      </x:c>
      <x:c r="G198" s="4" t="str">
        <x:v>Compra</x:v>
      </x:c>
      <x:c r="H198" s="4" t="str">
        <x:v>Pastilla de freno; contacto nominal intencional</x:v>
      </x:c>
      <x:c r="I198" s="4" t="str">
        <x:v>Material de fricción OEM Svendborg; según suministro</x:v>
      </x:c>
      <x:c r="J198" s="4" t="str">
        <x:v>Cantidades por conjunto; no sumar como total de máquina.</x:v>
      </x:c>
    </x:row>
    <x:row r="199" ht="30" customHeight="1">
      <x:c r="A199" s="5" t="str">
        <x:v>TT10_C05_PC_01</x:v>
      </x:c>
      <x:c r="B199" s="5" t="str">
        <x:v>Conjunto general y montaje</x:v>
      </x:c>
      <x:c r="C199" s="7" t="n">
        <x:v>196</x:v>
      </x:c>
      <x:c r="D199" s="5" t="str">
        <x:v>TT10_D_PASTILLA_P1</x:v>
      </x:c>
      <x:c r="E199" s="7" t="n">
        <x:v>1</x:v>
      </x:c>
      <x:c r="F199" s="7" t="n">
        <x:v>1</x:v>
      </x:c>
      <x:c r="G199" s="5" t="str">
        <x:v>Compra</x:v>
      </x:c>
      <x:c r="H199" s="5" t="str">
        <x:v>Pastilla de freno; contacto nominal intencional</x:v>
      </x:c>
      <x:c r="I199" s="5" t="str">
        <x:v>Material de fricción OEM Svendborg; según suministro</x:v>
      </x:c>
      <x:c r="J199" s="5" t="str">
        <x:v>Cantidades por conjunto; no sumar como total de máquina.</x:v>
      </x:c>
    </x:row>
    <x:row r="200" ht="30" customHeight="1">
      <x:c r="A200" s="4" t="str">
        <x:v>TT10_C05_PC_01</x:v>
      </x:c>
      <x:c r="B200" s="4" t="str">
        <x:v>Conjunto general y montaje</x:v>
      </x:c>
      <x:c r="C200" s="6" t="n">
        <x:v>197</x:v>
      </x:c>
      <x:c r="D200" s="4" t="str">
        <x:v>TT10_D_PEDESTAL_AUX</x:v>
      </x:c>
      <x:c r="E200" s="6" t="n">
        <x:v>1</x:v>
      </x:c>
      <x:c r="F200" s="6" t="n">
        <x:v>1</x:v>
      </x:c>
      <x:c r="G200" s="4" t="str">
        <x:v>Fabricación</x:v>
      </x:c>
      <x:c r="H200" s="4" t="str">
        <x:v>Pedestal bajo reducción auxiliar</x:v>
      </x:c>
      <x:c r="I200" s="4" t="str">
        <x:v>ASTM A36</x:v>
      </x:c>
      <x:c r="J200" s="4" t="str">
        <x:v>Cantidades por conjunto; no sumar como total de máquina.</x:v>
      </x:c>
    </x:row>
    <x:row r="201" ht="30" customHeight="1">
      <x:c r="A201" s="5" t="str">
        <x:v>TT10_C05_PC_01</x:v>
      </x:c>
      <x:c r="B201" s="5" t="str">
        <x:v>Conjunto general y montaje</x:v>
      </x:c>
      <x:c r="C201" s="7" t="n">
        <x:v>198</x:v>
      </x:c>
      <x:c r="D201" s="5" t="str">
        <x:v>TT10_D_PEDESTAL_MOTOR</x:v>
      </x:c>
      <x:c r="E201" s="7" t="n">
        <x:v>1</x:v>
      </x:c>
      <x:c r="F201" s="7" t="n">
        <x:v>1</x:v>
      </x:c>
      <x:c r="G201" s="5" t="str">
        <x:v>Fabricación</x:v>
      </x:c>
      <x:c r="H201" s="5" t="str">
        <x:v>Soporte común de pies del motor</x:v>
      </x:c>
      <x:c r="I201" s="5" t="str">
        <x:v>ASTM A36</x:v>
      </x:c>
      <x:c r="J201" s="5" t="str">
        <x:v>Cantidades por conjunto; no sumar como total de máquina.</x:v>
      </x:c>
    </x:row>
    <x:row r="202" ht="30" customHeight="1">
      <x:c r="A202" s="4" t="str">
        <x:v>TT10_C05_PC_01</x:v>
      </x:c>
      <x:c r="B202" s="4" t="str">
        <x:v>Conjunto general y montaje</x:v>
      </x:c>
      <x:c r="C202" s="6" t="n">
        <x:v>199</x:v>
      </x:c>
      <x:c r="D202" s="4" t="str">
        <x:v>TT10_D_PINZA_N</x:v>
      </x:c>
      <x:c r="E202" s="6" t="n">
        <x:v>1</x:v>
      </x:c>
      <x:c r="F202" s="6" t="n">
        <x:v>1</x:v>
      </x:c>
      <x:c r="G202" s="4" t="str">
        <x:v>Compra</x:v>
      </x:c>
      <x:c r="H202" s="4" t="str">
        <x:v>Pinza de freno por resorte, liberación eléctrica N; envolvente nominal</x:v>
      </x:c>
      <x:c r="I202" s="4" t="str">
        <x:v>Equipo comprado</x:v>
      </x:c>
      <x:c r="J202" s="4" t="str">
        <x:v>Cantidades por conjunto; no sumar como total de máquina.</x:v>
      </x:c>
    </x:row>
    <x:row r="203" ht="30" customHeight="1">
      <x:c r="A203" s="5" t="str">
        <x:v>TT10_C05_PC_01</x:v>
      </x:c>
      <x:c r="B203" s="5" t="str">
        <x:v>Conjunto general y montaje</x:v>
      </x:c>
      <x:c r="C203" s="7" t="n">
        <x:v>200</x:v>
      </x:c>
      <x:c r="D203" s="5" t="str">
        <x:v>TT10_D_PINZA_P</x:v>
      </x:c>
      <x:c r="E203" s="7" t="n">
        <x:v>1</x:v>
      </x:c>
      <x:c r="F203" s="7" t="n">
        <x:v>1</x:v>
      </x:c>
      <x:c r="G203" s="5" t="str">
        <x:v>Compra</x:v>
      </x:c>
      <x:c r="H203" s="5" t="str">
        <x:v>Pinza de freno por resorte, liberación eléctrica P; envolvente nominal</x:v>
      </x:c>
      <x:c r="I203" s="5" t="str">
        <x:v>Equipo comprado</x:v>
      </x:c>
      <x:c r="J203" s="5" t="str">
        <x:v>Cantidades por conjunto; no sumar como total de máquina.</x:v>
      </x:c>
    </x:row>
    <x:row r="204" ht="30" customHeight="1">
      <x:c r="A204" s="4" t="str">
        <x:v>TT10_C05_PC_01</x:v>
      </x:c>
      <x:c r="B204" s="4" t="str">
        <x:v>Conjunto general y montaje</x:v>
      </x:c>
      <x:c r="C204" s="6" t="n">
        <x:v>201</x:v>
      </x:c>
      <x:c r="D204" s="4" t="str">
        <x:v>TT10_D_PLATAFORMA</x:v>
      </x:c>
      <x:c r="E204" s="6" t="n">
        <x:v>1</x:v>
      </x:c>
      <x:c r="F204" s="6" t="n">
        <x:v>1</x:v>
      </x:c>
      <x:c r="G204" s="4" t="str">
        <x:v>Fabricación</x:v>
      </x:c>
      <x:c r="H204" s="4" t="str">
        <x:v>Plataforma t40 con paso abierto de cadena ancho100, extremo R50; geometría nativa vigente</x:v>
      </x:c>
      <x:c r="I204" s="4" t="str">
        <x:v>ASTM A36</x:v>
      </x:c>
      <x:c r="J204" s="4" t="str">
        <x:v>Cantidades por conjunto; no sumar como total de máquina.</x:v>
      </x:c>
    </x:row>
    <x:row r="205" ht="30" customHeight="1">
      <x:c r="A205" s="5" t="str">
        <x:v>TT10_C05_PC_01</x:v>
      </x:c>
      <x:c r="B205" s="5" t="str">
        <x:v>Conjunto general y montaje</x:v>
      </x:c>
      <x:c r="C205" s="7" t="n">
        <x:v>202</x:v>
      </x:c>
      <x:c r="D205" s="5" t="str">
        <x:v>TT10_D_POSTE_ARMARIO</x:v>
      </x:c>
      <x:c r="E205" s="7" t="n">
        <x:v>1</x:v>
      </x:c>
      <x:c r="F205" s="7" t="n">
        <x:v>1</x:v>
      </x:c>
      <x:c r="G205" s="5" t="str">
        <x:v>Fabricación</x:v>
      </x:c>
      <x:c r="H205" s="5" t="str">
        <x:v>Soporte de armario</x:v>
      </x:c>
      <x:c r="I205" s="5" t="str">
        <x:v>ASTM A36</x:v>
      </x:c>
      <x:c r="J205" s="5" t="str">
        <x:v>Cantidades por conjunto; no sumar como total de máquina.</x:v>
      </x:c>
    </x:row>
    <x:row r="206" ht="30" customHeight="1">
      <x:c r="A206" s="4" t="str">
        <x:v>TT10_C05_PC_01</x:v>
      </x:c>
      <x:c r="B206" s="4" t="str">
        <x:v>Conjunto general y montaje</x:v>
      </x:c>
      <x:c r="C206" s="6" t="n">
        <x:v>203</x:v>
      </x:c>
      <x:c r="D206" s="4" t="str">
        <x:v>TT10_D_POSTE_BOTONERA</x:v>
      </x:c>
      <x:c r="E206" s="6" t="n">
        <x:v>1</x:v>
      </x:c>
      <x:c r="F206" s="6" t="n">
        <x:v>1</x:v>
      </x:c>
      <x:c r="G206" s="4" t="str">
        <x:v>Fabricación</x:v>
      </x:c>
      <x:c r="H206" s="4" t="str">
        <x:v>Poste de botonera fuera del plano de giro</x:v>
      </x:c>
      <x:c r="I206" s="4" t="str">
        <x:v>ASTM A36</x:v>
      </x:c>
      <x:c r="J206" s="4" t="str">
        <x:v>Cantidades por conjunto; no sumar como total de máquina.</x:v>
      </x:c>
    </x:row>
    <x:row r="207" ht="30" customHeight="1">
      <x:c r="A207" s="5" t="str">
        <x:v>TT10_C05_PC_01</x:v>
      </x:c>
      <x:c r="B207" s="5" t="str">
        <x:v>Conjunto general y montaje</x:v>
      </x:c>
      <x:c r="C207" s="7" t="n">
        <x:v>204</x:v>
      </x:c>
      <x:c r="D207" s="5" t="str">
        <x:v>TT10_D_POSTE_FRENO_N</x:v>
      </x:c>
      <x:c r="E207" s="7" t="n">
        <x:v>1</x:v>
      </x:c>
      <x:c r="F207" s="7" t="n">
        <x:v>1</x:v>
      </x:c>
      <x:c r="G207" s="5" t="str">
        <x:v>Fabricación</x:v>
      </x:c>
      <x:c r="H207" s="5" t="str">
        <x:v>Pedestal del freno N</x:v>
      </x:c>
      <x:c r="I207" s="5" t="str">
        <x:v>ASTM A36</x:v>
      </x:c>
      <x:c r="J207" s="5" t="str">
        <x:v>Cantidades por conjunto; no sumar como total de máquina.</x:v>
      </x:c>
    </x:row>
    <x:row r="208" ht="30" customHeight="1">
      <x:c r="A208" s="4" t="str">
        <x:v>TT10_C05_PC_01</x:v>
      </x:c>
      <x:c r="B208" s="4" t="str">
        <x:v>Conjunto general y montaje</x:v>
      </x:c>
      <x:c r="C208" s="6" t="n">
        <x:v>205</x:v>
      </x:c>
      <x:c r="D208" s="4" t="str">
        <x:v>TT10_D_POSTE_FRENO_P</x:v>
      </x:c>
      <x:c r="E208" s="6" t="n">
        <x:v>1</x:v>
      </x:c>
      <x:c r="F208" s="6" t="n">
        <x:v>1</x:v>
      </x:c>
      <x:c r="G208" s="4" t="str">
        <x:v>Fabricación</x:v>
      </x:c>
      <x:c r="H208" s="4" t="str">
        <x:v>Pedestal del freno P</x:v>
      </x:c>
      <x:c r="I208" s="4" t="str">
        <x:v>ASTM A36</x:v>
      </x:c>
      <x:c r="J208" s="4" t="str">
        <x:v>Cantidades por conjunto; no sumar como total de máquina.</x:v>
      </x:c>
    </x:row>
    <x:row r="209" ht="30" customHeight="1">
      <x:c r="A209" s="5" t="str">
        <x:v>TT10_C05_PC_01</x:v>
      </x:c>
      <x:c r="B209" s="5" t="str">
        <x:v>Conjunto general y montaje</x:v>
      </x:c>
      <x:c r="C209" s="7" t="n">
        <x:v>206</x:v>
      </x:c>
      <x:c r="D209" s="5" t="str">
        <x:v>TT10_D_POSTE_MANDO</x:v>
      </x:c>
      <x:c r="E209" s="7" t="n">
        <x:v>1</x:v>
      </x:c>
      <x:c r="F209" s="7" t="n">
        <x:v>1</x:v>
      </x:c>
      <x:c r="G209" s="5" t="str">
        <x:v>Fabricación</x:v>
      </x:c>
      <x:c r="H209" s="5" t="str">
        <x:v>Soporte del mando manual fuera del plano del volante</x:v>
      </x:c>
      <x:c r="I209" s="5" t="str">
        <x:v>ASTM A36</x:v>
      </x:c>
      <x:c r="J209" s="5" t="str">
        <x:v>Cantidades por conjunto; no sumar como total de máquina.</x:v>
      </x:c>
    </x:row>
    <x:row r="210" ht="30" customHeight="1">
      <x:c r="A210" s="4" t="str">
        <x:v>TT10_C05_PC_01</x:v>
      </x:c>
      <x:c r="B210" s="4" t="str">
        <x:v>Conjunto general y montaje</x:v>
      </x:c>
      <x:c r="C210" s="6" t="n">
        <x:v>207</x:v>
      </x:c>
      <x:c r="D210" s="4" t="str">
        <x:v>TT10_D_POSTE_RECUP_N</x:v>
      </x:c>
      <x:c r="E210" s="6" t="n">
        <x:v>1</x:v>
      </x:c>
      <x:c r="F210" s="6" t="n">
        <x:v>1</x:v>
      </x:c>
      <x:c r="G210" s="4" t="str">
        <x:v>Fabricación</x:v>
      </x:c>
      <x:c r="H210" s="4" t="str">
        <x:v>Soporte de manivela y desbloqueo manual N</x:v>
      </x:c>
      <x:c r="I210" s="4" t="str">
        <x:v>ASTM A36</x:v>
      </x:c>
      <x:c r="J210" s="4" t="str">
        <x:v>Cantidades por conjunto; no sumar como total de máquina.</x:v>
      </x:c>
    </x:row>
    <x:row r="211" ht="30" customHeight="1">
      <x:c r="A211" s="5" t="str">
        <x:v>TT10_C05_PC_01</x:v>
      </x:c>
      <x:c r="B211" s="5" t="str">
        <x:v>Conjunto general y montaje</x:v>
      </x:c>
      <x:c r="C211" s="7" t="n">
        <x:v>208</x:v>
      </x:c>
      <x:c r="D211" s="5" t="str">
        <x:v>TT10_D_POSTE_RECUP_P</x:v>
      </x:c>
      <x:c r="E211" s="7" t="n">
        <x:v>1</x:v>
      </x:c>
      <x:c r="F211" s="7" t="n">
        <x:v>1</x:v>
      </x:c>
      <x:c r="G211" s="5" t="str">
        <x:v>Fabricación</x:v>
      </x:c>
      <x:c r="H211" s="5" t="str">
        <x:v>Soporte de manivela y desbloqueo manual P</x:v>
      </x:c>
      <x:c r="I211" s="5" t="str">
        <x:v>ASTM A36</x:v>
      </x:c>
      <x:c r="J211" s="5" t="str">
        <x:v>Cantidades por conjunto; no sumar como total de máquina.</x:v>
      </x:c>
    </x:row>
    <x:row r="212" ht="30" customHeight="1">
      <x:c r="A212" s="4" t="str">
        <x:v>TT10_C05_PC_01</x:v>
      </x:c>
      <x:c r="B212" s="4" t="str">
        <x:v>Conjunto general y montaje</x:v>
      </x:c>
      <x:c r="C212" s="6" t="n">
        <x:v>209</x:v>
      </x:c>
      <x:c r="D212" s="4" t="str">
        <x:v>TT10_D_REDUCTOR</x:v>
      </x:c>
      <x:c r="E212" s="6" t="n">
        <x:v>1</x:v>
      </x:c>
      <x:c r="F212" s="6" t="n">
        <x:v>1</x:v>
      </x:c>
      <x:c r="G212" s="4" t="str">
        <x:v>Compra</x:v>
      </x:c>
      <x:c r="H212" s="4" t="str">
        <x:v>Reductor principal angular: carcasa y conexiones nominales</x:v>
      </x:c>
      <x:c r="I212" s="4" t="str">
        <x:v>Equipo comprado; materiales y masa según ficha OEM</x:v>
      </x:c>
      <x:c r="J212" s="4" t="str">
        <x:v>Cantidades por conjunto; no sumar como total de máquina.</x:v>
      </x:c>
    </x:row>
    <x:row r="213" ht="30" customHeight="1">
      <x:c r="A213" s="5" t="str">
        <x:v>TT10_C05_PC_01</x:v>
      </x:c>
      <x:c r="B213" s="5" t="str">
        <x:v>Conjunto general y montaje</x:v>
      </x:c>
      <x:c r="C213" s="7" t="n">
        <x:v>210</x:v>
      </x:c>
      <x:c r="D213" s="5" t="str">
        <x:v>TT10_D_RESORTE_FRENO_N</x:v>
      </x:c>
      <x:c r="E213" s="7" t="n">
        <x:v>1</x:v>
      </x:c>
      <x:c r="F213" s="7" t="n">
        <x:v>1</x:v>
      </x:c>
      <x:c r="G213" s="5" t="str">
        <x:v>Compra</x:v>
      </x:c>
      <x:c r="H213" s="5" t="str">
        <x:v>Paquete de resortes de aplicación del freno N</x:v>
      </x:c>
      <x:c r="I213" s="5" t="str">
        <x:v>Acero de resorte OEM Svendborg; según suministro</x:v>
      </x:c>
      <x:c r="J213" s="5" t="str">
        <x:v>Cantidades por conjunto; no sumar como total de máquina.</x:v>
      </x:c>
    </x:row>
    <x:row r="214" ht="30" customHeight="1">
      <x:c r="A214" s="4" t="str">
        <x:v>TT10_C05_PC_01</x:v>
      </x:c>
      <x:c r="B214" s="4" t="str">
        <x:v>Conjunto general y montaje</x:v>
      </x:c>
      <x:c r="C214" s="6" t="n">
        <x:v>211</x:v>
      </x:c>
      <x:c r="D214" s="4" t="str">
        <x:v>TT10_D_RESORTE_FRENO_P</x:v>
      </x:c>
      <x:c r="E214" s="6" t="n">
        <x:v>1</x:v>
      </x:c>
      <x:c r="F214" s="6" t="n">
        <x:v>1</x:v>
      </x:c>
      <x:c r="G214" s="4" t="str">
        <x:v>Compra</x:v>
      </x:c>
      <x:c r="H214" s="4" t="str">
        <x:v>Paquete de resortes de aplicación del freno P</x:v>
      </x:c>
      <x:c r="I214" s="4" t="str">
        <x:v>Acero de resorte OEM Svendborg; según suministro</x:v>
      </x:c>
      <x:c r="J214" s="4" t="str">
        <x:v>Cantidades por conjunto; no sumar como total de máquina.</x:v>
      </x:c>
    </x:row>
    <x:row r="215" ht="30" customHeight="1">
      <x:c r="A215" s="5" t="str">
        <x:v>TT10_C05_PC_01</x:v>
      </x:c>
      <x:c r="B215" s="5" t="str">
        <x:v>Conjunto general y montaje</x:v>
      </x:c>
      <x:c r="C215" s="7" t="n">
        <x:v>212</x:v>
      </x:c>
      <x:c r="D215" s="5" t="str">
        <x:v>TT10_D_ROD_SELECTOR</x:v>
      </x:c>
      <x:c r="E215" s="7" t="n">
        <x:v>1</x:v>
      </x:c>
      <x:c r="F215" s="7" t="n">
        <x:v>1</x:v>
      </x:c>
      <x:c r="G215" s="5" t="str">
        <x:v>Fabricación</x:v>
      </x:c>
      <x:c r="H215" s="5" t="str">
        <x:v>Eje de conexión geométrica ROD_SELECTOR</x:v>
      </x:c>
      <x:c r="I215" s="5" t="str">
        <x:v>ASTM A36</x:v>
      </x:c>
      <x:c r="J215" s="5" t="str">
        <x:v>Cantidades por conjunto; no sumar como total de máquina.</x:v>
      </x:c>
    </x:row>
    <x:row r="216" ht="30" customHeight="1">
      <x:c r="A216" s="4" t="str">
        <x:v>TT10_C05_PC_01</x:v>
      </x:c>
      <x:c r="B216" s="4" t="str">
        <x:v>Conjunto general y montaje</x:v>
      </x:c>
      <x:c r="C216" s="6" t="n">
        <x:v>213</x:v>
      </x:c>
      <x:c r="D216" s="4" t="str">
        <x:v>TT10_D_SALIDA_REDUCTOR</x:v>
      </x:c>
      <x:c r="E216" s="6" t="n">
        <x:v>1</x:v>
      </x:c>
      <x:c r="F216" s="6" t="n">
        <x:v>1</x:v>
      </x:c>
      <x:c r="G216" s="4" t="str">
        <x:v>Compra</x:v>
      </x:c>
      <x:c r="H216" s="4" t="str">
        <x:v>Eje de conexión geométrica SALIDA_REDUCTOR</x:v>
      </x:c>
      <x:c r="I216" s="4" t="str">
        <x:v>Equipo comprado; materiales y masa según ficha OEM</x:v>
      </x:c>
      <x:c r="J216" s="4" t="str">
        <x:v>Cantidades por conjunto; no sumar como total de máquina.</x:v>
      </x:c>
    </x:row>
    <x:row r="217" ht="30" customHeight="1">
      <x:c r="A217" s="5" t="str">
        <x:v>TT10_C05_PC_01</x:v>
      </x:c>
      <x:c r="B217" s="5" t="str">
        <x:v>Conjunto general y montaje</x:v>
      </x:c>
      <x:c r="C217" s="7" t="n">
        <x:v>214</x:v>
      </x:c>
      <x:c r="D217" s="5" t="str">
        <x:v>TT10_D_SENSOR_FRENO_N</x:v>
      </x:c>
      <x:c r="E217" s="7" t="n">
        <x:v>1</x:v>
      </x:c>
      <x:c r="F217" s="7" t="n">
        <x:v>1</x:v>
      </x:c>
      <x:c r="G217" s="5" t="str">
        <x:v>Compra</x:v>
      </x:c>
      <x:c r="H217" s="5" t="str">
        <x:v>Eje de conexión geométrica SENSOR_FRENO_N</x:v>
      </x:c>
      <x:c r="I217" s="5" t="str">
        <x:v>Sensor comercial; materiales según referencia OEM</x:v>
      </x:c>
      <x:c r="J217" s="5" t="str">
        <x:v>Cantidades por conjunto; no sumar como total de máquina.</x:v>
      </x:c>
    </x:row>
    <x:row r="218" ht="30" customHeight="1">
      <x:c r="A218" s="4" t="str">
        <x:v>TT10_C05_PC_01</x:v>
      </x:c>
      <x:c r="B218" s="4" t="str">
        <x:v>Conjunto general y montaje</x:v>
      </x:c>
      <x:c r="C218" s="6" t="n">
        <x:v>215</x:v>
      </x:c>
      <x:c r="D218" s="4" t="str">
        <x:v>TT10_D_SENSOR_FRENO_P</x:v>
      </x:c>
      <x:c r="E218" s="6" t="n">
        <x:v>1</x:v>
      </x:c>
      <x:c r="F218" s="6" t="n">
        <x:v>1</x:v>
      </x:c>
      <x:c r="G218" s="4" t="str">
        <x:v>Compra</x:v>
      </x:c>
      <x:c r="H218" s="4" t="str">
        <x:v>Eje de conexión geométrica SENSOR_FRENO_P</x:v>
      </x:c>
      <x:c r="I218" s="4" t="str">
        <x:v>Sensor comercial; materiales según referencia OEM</x:v>
      </x:c>
      <x:c r="J218" s="4" t="str">
        <x:v>Cantidades por conjunto; no sumar como total de máquina.</x:v>
      </x:c>
    </x:row>
    <x:row r="219" ht="30" customHeight="1">
      <x:c r="A219" s="5" t="str">
        <x:v>TT10_C05_PC_01</x:v>
      </x:c>
      <x:c r="B219" s="5" t="str">
        <x:v>Conjunto general y montaje</x:v>
      </x:c>
      <x:c r="C219" s="7" t="n">
        <x:v>216</x:v>
      </x:c>
      <x:c r="D219" s="5" t="str">
        <x:v>TT10_D_SOPORTE_FRENO_N</x:v>
      </x:c>
      <x:c r="E219" s="7" t="n">
        <x:v>1</x:v>
      </x:c>
      <x:c r="F219" s="7" t="n">
        <x:v>1</x:v>
      </x:c>
      <x:c r="G219" s="5" t="str">
        <x:v>Fabricación</x:v>
      </x:c>
      <x:c r="H219" s="5" t="str">
        <x:v>Placa de montaje de pinza N</x:v>
      </x:c>
      <x:c r="I219" s="5" t="str">
        <x:v>ASTM A36</x:v>
      </x:c>
      <x:c r="J219" s="5" t="str">
        <x:v>Cantidades por conjunto; no sumar como total de máquina.</x:v>
      </x:c>
    </x:row>
    <x:row r="220" ht="30" customHeight="1">
      <x:c r="A220" s="4" t="str">
        <x:v>TT10_C05_PC_01</x:v>
      </x:c>
      <x:c r="B220" s="4" t="str">
        <x:v>Conjunto general y montaje</x:v>
      </x:c>
      <x:c r="C220" s="6" t="n">
        <x:v>217</x:v>
      </x:c>
      <x:c r="D220" s="4" t="str">
        <x:v>TT10_D_SOPORTE_FRENO_P</x:v>
      </x:c>
      <x:c r="E220" s="6" t="n">
        <x:v>1</x:v>
      </x:c>
      <x:c r="F220" s="6" t="n">
        <x:v>1</x:v>
      </x:c>
      <x:c r="G220" s="4" t="str">
        <x:v>Fabricación</x:v>
      </x:c>
      <x:c r="H220" s="4" t="str">
        <x:v>Placa de montaje de pinza P</x:v>
      </x:c>
      <x:c r="I220" s="4" t="str">
        <x:v>ASTM A36</x:v>
      </x:c>
      <x:c r="J220" s="4" t="str">
        <x:v>Cantidades por conjunto; no sumar como total de máquina.</x:v>
      </x:c>
    </x:row>
    <x:row r="221" ht="30" customHeight="1">
      <x:c r="A221" s="5" t="str">
        <x:v>TT10_C05_PC_01</x:v>
      </x:c>
      <x:c r="B221" s="5" t="str">
        <x:v>Conjunto general y montaje</x:v>
      </x:c>
      <x:c r="C221" s="7" t="n">
        <x:v>218</x:v>
      </x:c>
      <x:c r="D221" s="5" t="str">
        <x:v>TT10_F416</x:v>
      </x:c>
      <x:c r="E221" s="7" t="n">
        <x:v>1</x:v>
      </x:c>
      <x:c r="F221" s="7" t="n">
        <x:v>1</x:v>
      </x:c>
      <x:c r="G221" s="5" t="str">
        <x:v>Fabricación</x:v>
      </x:c>
      <x:c r="H221" s="5" t="str">
        <x:v>Placa base 600 x 500 x 50; 8 agujeros Ø40, centros X ±220, Y ±150 y ±50</x:v>
      </x:c>
      <x:c r="I221" s="5" t="str">
        <x:v>Strenx700E t50; Rp0.2min700MPa</x:v>
      </x:c>
      <x:c r="J221" s="5" t="str">
        <x:v>Cantidades por conjunto; no sumar como total de máquina.</x:v>
      </x:c>
    </x:row>
    <x:row r="222" ht="30" customHeight="1">
      <x:c r="A222" s="4" t="str">
        <x:v>TT10_C05_PC_01</x:v>
      </x:c>
      <x:c r="B222" s="4" t="str">
        <x:v>Conjunto general y montaje</x:v>
      </x:c>
      <x:c r="C222" s="6" t="n">
        <x:v>219</x:v>
      </x:c>
      <x:c r="D222" s="4" t="str">
        <x:v>TT10_F426</x:v>
      </x:c>
      <x:c r="E222" s="6" t="n">
        <x:v>1</x:v>
      </x:c>
      <x:c r="F222" s="6" t="n">
        <x:v>1</x:v>
      </x:c>
      <x:c r="G222" s="4" t="str">
        <x:v>Fabricación</x:v>
      </x:c>
      <x:c r="H222" s="4" t="str">
        <x:v>Tope inclinado: cara inferior mecanizada para asiento horizontal</x:v>
      </x:c>
      <x:c r="I222" s="4" t="str">
        <x:v>ASTM A36</x:v>
      </x:c>
      <x:c r="J222" s="4" t="str">
        <x:v>Cantidades por conjunto; no sumar como total de máquina.</x:v>
      </x:c>
    </x:row>
    <x:row r="223" ht="30" customHeight="1">
      <x:c r="A223" s="5" t="str">
        <x:v>TT10_C05_PC_01</x:v>
      </x:c>
      <x:c r="B223" s="5" t="str">
        <x:v>Conjunto general y montaje</x:v>
      </x:c>
      <x:c r="C223" s="7" t="n">
        <x:v>220</x:v>
      </x:c>
      <x:c r="D223" s="5" t="str">
        <x:v>TT10_F431</x:v>
      </x:c>
      <x:c r="E223" s="7" t="n">
        <x:v>1</x:v>
      </x:c>
      <x:c r="F223" s="7" t="n">
        <x:v>1</x:v>
      </x:c>
      <x:c r="G223" s="5" t="str">
        <x:v>Fabricación</x:v>
      </x:c>
      <x:c r="H223" s="5" t="str">
        <x:v>Pieza TT10_F431</x:v>
      </x:c>
      <x:c r="I223" s="5" t="str">
        <x:v>ASTM A36</x:v>
      </x:c>
      <x:c r="J223" s="5" t="str">
        <x:v>Cantidades por conjunto; no sumar como total de máquina.</x:v>
      </x:c>
    </x:row>
    <x:row r="224" ht="30" customHeight="1">
      <x:c r="A224" s="4" t="str">
        <x:v>TT10_C05_PC_01</x:v>
      </x:c>
      <x:c r="B224" s="4" t="str">
        <x:v>Conjunto general y montaje</x:v>
      </x:c>
      <x:c r="C224" s="6" t="n">
        <x:v>221</x:v>
      </x:c>
      <x:c r="D224" s="4" t="str">
        <x:v>TT10_F441</x:v>
      </x:c>
      <x:c r="E224" s="6" t="n">
        <x:v>1</x:v>
      </x:c>
      <x:c r="F224" s="6" t="n">
        <x:v>1</x:v>
      </x:c>
      <x:c r="G224" s="4" t="str">
        <x:v>Fabricación</x:v>
      </x:c>
      <x:c r="H224" s="4" t="str">
        <x:v>Placa80 con cuatro roscas M30 ciegas60, paso540x140; pernos desde arriba</x:v>
      </x:c>
      <x:c r="I224" s="4" t="str">
        <x:v>ASTM A36</x:v>
      </x:c>
      <x:c r="J224" s="4" t="str">
        <x:v>Cantidades por conjunto; no sumar como total de máquina.</x:v>
      </x:c>
    </x:row>
    <x:row r="225" ht="30" customHeight="1">
      <x:c r="A225" s="5" t="str">
        <x:v>TT10_C05_PC_01</x:v>
      </x:c>
      <x:c r="B225" s="5" t="str">
        <x:v>Conjunto general y montaje</x:v>
      </x:c>
      <x:c r="C225" s="7" t="n">
        <x:v>222</x:v>
      </x:c>
      <x:c r="D225" s="5" t="str">
        <x:v>TT10_F446</x:v>
      </x:c>
      <x:c r="E225" s="7" t="n">
        <x:v>1</x:v>
      </x:c>
      <x:c r="F225" s="7" t="n">
        <x:v>1</x:v>
      </x:c>
      <x:c r="G225" s="5" t="str">
        <x:v>Fabricación</x:v>
      </x:c>
      <x:c r="H225" s="5" t="str">
        <x:v>Placa80 con cuatro roscas M30 ciegas60, paso540x140; pernos desde arriba</x:v>
      </x:c>
      <x:c r="I225" s="5" t="str">
        <x:v>ASTM A36</x:v>
      </x:c>
      <x:c r="J225" s="5" t="str">
        <x:v>Cantidades por conjunto; no sumar como total de máquina.</x:v>
      </x:c>
    </x:row>
    <x:row r="226" ht="30" customHeight="1">
      <x:c r="A226" s="4" t="str">
        <x:v>TT10_C05_PC_01</x:v>
      </x:c>
      <x:c r="B226" s="4" t="str">
        <x:v>Conjunto general y montaje</x:v>
      </x:c>
      <x:c r="C226" s="6" t="n">
        <x:v>224</x:v>
      </x:c>
      <x:c r="D226" s="4" t="str">
        <x:v>TT10_F456</x:v>
      </x:c>
      <x:c r="E226" s="6" t="n">
        <x:v>1</x:v>
      </x:c>
      <x:c r="F226" s="6" t="n">
        <x:v>1</x:v>
      </x:c>
      <x:c r="G226" s="4" t="str">
        <x:v>Compra</x:v>
      </x:c>
      <x:c r="H226" s="4" t="str">
        <x:v>SKF SNL3048: dimensiones de interfaz según catálogo; fundición simplificada</x:v>
      </x:c>
      <x:c r="I226" s="4" t="str">
        <x:v>Conjunto comprado; acero/ fundición según OEM</x:v>
      </x:c>
      <x:c r="J226" s="4" t="str">
        <x:v>Cantidades por conjunto; no sumar como total de máquina.</x:v>
      </x:c>
    </x:row>
    <x:row r="227" ht="30" customHeight="1">
      <x:c r="A227" s="5" t="str">
        <x:v>TT10_C05_PC_01</x:v>
      </x:c>
      <x:c r="B227" s="5" t="str">
        <x:v>Conjunto general y montaje</x:v>
      </x:c>
      <x:c r="C227" s="7" t="n">
        <x:v>225</x:v>
      </x:c>
      <x:c r="D227" s="5" t="str">
        <x:v>TT10_F471</x:v>
      </x:c>
      <x:c r="E227" s="7" t="n">
        <x:v>1</x:v>
      </x:c>
      <x:c r="F227" s="7" t="n">
        <x:v>1</x:v>
      </x:c>
      <x:c r="G227" s="5" t="str">
        <x:v>Fabricación</x:v>
      </x:c>
      <x:c r="H227" s="5" t="str">
        <x:v>Perfil tubular 350 x 200 x 12; L 6300</x:v>
      </x:c>
      <x:c r="I227" s="5" t="str">
        <x:v>S275J0H / EN 10219-1</x:v>
      </x:c>
      <x:c r="J227" s="5" t="str">
        <x:v>Cantidades por conjunto; no sumar como total de máquina.</x:v>
      </x:c>
    </x:row>
    <x:row r="228" ht="30" customHeight="1">
      <x:c r="A228" s="4" t="str">
        <x:v>TT10_C05_PC_01</x:v>
      </x:c>
      <x:c r="B228" s="4" t="str">
        <x:v>Conjunto general y montaje</x:v>
      </x:c>
      <x:c r="C228" s="6" t="n">
        <x:v>226</x:v>
      </x:c>
      <x:c r="D228" s="4" t="str">
        <x:v>TT10_F476</x:v>
      </x:c>
      <x:c r="E228" s="6" t="n">
        <x:v>1</x:v>
      </x:c>
      <x:c r="F228" s="6" t="n">
        <x:v>1</x:v>
      </x:c>
      <x:c r="G228" s="4" t="str">
        <x:v>Fabricación</x:v>
      </x:c>
      <x:c r="H228" s="4" t="str">
        <x:v>Perfil tubular 350 x 200 x 12; L 6300</x:v>
      </x:c>
      <x:c r="I228" s="4" t="str">
        <x:v>S275J0H / EN 10219-1</x:v>
      </x:c>
      <x:c r="J228" s="4" t="str">
        <x:v>Cantidades por conjunto; no sumar como total de máquina.</x:v>
      </x:c>
    </x:row>
    <x:row r="229" ht="30" customHeight="1">
      <x:c r="A229" s="5" t="str">
        <x:v>TT10_C05_PC_01</x:v>
      </x:c>
      <x:c r="B229" s="5" t="str">
        <x:v>Conjunto general y montaje</x:v>
      </x:c>
      <x:c r="C229" s="7" t="n">
        <x:v>227</x:v>
      </x:c>
      <x:c r="D229" s="5" t="str">
        <x:v>TT10_F481</x:v>
      </x:c>
      <x:c r="E229" s="7" t="n">
        <x:v>1</x:v>
      </x:c>
      <x:c r="F229" s="7" t="n">
        <x:v>1</x:v>
      </x:c>
      <x:c r="G229" s="5" t="str">
        <x:v>Fabricación</x:v>
      </x:c>
      <x:c r="H229" s="5" t="str">
        <x:v>Pieza TT10_F481</x:v>
      </x:c>
      <x:c r="I229" s="5" t="str">
        <x:v>ASTM A36</x:v>
      </x:c>
      <x:c r="J229" s="5" t="str">
        <x:v>Cantidades por conjunto; no sumar como total de máquina.</x:v>
      </x:c>
    </x:row>
    <x:row r="230" ht="30" customHeight="1">
      <x:c r="A230" s="4" t="str">
        <x:v>TT10_C05_PC_01</x:v>
      </x:c>
      <x:c r="B230" s="4" t="str">
        <x:v>Conjunto general y montaje</x:v>
      </x:c>
      <x:c r="C230" s="6" t="n">
        <x:v>228</x:v>
      </x:c>
      <x:c r="D230" s="4" t="str">
        <x:v>TT10_F486</x:v>
      </x:c>
      <x:c r="E230" s="6" t="n">
        <x:v>1</x:v>
      </x:c>
      <x:c r="F230" s="6" t="n">
        <x:v>1</x:v>
      </x:c>
      <x:c r="G230" s="4" t="str">
        <x:v>Fabricación</x:v>
      </x:c>
      <x:c r="H230" s="4" t="str">
        <x:v>Oreja fija 400 x 250 x 40; agujero Ø65 H8; Strenx 700E</x:v>
      </x:c>
      <x:c r="I230" s="4" t="str">
        <x:v>Strenx700E t40; Rp0.2min700MPa</x:v>
      </x:c>
      <x:c r="J230" s="4" t="str">
        <x:v>Cantidades por conjunto; no sumar como total de máquina.</x:v>
      </x:c>
    </x:row>
    <x:row r="231" ht="30" customHeight="1">
      <x:c r="A231" s="5" t="str">
        <x:v>TT10_C05_PC_01</x:v>
      </x:c>
      <x:c r="B231" s="5" t="str">
        <x:v>Conjunto general y montaje</x:v>
      </x:c>
      <x:c r="C231" s="7" t="n">
        <x:v>230</x:v>
      </x:c>
      <x:c r="D231" s="5" t="str">
        <x:v>TT10_F501</x:v>
      </x:c>
      <x:c r="E231" s="7" t="n">
        <x:v>1</x:v>
      </x:c>
      <x:c r="F231" s="7" t="n">
        <x:v>1</x:v>
      </x:c>
      <x:c r="G231" s="5" t="str">
        <x:v>Fabricación</x:v>
      </x:c>
      <x:c r="H231" s="5" t="str">
        <x:v>Oreja fija 400 x 250 x 40; agujero Ø65 H8; Strenx 700E</x:v>
      </x:c>
      <x:c r="I231" s="5" t="str">
        <x:v>Strenx700E t40; Rp0.2min700MPa</x:v>
      </x:c>
      <x:c r="J231" s="5" t="str">
        <x:v>Cantidades por conjunto; no sumar como total de máquina.</x:v>
      </x:c>
    </x:row>
    <x:row r="232" ht="30" customHeight="1">
      <x:c r="A232" s="4" t="str">
        <x:v>TT10_C05_PC_01</x:v>
      </x:c>
      <x:c r="B232" s="4" t="str">
        <x:v>Conjunto general y montaje</x:v>
      </x:c>
      <x:c r="C232" s="6" t="n">
        <x:v>231</x:v>
      </x:c>
      <x:c r="D232" s="4" t="str">
        <x:v>TT10_F506</x:v>
      </x:c>
      <x:c r="E232" s="6" t="n">
        <x:v>1</x:v>
      </x:c>
      <x:c r="F232" s="6" t="n">
        <x:v>1</x:v>
      </x:c>
      <x:c r="G232" s="4" t="str">
        <x:v>Fabricación</x:v>
      </x:c>
      <x:c r="H232" s="4" t="str">
        <x:v>Poste independiente cajón 300 x 200 x 2395, t20; 2 diafragmas 260 x 160 x 20</x:v>
      </x:c>
      <x:c r="I232" s="4" t="str">
        <x:v>Strenx700E t20; Rp0.2min700MPa</x:v>
      </x:c>
      <x:c r="J232" s="4" t="str">
        <x:v>Cantidades por conjunto; no sumar como total de máquina.</x:v>
      </x:c>
    </x:row>
    <x:row r="233" ht="30" customHeight="1">
      <x:c r="A233" s="5" t="str">
        <x:v>TT10_C05_PC_01</x:v>
      </x:c>
      <x:c r="B233" s="5" t="str">
        <x:v>Conjunto general y montaje</x:v>
      </x:c>
      <x:c r="C233" s="7" t="n">
        <x:v>232</x:v>
      </x:c>
      <x:c r="D233" s="5" t="str">
        <x:v>TT10_F511</x:v>
      </x:c>
      <x:c r="E233" s="7" t="n">
        <x:v>1</x:v>
      </x:c>
      <x:c r="F233" s="7" t="n">
        <x:v>1</x:v>
      </x:c>
      <x:c r="G233" s="5" t="str">
        <x:v>Fabricación</x:v>
      </x:c>
      <x:c r="H233" s="5" t="str">
        <x:v>Pieza TT10_F511</x:v>
      </x:c>
      <x:c r="I233" s="5" t="str">
        <x:v>ASTM A36</x:v>
      </x:c>
      <x:c r="J233" s="5" t="str">
        <x:v>Cantidades por conjunto; no sumar como total de máquina.</x:v>
      </x:c>
    </x:row>
    <x:row r="234" ht="30" customHeight="1">
      <x:c r="A234" s="4" t="str">
        <x:v>TT10_C05_PC_01</x:v>
      </x:c>
      <x:c r="B234" s="4" t="str">
        <x:v>Conjunto general y montaje</x:v>
      </x:c>
      <x:c r="C234" s="6" t="n">
        <x:v>233</x:v>
      </x:c>
      <x:c r="D234" s="4" t="str">
        <x:v>TT10_F516</x:v>
      </x:c>
      <x:c r="E234" s="6" t="n">
        <x:v>1</x:v>
      </x:c>
      <x:c r="F234" s="6" t="n">
        <x:v>1</x:v>
      </x:c>
      <x:c r="G234" s="4" t="str">
        <x:v>Fabricación</x:v>
      </x:c>
      <x:c r="H234" s="4" t="str">
        <x:v>Pieza TT10_F516</x:v>
      </x:c>
      <x:c r="I234" s="4" t="str">
        <x:v>ASTM A36</x:v>
      </x:c>
      <x:c r="J234" s="4" t="str">
        <x:v>Cantidades por conjunto; no sumar como total de máquina.</x:v>
      </x:c>
    </x:row>
    <x:row r="235" ht="30" customHeight="1">
      <x:c r="A235" s="5" t="str">
        <x:v>TT10_C05_PC_01</x:v>
      </x:c>
      <x:c r="B235" s="5" t="str">
        <x:v>Conjunto general y montaje</x:v>
      </x:c>
      <x:c r="C235" s="7" t="n">
        <x:v>234</x:v>
      </x:c>
      <x:c r="D235" s="5" t="str">
        <x:v>TT10_F521</x:v>
      </x:c>
      <x:c r="E235" s="7" t="n">
        <x:v>1</x:v>
      </x:c>
      <x:c r="F235" s="7" t="n">
        <x:v>1</x:v>
      </x:c>
      <x:c r="G235" s="5" t="str">
        <x:v>Fabricación</x:v>
      </x:c>
      <x:c r="H235" s="5" t="str">
        <x:v>Columna accionamiento apoyada sobre placa base</x:v>
      </x:c>
      <x:c r="I235" s="5" t="str">
        <x:v>ASTM A36</x:v>
      </x:c>
      <x:c r="J235" s="5" t="str">
        <x:v>Cantidades por conjunto; no sumar como total de máquina.</x:v>
      </x:c>
    </x:row>
    <x:row r="236" ht="30" customHeight="1">
      <x:c r="A236" s="4" t="str">
        <x:v>TT10_C05_PC_01</x:v>
      </x:c>
      <x:c r="B236" s="4" t="str">
        <x:v>Conjunto general y montaje</x:v>
      </x:c>
      <x:c r="C236" s="6" t="n">
        <x:v>235</x:v>
      </x:c>
      <x:c r="D236" s="4" t="str">
        <x:v>TT10_F526</x:v>
      </x:c>
      <x:c r="E236" s="6" t="n">
        <x:v>1</x:v>
      </x:c>
      <x:c r="F236" s="6" t="n">
        <x:v>1</x:v>
      </x:c>
      <x:c r="G236" s="4" t="str">
        <x:v>Fabricación</x:v>
      </x:c>
      <x:c r="H236" s="4" t="str">
        <x:v>Perfil tubular 350 x 300 x 12; L 4800</x:v>
      </x:c>
      <x:c r="I236" s="4" t="str">
        <x:v>S275J0H / EN 10219-1</x:v>
      </x:c>
      <x:c r="J236" s="4" t="str">
        <x:v>Cantidades por conjunto; no sumar como total de máquina.</x:v>
      </x:c>
    </x:row>
    <x:row r="237" ht="30" customHeight="1">
      <x:c r="A237" s="5" t="str">
        <x:v>TT10_C05_PC_01</x:v>
      </x:c>
      <x:c r="B237" s="5" t="str">
        <x:v>Conjunto general y montaje</x:v>
      </x:c>
      <x:c r="C237" s="7" t="n">
        <x:v>236</x:v>
      </x:c>
      <x:c r="D237" s="5" t="str">
        <x:v>TT10_F531</x:v>
      </x:c>
      <x:c r="E237" s="7" t="n">
        <x:v>1</x:v>
      </x:c>
      <x:c r="F237" s="7" t="n">
        <x:v>1</x:v>
      </x:c>
      <x:c r="G237" s="5" t="str">
        <x:v>Fabricación</x:v>
      </x:c>
      <x:c r="H237" s="5" t="str">
        <x:v>Perfil tubular 350 x 300 x 12; L 4800</x:v>
      </x:c>
      <x:c r="I237" s="5" t="str">
        <x:v>S275J0H / EN 10219-1</x:v>
      </x:c>
      <x:c r="J237" s="5" t="str">
        <x:v>Cantidades por conjunto; no sumar como total de máquina.</x:v>
      </x:c>
    </x:row>
    <x:row r="238" ht="30" customHeight="1">
      <x:c r="A238" s="4" t="str">
        <x:v>TT10_C05_PC_01</x:v>
      </x:c>
      <x:c r="B238" s="4" t="str">
        <x:v>Conjunto general y montaje</x:v>
      </x:c>
      <x:c r="C238" s="6" t="n">
        <x:v>237</x:v>
      </x:c>
      <x:c r="D238" s="4" t="str">
        <x:v>TT10_F536</x:v>
      </x:c>
      <x:c r="E238" s="6" t="n">
        <x:v>1</x:v>
      </x:c>
      <x:c r="F238" s="6" t="n">
        <x:v>1</x:v>
      </x:c>
      <x:c r="G238" s="4" t="str">
        <x:v>Fabricación</x:v>
      </x:c>
      <x:c r="H238" s="4" t="str">
        <x:v>Soporte tope terminado en cara interior de columna</x:v>
      </x:c>
      <x:c r="I238" s="4" t="str">
        <x:v>ASTM A36</x:v>
      </x:c>
      <x:c r="J238" s="4" t="str">
        <x:v>Cantidades por conjunto; no sumar como total de máquina.</x:v>
      </x:c>
    </x:row>
    <x:row r="239" ht="30" customHeight="1">
      <x:c r="A239" s="5" t="str">
        <x:v>TT10_C05_PC_01</x:v>
      </x:c>
      <x:c r="B239" s="5" t="str">
        <x:v>Conjunto general y montaje</x:v>
      </x:c>
      <x:c r="C239" s="7" t="n">
        <x:v>238</x:v>
      </x:c>
      <x:c r="D239" s="5" t="str">
        <x:v>TT10_F541</x:v>
      </x:c>
      <x:c r="E239" s="7" t="n">
        <x:v>1</x:v>
      </x:c>
      <x:c r="F239" s="7" t="n">
        <x:v>1</x:v>
      </x:c>
      <x:c r="G239" s="5" t="str">
        <x:v>Fabricación</x:v>
      </x:c>
      <x:c r="H239" s="5" t="str">
        <x:v>Diagonal CHS168.3x10 con cortes de asiento; sin penetrar columnas ni placas</x:v>
      </x:c>
      <x:c r="I239" s="5" t="str">
        <x:v>S275J0H / EN 10219-1</x:v>
      </x:c>
      <x:c r="J239" s="5" t="str">
        <x:v>Cantidades por conjunto; no sumar como total de máquina.</x:v>
      </x:c>
    </x:row>
    <x:row r="240" ht="30" customHeight="1">
      <x:c r="A240" s="4" t="str">
        <x:v>TT10_C05_PC_01</x:v>
      </x:c>
      <x:c r="B240" s="4" t="str">
        <x:v>Conjunto general y montaje</x:v>
      </x:c>
      <x:c r="C240" s="6" t="n">
        <x:v>239</x:v>
      </x:c>
      <x:c r="D240" s="4" t="str">
        <x:v>TT10_F546</x:v>
      </x:c>
      <x:c r="E240" s="6" t="n">
        <x:v>1</x:v>
      </x:c>
      <x:c r="F240" s="6" t="n">
        <x:v>1</x:v>
      </x:c>
      <x:c r="G240" s="4" t="str">
        <x:v>Fabricación</x:v>
      </x:c>
      <x:c r="H240" s="4" t="str">
        <x:v>Puente RHS200x150x10 L1005; fuera del plano de las diagonales</x:v>
      </x:c>
      <x:c r="I240" s="4" t="str">
        <x:v>S275J0H / EN 10219-1</x:v>
      </x:c>
      <x:c r="J240" s="4" t="str">
        <x:v>Cantidades por conjunto; no sumar como total de máquina.</x:v>
      </x:c>
    </x:row>
    <x:row r="241" ht="30" customHeight="1">
      <x:c r="A241" s="5" t="str">
        <x:v>TT10_C05_PC_01</x:v>
      </x:c>
      <x:c r="B241" s="5" t="str">
        <x:v>Conjunto general y montaje</x:v>
      </x:c>
      <x:c r="C241" s="7" t="n">
        <x:v>240</x:v>
      </x:c>
      <x:c r="D241" s="5" t="str">
        <x:v>TT10_F551</x:v>
      </x:c>
      <x:c r="E241" s="7" t="n">
        <x:v>1</x:v>
      </x:c>
      <x:c r="F241" s="7" t="n">
        <x:v>1</x:v>
      </x:c>
      <x:c r="G241" s="5" t="str">
        <x:v>Compra</x:v>
      </x:c>
      <x:c r="H241" s="5" t="str">
        <x:v>SKF SNL3048: dimensiones de interfaz según catálogo; fundición simplificada</x:v>
      </x:c>
      <x:c r="I241" s="5" t="str">
        <x:v>Conjunto comprado; acero/ fundición según OEM</x:v>
      </x:c>
      <x:c r="J241" s="5" t="str">
        <x:v>Cantidades por conjunto; no sumar como total de máquina.</x:v>
      </x:c>
    </x:row>
    <x:row r="242" ht="30" customHeight="1">
      <x:c r="A242" s="4" t="str">
        <x:v>TT10_C05_PC_01</x:v>
      </x:c>
      <x:c r="B242" s="4" t="str">
        <x:v>Conjunto general y montaje</x:v>
      </x:c>
      <x:c r="C242" s="6" t="n">
        <x:v>241</x:v>
      </x:c>
      <x:c r="D242" s="4" t="str">
        <x:v>TT10_F556</x:v>
      </x:c>
      <x:c r="E242" s="6" t="n">
        <x:v>1</x:v>
      </x:c>
      <x:c r="F242" s="6" t="n">
        <x:v>1</x:v>
      </x:c>
      <x:c r="G242" s="4" t="str">
        <x:v>Fabricación</x:v>
      </x:c>
      <x:c r="H242" s="4" t="str">
        <x:v>Soporte tope terminado en cara interior de columna</x:v>
      </x:c>
      <x:c r="I242" s="4" t="str">
        <x:v>ASTM A36</x:v>
      </x:c>
      <x:c r="J242" s="4" t="str">
        <x:v>Cantidades por conjunto; no sumar como total de máquina.</x:v>
      </x:c>
    </x:row>
    <x:row r="243" ht="30" customHeight="1">
      <x:c r="A243" s="5" t="str">
        <x:v>TT10_C05_PC_01</x:v>
      </x:c>
      <x:c r="B243" s="5" t="str">
        <x:v>Conjunto general y montaje</x:v>
      </x:c>
      <x:c r="C243" s="7" t="n">
        <x:v>242</x:v>
      </x:c>
      <x:c r="D243" s="5" t="str">
        <x:v>TT10_F561</x:v>
      </x:c>
      <x:c r="E243" s="7" t="n">
        <x:v>1</x:v>
      </x:c>
      <x:c r="F243" s="7" t="n">
        <x:v>1</x:v>
      </x:c>
      <x:c r="G243" s="5" t="str">
        <x:v>Fabricación</x:v>
      </x:c>
      <x:c r="H243" s="5" t="str">
        <x:v>Pieza TT10_F561</x:v>
      </x:c>
      <x:c r="I243" s="5" t="str">
        <x:v>ASTM A36</x:v>
      </x:c>
      <x:c r="J243" s="5" t="str">
        <x:v>Cantidades por conjunto; no sumar como total de máquina.</x:v>
      </x:c>
    </x:row>
    <x:row r="244" ht="30" customHeight="1">
      <x:c r="A244" s="4" t="str">
        <x:v>TT10_C05_PC_01</x:v>
      </x:c>
      <x:c r="B244" s="4" t="str">
        <x:v>Conjunto general y montaje</x:v>
      </x:c>
      <x:c r="C244" s="6" t="n">
        <x:v>243</x:v>
      </x:c>
      <x:c r="D244" s="4" t="str">
        <x:v>TT10_F566</x:v>
      </x:c>
      <x:c r="E244" s="6" t="n">
        <x:v>1</x:v>
      </x:c>
      <x:c r="F244" s="6" t="n">
        <x:v>1</x:v>
      </x:c>
      <x:c r="G244" s="4" t="str">
        <x:v>Fabricación</x:v>
      </x:c>
      <x:c r="H244" s="4" t="str">
        <x:v>Pieza TT10_F566</x:v>
      </x:c>
      <x:c r="I244" s="4" t="str">
        <x:v>ASTM A36</x:v>
      </x:c>
      <x:c r="J244" s="4" t="str">
        <x:v>Cantidades por conjunto; no sumar como total de máquina.</x:v>
      </x:c>
    </x:row>
    <x:row r="245" ht="30" customHeight="1">
      <x:c r="A245" s="5" t="str">
        <x:v>TT10_C05_PC_01</x:v>
      </x:c>
      <x:c r="B245" s="5" t="str">
        <x:v>Conjunto general y montaje</x:v>
      </x:c>
      <x:c r="C245" s="7" t="n">
        <x:v>244</x:v>
      </x:c>
      <x:c r="D245" s="5" t="str">
        <x:v>TT10_F571</x:v>
      </x:c>
      <x:c r="E245" s="7" t="n">
        <x:v>1</x:v>
      </x:c>
      <x:c r="F245" s="7" t="n">
        <x:v>1</x:v>
      </x:c>
      <x:c r="G245" s="5" t="str">
        <x:v>Fabricación</x:v>
      </x:c>
      <x:c r="H245" s="5" t="str">
        <x:v>Pieza TT10_F571</x:v>
      </x:c>
      <x:c r="I245" s="5" t="str">
        <x:v>ASTM A36</x:v>
      </x:c>
      <x:c r="J245" s="5" t="str">
        <x:v>Cantidades por conjunto; no sumar como total de máquina.</x:v>
      </x:c>
    </x:row>
    <x:row r="246" ht="30" customHeight="1">
      <x:c r="A246" s="4" t="str">
        <x:v>TT10_C05_PC_01</x:v>
      </x:c>
      <x:c r="B246" s="4" t="str">
        <x:v>Conjunto general y montaje</x:v>
      </x:c>
      <x:c r="C246" s="6" t="n">
        <x:v>245</x:v>
      </x:c>
      <x:c r="D246" s="4" t="str">
        <x:v>TT10_F576</x:v>
      </x:c>
      <x:c r="E246" s="6" t="n">
        <x:v>1</x:v>
      </x:c>
      <x:c r="F246" s="6" t="n">
        <x:v>1</x:v>
      </x:c>
      <x:c r="G246" s="4" t="str">
        <x:v>Fabricación</x:v>
      </x:c>
      <x:c r="H246" s="4" t="str">
        <x:v>Oreja fija 400 x 250 x 40; agujero Ø65 H8; Strenx 700E</x:v>
      </x:c>
      <x:c r="I246" s="4" t="str">
        <x:v>Strenx700E t40; Rp0.2min700MPa</x:v>
      </x:c>
      <x:c r="J246" s="4" t="str">
        <x:v>Cantidades por conjunto; no sumar como total de máquina.</x:v>
      </x:c>
    </x:row>
    <x:row r="247" ht="30" customHeight="1">
      <x:c r="A247" s="5" t="str">
        <x:v>TT10_C05_PC_01</x:v>
      </x:c>
      <x:c r="B247" s="5" t="str">
        <x:v>Conjunto general y montaje</x:v>
      </x:c>
      <x:c r="C247" s="7" t="n">
        <x:v>246</x:v>
      </x:c>
      <x:c r="D247" s="5" t="str">
        <x:v>TT10_F581</x:v>
      </x:c>
      <x:c r="E247" s="7" t="n">
        <x:v>1</x:v>
      </x:c>
      <x:c r="F247" s="7" t="n">
        <x:v>1</x:v>
      </x:c>
      <x:c r="G247" s="5" t="str">
        <x:v>Fabricación</x:v>
      </x:c>
      <x:c r="H247" s="5" t="str">
        <x:v>Diagonal CHS168.3x10 con cortes de asiento; sin penetrar columnas ni placas</x:v>
      </x:c>
      <x:c r="I247" s="5" t="str">
        <x:v>S275J0H / EN 10219-1</x:v>
      </x:c>
      <x:c r="J247" s="5" t="str">
        <x:v>Cantidades por conjunto; no sumar como total de máquina.</x:v>
      </x:c>
    </x:row>
    <x:row r="248" ht="30" customHeight="1">
      <x:c r="A248" s="4" t="str">
        <x:v>TT10_C05_PC_01</x:v>
      </x:c>
      <x:c r="B248" s="4" t="str">
        <x:v>Conjunto general y montaje</x:v>
      </x:c>
      <x:c r="C248" s="6" t="n">
        <x:v>247</x:v>
      </x:c>
      <x:c r="D248" s="4" t="str">
        <x:v>TT10_F586</x:v>
      </x:c>
      <x:c r="E248" s="6" t="n">
        <x:v>1</x:v>
      </x:c>
      <x:c r="F248" s="6" t="n">
        <x:v>1</x:v>
      </x:c>
      <x:c r="G248" s="4" t="str">
        <x:v>Fabricación</x:v>
      </x:c>
      <x:c r="H248" s="4" t="str">
        <x:v>Oreja fija 400 x 250 x 40; agujero Ø65 H8; Strenx 700E</x:v>
      </x:c>
      <x:c r="I248" s="4" t="str">
        <x:v>Strenx700E t40; Rp0.2min700MPa</x:v>
      </x:c>
      <x:c r="J248" s="4" t="str">
        <x:v>Cantidades por conjunto; no sumar como total de máquina.</x:v>
      </x:c>
    </x:row>
    <x:row r="249" ht="30" customHeight="1">
      <x:c r="A249" s="5" t="str">
        <x:v>TT10_C05_PC_01</x:v>
      </x:c>
      <x:c r="B249" s="5" t="str">
        <x:v>Conjunto general y montaje</x:v>
      </x:c>
      <x:c r="C249" s="7" t="n">
        <x:v>248</x:v>
      </x:c>
      <x:c r="D249" s="5" t="str">
        <x:v>TT10_F591</x:v>
      </x:c>
      <x:c r="E249" s="7" t="n">
        <x:v>1</x:v>
      </x:c>
      <x:c r="F249" s="7" t="n">
        <x:v>1</x:v>
      </x:c>
      <x:c r="G249" s="5" t="str">
        <x:v>Fabricación</x:v>
      </x:c>
      <x:c r="H249" s="5" t="str">
        <x:v>Placa base 600 x 500 x 50; 8 agujeros Ø40, centros X ±220, Y ±150 y ±50</x:v>
      </x:c>
      <x:c r="I249" s="5" t="str">
        <x:v>Strenx700E t50; Rp0.2min700MPa</x:v>
      </x:c>
      <x:c r="J249" s="5" t="str">
        <x:v>Cantidades por conjunto; no sumar como total de máquina.</x:v>
      </x:c>
    </x:row>
    <x:row r="250" ht="30" customHeight="1">
      <x:c r="A250" s="4" t="str">
        <x:v>TT10_C05_PC_01</x:v>
      </x:c>
      <x:c r="B250" s="4" t="str">
        <x:v>Conjunto general y montaje</x:v>
      </x:c>
      <x:c r="C250" s="6" t="n">
        <x:v>249</x:v>
      </x:c>
      <x:c r="D250" s="4" t="str">
        <x:v>TT10_F596</x:v>
      </x:c>
      <x:c r="E250" s="6" t="n">
        <x:v>1</x:v>
      </x:c>
      <x:c r="F250" s="6" t="n">
        <x:v>1</x:v>
      </x:c>
      <x:c r="G250" s="4" t="str">
        <x:v>Fabricación</x:v>
      </x:c>
      <x:c r="H250" s="4" t="str">
        <x:v>Tope inclinado: cara inferior mecanizada para asiento horizontal</x:v>
      </x:c>
      <x:c r="I250" s="4" t="str">
        <x:v>ASTM A36</x:v>
      </x:c>
      <x:c r="J250" s="4" t="str">
        <x:v>Cantidades por conjunto; no sumar como total de máquina.</x:v>
      </x:c>
    </x:row>
    <x:row r="251" ht="30" customHeight="1">
      <x:c r="A251" s="5" t="str">
        <x:v>TT10_C05_PC_01</x:v>
      </x:c>
      <x:c r="B251" s="5" t="str">
        <x:v>Conjunto general y montaje</x:v>
      </x:c>
      <x:c r="C251" s="7" t="n">
        <x:v>250</x:v>
      </x:c>
      <x:c r="D251" s="5" t="str">
        <x:v>TT10_F601</x:v>
      </x:c>
      <x:c r="E251" s="7" t="n">
        <x:v>1</x:v>
      </x:c>
      <x:c r="F251" s="7" t="n">
        <x:v>1</x:v>
      </x:c>
      <x:c r="G251" s="5" t="str">
        <x:v>Fabricación</x:v>
      </x:c>
      <x:c r="H251" s="5" t="str">
        <x:v>Diagonal CHS168.3x10 con cortes de asiento; sin penetrar columnas ni placas</x:v>
      </x:c>
      <x:c r="I251" s="5" t="str">
        <x:v>S275J0H / EN 10219-1</x:v>
      </x:c>
      <x:c r="J251" s="5" t="str">
        <x:v>Cantidades por conjunto; no sumar como total de máquina.</x:v>
      </x:c>
    </x:row>
    <x:row r="252" ht="30" customHeight="1">
      <x:c r="A252" s="4" t="str">
        <x:v>TT10_C05_PC_01</x:v>
      </x:c>
      <x:c r="B252" s="4" t="str">
        <x:v>Conjunto general y montaje</x:v>
      </x:c>
      <x:c r="C252" s="6" t="n">
        <x:v>251</x:v>
      </x:c>
      <x:c r="D252" s="4" t="str">
        <x:v>TT10_F606</x:v>
      </x:c>
      <x:c r="E252" s="6" t="n">
        <x:v>1</x:v>
      </x:c>
      <x:c r="F252" s="6" t="n">
        <x:v>1</x:v>
      </x:c>
      <x:c r="G252" s="4" t="str">
        <x:v>Fabricación</x:v>
      </x:c>
      <x:c r="H252" s="4" t="str">
        <x:v>Diagonal CHS168.3x10 con cortes de asiento; sin penetrar columnas ni placas</x:v>
      </x:c>
      <x:c r="I252" s="4" t="str">
        <x:v>S275J0H / EN 10219-1</x:v>
      </x:c>
      <x:c r="J252" s="4" t="str">
        <x:v>Cantidades por conjunto; no sumar como total de máquina.</x:v>
      </x:c>
    </x:row>
    <x:row r="253" ht="30" customHeight="1">
      <x:c r="A253" s="5" t="str">
        <x:v>TT10_C05_PC_01</x:v>
      </x:c>
      <x:c r="B253" s="5" t="str">
        <x:v>Conjunto general y montaje</x:v>
      </x:c>
      <x:c r="C253" s="7" t="n">
        <x:v>252</x:v>
      </x:c>
      <x:c r="D253" s="5" t="str">
        <x:v>TT10_F611</x:v>
      </x:c>
      <x:c r="E253" s="7" t="n">
        <x:v>1</x:v>
      </x:c>
      <x:c r="F253" s="7" t="n">
        <x:v>1</x:v>
      </x:c>
      <x:c r="G253" s="5" t="str">
        <x:v>Fabricación</x:v>
      </x:c>
      <x:c r="H253" s="5" t="str">
        <x:v>Poste independiente cajón 300 x 200 x 2395, t20; 2 diafragmas 260 x 160 x 20</x:v>
      </x:c>
      <x:c r="I253" s="5" t="str">
        <x:v>Strenx700E t20; Rp0.2min700MPa</x:v>
      </x:c>
      <x:c r="J253" s="5" t="str">
        <x:v>Cantidades por conjunto; no sumar como total de máquina.</x:v>
      </x:c>
    </x:row>
    <x:row r="254" ht="30" customHeight="1">
      <x:c r="A254" s="4" t="str">
        <x:v>TT10_C05_PC_01</x:v>
      </x:c>
      <x:c r="B254" s="4" t="str">
        <x:v>Conjunto general y montaje</x:v>
      </x:c>
      <x:c r="C254" s="6" t="n">
        <x:v>254</x:v>
      </x:c>
      <x:c r="D254" s="4" t="str">
        <x:v>TT10_F621</x:v>
      </x:c>
      <x:c r="E254" s="6" t="n">
        <x:v>1</x:v>
      </x:c>
      <x:c r="F254" s="6" t="n">
        <x:v>1</x:v>
      </x:c>
      <x:c r="G254" s="4" t="str">
        <x:v>Fabricación</x:v>
      </x:c>
      <x:c r="H254" s="4" t="str">
        <x:v>Puente RHS200x150x10 L1005; fuera del plano de las diagonales</x:v>
      </x:c>
      <x:c r="I254" s="4" t="str">
        <x:v>S275J0H / EN 10219-1</x:v>
      </x:c>
      <x:c r="J254" s="4" t="str">
        <x:v>Cantidades por conjunto; no sumar como total de máquina.</x:v>
      </x:c>
    </x:row>
    <x:row r="255" ht="30" customHeight="1">
      <x:c r="A255" s="5" t="str">
        <x:v>TT10_C05_PC_01</x:v>
      </x:c>
      <x:c r="B255" s="5" t="str">
        <x:v>Conjunto general y montaje</x:v>
      </x:c>
      <x:c r="C255" s="7" t="n">
        <x:v>255</x:v>
      </x:c>
      <x:c r="D255" s="5" t="str">
        <x:v>TT10_F626</x:v>
      </x:c>
      <x:c r="E255" s="7" t="n">
        <x:v>1</x:v>
      </x:c>
      <x:c r="F255" s="7" t="n">
        <x:v>1</x:v>
      </x:c>
      <x:c r="G255" s="5" t="str">
        <x:v>Fabricación</x:v>
      </x:c>
      <x:c r="H255" s="5" t="str">
        <x:v>Pieza TT10_F626</x:v>
      </x:c>
      <x:c r="I255" s="5" t="str">
        <x:v>ASTM A36</x:v>
      </x:c>
      <x:c r="J255" s="5" t="str">
        <x:v>Cantidades por conjunto; no sumar como total de máquina.</x:v>
      </x:c>
    </x:row>
    <x:row r="256" ht="30" customHeight="1">
      <x:c r="A256" s="4" t="str">
        <x:v>TT10_C05_PC_01</x:v>
      </x:c>
      <x:c r="B256" s="4" t="str">
        <x:v>Conjunto general y montaje</x:v>
      </x:c>
      <x:c r="C256" s="6" t="n">
        <x:v>256</x:v>
      </x:c>
      <x:c r="D256" s="4" t="str">
        <x:v>TT10_F631</x:v>
      </x:c>
      <x:c r="E256" s="6" t="n">
        <x:v>1</x:v>
      </x:c>
      <x:c r="F256" s="6" t="n">
        <x:v>1</x:v>
      </x:c>
      <x:c r="G256" s="4" t="str">
        <x:v>Fabricación</x:v>
      </x:c>
      <x:c r="H256" s="4" t="str">
        <x:v>Pieza TT10_F631</x:v>
      </x:c>
      <x:c r="I256" s="4" t="str">
        <x:v>ASTM A36</x:v>
      </x:c>
      <x:c r="J256" s="4" t="str">
        <x:v>Cantidades por conjunto; no sumar como total de máquina.</x:v>
      </x:c>
    </x:row>
    <x:row r="257" ht="30" customHeight="1">
      <x:c r="A257" s="5" t="str">
        <x:v>TT10_C05_PC_01</x:v>
      </x:c>
      <x:c r="B257" s="5" t="str">
        <x:v>Conjunto general y montaje</x:v>
      </x:c>
      <x:c r="C257" s="7" t="n">
        <x:v>257</x:v>
      </x:c>
      <x:c r="D257" s="5" t="str">
        <x:v>TT10_F636</x:v>
      </x:c>
      <x:c r="E257" s="7" t="n">
        <x:v>1</x:v>
      </x:c>
      <x:c r="F257" s="7" t="n">
        <x:v>1</x:v>
      </x:c>
      <x:c r="G257" s="5" t="str">
        <x:v>Fabricación</x:v>
      </x:c>
      <x:c r="H257" s="5" t="str">
        <x:v>Columna principal recortada para placa80 y altura de centro SKF220</x:v>
      </x:c>
      <x:c r="I257" s="5" t="str">
        <x:v>S355J2; certificado 3.1 requerido</x:v>
      </x:c>
      <x:c r="J257" s="5" t="str">
        <x:v>Cantidades por conjunto; no sumar como total de máquina.</x:v>
      </x:c>
    </x:row>
    <x:row r="258" ht="30" customHeight="1">
      <x:c r="A258" s="4" t="str">
        <x:v>TT10_C05_PC_01</x:v>
      </x:c>
      <x:c r="B258" s="4" t="str">
        <x:v>Conjunto general y montaje</x:v>
      </x:c>
      <x:c r="C258" s="6" t="n">
        <x:v>258</x:v>
      </x:c>
      <x:c r="D258" s="4" t="str">
        <x:v>TT10_F641</x:v>
      </x:c>
      <x:c r="E258" s="6" t="n">
        <x:v>1</x:v>
      </x:c>
      <x:c r="F258" s="6" t="n">
        <x:v>1</x:v>
      </x:c>
      <x:c r="G258" s="4" t="str">
        <x:v>Fabricación</x:v>
      </x:c>
      <x:c r="H258" s="4" t="str">
        <x:v>Columna principal recortada para placa80 y altura de centro SKF220</x:v>
      </x:c>
      <x:c r="I258" s="4" t="str">
        <x:v>S355J2; certificado 3.1 requerido</x:v>
      </x:c>
      <x:c r="J258" s="4" t="str">
        <x:v>Cantidades por conjunto; no sumar como total de máquina.</x:v>
      </x:c>
    </x:row>
    <x:row r="259" ht="30" customHeight="1">
      <x:c r="A259" s="5" t="str">
        <x:v>TT10_C05_PC_01</x:v>
      </x:c>
      <x:c r="B259" s="5" t="str">
        <x:v>Conjunto general y montaje</x:v>
      </x:c>
      <x:c r="C259" s="7" t="n">
        <x:v>260</x:v>
      </x:c>
      <x:c r="D259" s="5" t="str">
        <x:v>TT10_FRB_1</x:v>
      </x:c>
      <x:c r="E259" s="7" t="n">
        <x:v>1</x:v>
      </x:c>
      <x:c r="F259" s="7" t="n">
        <x:v>1</x:v>
      </x:c>
      <x:c r="G259" s="5" t="str">
        <x:v>Compra</x:v>
      </x:c>
      <x:c r="H259" s="5" t="str">
        <x:v>SKF FRB21/360; lado P localizador</x:v>
      </x:c>
      <x:c r="I259" s="5" t="str">
        <x:v>Conjunto comprado; acero/ fundición según OEM</x:v>
      </x:c>
      <x:c r="J259" s="5" t="str">
        <x:v>Cantidades por conjunto; no sumar como total de máquina.</x:v>
      </x:c>
    </x:row>
    <x:row r="260" ht="30" customHeight="1">
      <x:c r="A260" s="4" t="str">
        <x:v>TT10_C05_PC_01</x:v>
      </x:c>
      <x:c r="B260" s="4" t="str">
        <x:v>Conjunto general y montaje</x:v>
      </x:c>
      <x:c r="C260" s="6" t="n">
        <x:v>261</x:v>
      </x:c>
      <x:c r="D260" s="4" t="str">
        <x:v>TT10_FRB_2</x:v>
      </x:c>
      <x:c r="E260" s="6" t="n">
        <x:v>1</x:v>
      </x:c>
      <x:c r="F260" s="6" t="n">
        <x:v>1</x:v>
      </x:c>
      <x:c r="G260" s="4" t="str">
        <x:v>Compra</x:v>
      </x:c>
      <x:c r="H260" s="4" t="str">
        <x:v>SKF FRB21/360; lado P localizador</x:v>
      </x:c>
      <x:c r="I260" s="4" t="str">
        <x:v>Conjunto comprado; acero/ fundición según OEM</x:v>
      </x:c>
      <x:c r="J260" s="4" t="str">
        <x:v>Cantidades por conjunto; no sumar como total de máquina.</x:v>
      </x:c>
    </x:row>
    <x:row r="261" ht="30" customHeight="1">
      <x:c r="A261" s="5" t="str">
        <x:v>TT10_C05_PC_01</x:v>
      </x:c>
      <x:c r="B261" s="5" t="str">
        <x:v>Conjunto general y montaje</x:v>
      </x:c>
      <x:c r="C261" s="7" t="n">
        <x:v>262</x:v>
      </x:c>
      <x:c r="D261" s="5" t="str">
        <x:v>TT10_GUIA_N</x:v>
      </x:c>
      <x:c r="E261" s="7" t="n">
        <x:v>1</x:v>
      </x:c>
      <x:c r="F261" s="7" t="n">
        <x:v>1</x:v>
      </x:c>
      <x:c r="G261" s="5" t="str">
        <x:v>Fabricación</x:v>
      </x:c>
      <x:c r="H261" s="5" t="str">
        <x:v>Guía con alojamiento Ø69 H7; casquillo69/65.5; fuera del camino resistente</x:v>
      </x:c>
      <x:c r="I261" s="5" t="str">
        <x:v>ASTM A36</x:v>
      </x:c>
      <x:c r="J261" s="5" t="str">
        <x:v>Cantidades por conjunto; no sumar como total de máquina.</x:v>
      </x:c>
    </x:row>
    <x:row r="262" ht="30" customHeight="1">
      <x:c r="A262" s="4" t="str">
        <x:v>TT10_C05_PC_01</x:v>
      </x:c>
      <x:c r="B262" s="4" t="str">
        <x:v>Conjunto general y montaje</x:v>
      </x:c>
      <x:c r="C262" s="6" t="n">
        <x:v>263</x:v>
      </x:c>
      <x:c r="D262" s="4" t="str">
        <x:v>TT10_GUIA_P</x:v>
      </x:c>
      <x:c r="E262" s="6" t="n">
        <x:v>1</x:v>
      </x:c>
      <x:c r="F262" s="6" t="n">
        <x:v>1</x:v>
      </x:c>
      <x:c r="G262" s="4" t="str">
        <x:v>Fabricación</x:v>
      </x:c>
      <x:c r="H262" s="4" t="str">
        <x:v>Guía con alojamiento Ø69 H7; casquillo69/65.5; fuera del camino resistente</x:v>
      </x:c>
      <x:c r="I262" s="4" t="str">
        <x:v>ASTM A36</x:v>
      </x:c>
      <x:c r="J262" s="4" t="str">
        <x:v>Cantidades por conjunto; no sumar como total de máquina.</x:v>
      </x:c>
    </x:row>
    <x:row r="263" ht="30" customHeight="1">
      <x:c r="A263" s="5" t="str">
        <x:v>TT10_C05_PC_01</x:v>
      </x:c>
      <x:c r="B263" s="5" t="str">
        <x:v>Conjunto general y montaje</x:v>
      </x:c>
      <x:c r="C263" s="7" t="n">
        <x:v>264</x:v>
      </x:c>
      <x:c r="D263" s="5" t="str">
        <x:v>TT10_KM40_N</x:v>
      </x:c>
      <x:c r="E263" s="7" t="n">
        <x:v>1</x:v>
      </x:c>
      <x:c r="F263" s="7" t="n">
        <x:v>1</x:v>
      </x:c>
      <x:c r="G263" s="5" t="str">
        <x:v>Compra</x:v>
      </x:c>
      <x:c r="H263" s="5" t="str">
        <x:v>SKF KM40, M200x3, D250 B29; cuatro ranuras18x8</x:v>
      </x:c>
      <x:c r="I263" s="5" t="str">
        <x:v>Conjunto comprado; acero/ fundición según OEM</x:v>
      </x:c>
      <x:c r="J263" s="5" t="str">
        <x:v>Cantidades por conjunto; no sumar como total de máquina.</x:v>
      </x:c>
    </x:row>
    <x:row r="264" ht="30" customHeight="1">
      <x:c r="A264" s="4" t="str">
        <x:v>TT10_C05_PC_01</x:v>
      </x:c>
      <x:c r="B264" s="4" t="str">
        <x:v>Conjunto general y montaje</x:v>
      </x:c>
      <x:c r="C264" s="6" t="n">
        <x:v>265</x:v>
      </x:c>
      <x:c r="D264" s="4" t="str">
        <x:v>TT10_KM40_P</x:v>
      </x:c>
      <x:c r="E264" s="6" t="n">
        <x:v>1</x:v>
      </x:c>
      <x:c r="F264" s="6" t="n">
        <x:v>1</x:v>
      </x:c>
      <x:c r="G264" s="4" t="str">
        <x:v>Compra</x:v>
      </x:c>
      <x:c r="H264" s="4" t="str">
        <x:v>SKF KM40, M200x3, D250 B29; cuatro ranuras18x8</x:v>
      </x:c>
      <x:c r="I264" s="4" t="str">
        <x:v>Conjunto comprado; acero/ fundición según OEM</x:v>
      </x:c>
      <x:c r="J264" s="4" t="str">
        <x:v>Cantidades por conjunto; no sumar como total de máquina.</x:v>
      </x:c>
    </x:row>
    <x:row r="265" ht="30" customHeight="1">
      <x:c r="A265" s="5" t="str">
        <x:v>TT10_C05_PC_01</x:v>
      </x:c>
      <x:c r="B265" s="5" t="str">
        <x:v>Conjunto general y montaje</x:v>
      </x:c>
      <x:c r="C265" s="7" t="n">
        <x:v>266</x:v>
      </x:c>
      <x:c r="D265" s="5" t="str">
        <x:v>TT10_LIN_0_0_B</x:v>
      </x:c>
      <x:c r="E265" s="7" t="n">
        <x:v>32</x:v>
      </x:c>
      <x:c r="F265" s="7" t="n">
        <x:v>32</x:v>
      </x:c>
      <x:c r="G265" s="5" t="str">
        <x:v>Compra</x:v>
      </x:c>
      <x:c r="H265" s="5" t="str">
        <x:v>Tornillo avellanado M16x80, cabeza90 D31, hexágono10; geometría nominal</x:v>
      </x:c>
      <x:c r="I265" s="5" t="str">
        <x:v>Clase 10.9 / ISO 898-1</x:v>
      </x:c>
      <x:c r="J265" s="5" t="str">
        <x:v>Cantidades por conjunto; no sumar como total de máquina.</x:v>
      </x:c>
    </x:row>
    <x:row r="266" ht="30" customHeight="1">
      <x:c r="A266" s="4" t="str">
        <x:v>TT10_C05_PC_01</x:v>
      </x:c>
      <x:c r="B266" s="4" t="str">
        <x:v>Conjunto general y montaje</x:v>
      </x:c>
      <x:c r="C266" s="6" t="n">
        <x:v>267</x:v>
      </x:c>
      <x:c r="D266" s="4" t="str">
        <x:v>TT10_LIN_0_0_C</x:v>
      </x:c>
      <x:c r="E266" s="6" t="n">
        <x:v>32</x:v>
      </x:c>
      <x:c r="F266" s="6" t="n">
        <x:v>32</x:v>
      </x:c>
      <x:c r="G266" s="4" t="str">
        <x:v>Fabricación</x:v>
      </x:c>
      <x:c r="H266" s="4" t="str">
        <x:v>Casquillo30/18 L25 limita compresión de elastómero</x:v>
      </x:c>
      <x:c r="I266" s="4" t="str">
        <x:v>Acero C45</x:v>
      </x:c>
      <x:c r="J266" s="4" t="str">
        <x:v>Cantidades por conjunto; no sumar como total de máquina.</x:v>
      </x:c>
    </x:row>
    <x:row r="267" ht="30" customHeight="1">
      <x:c r="A267" s="19" t="str">
        <x:v>TT10_C05_PC_01</x:v>
      </x:c>
      <x:c r="B267" s="19" t="str">
        <x:v>Conjunto general y montaje</x:v>
      </x:c>
      <x:c r="C267" s="20" t="n">
        <x:v>268</x:v>
      </x:c>
      <x:c r="D267" s="19" t="str">
        <x:v>TT10_LIN_0_0_N</x:v>
      </x:c>
      <x:c r="E267" s="20" t="n">
        <x:v>32</x:v>
      </x:c>
      <x:c r="F267" s="20" t="n">
        <x:v>32</x:v>
      </x:c>
      <x:c r="G267" s="19" t="str">
        <x:v>Compra</x:v>
      </x:c>
      <x:c r="H267" s="19" t="str">
        <x:v>Tuerca autoblocante metálica M16; rosca simplificada</x:v>
      </x:c>
      <x:c r="I267" s="19" t="str">
        <x:v>Tuerca clase 8 / ISO 898-2</x:v>
      </x:c>
      <x:c r="J267" s="19" t="str">
        <x:v>Cantidades por conjunto; no sumar como total de máquina.</x:v>
      </x:c>
    </x:row>
    <x:row r="268" ht="30" customHeight="1">
      <x:c r="A268" s="17" t="str">
        <x:v>TT10_C05_PC_01</x:v>
      </x:c>
      <x:c r="B268" s="17" t="str">
        <x:v>Conjunto general y montaje</x:v>
      </x:c>
      <x:c r="C268" s="18" t="n">
        <x:v>269</x:v>
      </x:c>
      <x:c r="D268" s="17" t="str">
        <x:v>TT10_LIN_0_0_W</x:v>
      </x:c>
      <x:c r="E268" s="18" t="n">
        <x:v>32</x:v>
      </x:c>
      <x:c r="F268" s="18" t="n">
        <x:v>32</x:v>
      </x:c>
      <x:c r="G268" s="17" t="str">
        <x:v>Compra</x:v>
      </x:c>
      <x:c r="H268" s="17" t="str">
        <x:v>Arandela M16 200HV D30/d17/t3</x:v>
      </x:c>
      <x:c r="I268" s="17" t="str">
        <x:v>Arandela endurecida 200 HV / ISO 7089</x:v>
      </x:c>
      <x:c r="J268" s="17" t="str">
        <x:v>Cantidades por conjunto; no sumar como total de máquina.</x:v>
      </x:c>
    </x:row>
    <x:row r="269" ht="30" customHeight="1">
      <x:c r="A269" s="19" t="str">
        <x:v>TT10_C05_PC_01</x:v>
      </x:c>
      <x:c r="B269" s="19" t="str">
        <x:v>Conjunto general y montaje</x:v>
      </x:c>
      <x:c r="C269" s="20" t="n">
        <x:v>270</x:v>
      </x:c>
      <x:c r="D269" s="19" t="str">
        <x:v>TT10_LK_BC0</x:v>
      </x:c>
      <x:c r="E269" s="20" t="n">
        <x:v>2</x:v>
      </x:c>
      <x:c r="F269" s="20" t="n">
        <x:v>2</x:v>
      </x:c>
      <x:c r="G269" s="19" t="str">
        <x:v>Compra</x:v>
      </x:c>
      <x:c r="H269" s="19" t="str">
        <x:v>TornilloM6x258.8; cabeza nominal, fijador de rosca y apriete por montaje</x:v>
      </x:c>
      <x:c r="I269" s="19" t="str">
        <x:v>Clase 8.8 / ISO 898-1</x:v>
      </x:c>
      <x:c r="J269" s="19" t="str">
        <x:v>Cantidades por conjunto; no sumar como total de máquina.</x:v>
      </x:c>
    </x:row>
    <x:row r="270" ht="30" customHeight="1">
      <x:c r="A270" s="17" t="str">
        <x:v>TT10_C05_PC_01</x:v>
      </x:c>
      <x:c r="B270" s="17" t="str">
        <x:v>Conjunto general y montaje</x:v>
      </x:c>
      <x:c r="C270" s="18" t="n">
        <x:v>271</x:v>
      </x:c>
      <x:c r="D270" s="17" t="str">
        <x:v>TT10_LK_BC1</x:v>
      </x:c>
      <x:c r="E270" s="18" t="n">
        <x:v>2</x:v>
      </x:c>
      <x:c r="F270" s="18" t="n">
        <x:v>2</x:v>
      </x:c>
      <x:c r="G270" s="17" t="str">
        <x:v>Compra</x:v>
      </x:c>
      <x:c r="H270" s="17" t="str">
        <x:v>TornilloM6x258.8; cabeza nominal, fijador de rosca y apriete por montaje</x:v>
      </x:c>
      <x:c r="I270" s="17" t="str">
        <x:v>Clase 8.8 / ISO 898-1</x:v>
      </x:c>
      <x:c r="J270" s="17" t="str">
        <x:v>Cantidades por conjunto; no sumar como total de máquina.</x:v>
      </x:c>
    </x:row>
    <x:row r="271" ht="30" customHeight="1">
      <x:c r="A271" s="19" t="str">
        <x:v>TT10_C05_PC_01</x:v>
      </x:c>
      <x:c r="B271" s="19" t="str">
        <x:v>Conjunto general y montaje</x:v>
      </x:c>
      <x:c r="C271" s="20" t="n">
        <x:v>272</x:v>
      </x:c>
      <x:c r="D271" s="19" t="str">
        <x:v>TT10_LK_BC2</x:v>
      </x:c>
      <x:c r="E271" s="20" t="n">
        <x:v>2</x:v>
      </x:c>
      <x:c r="F271" s="20" t="n">
        <x:v>2</x:v>
      </x:c>
      <x:c r="G271" s="19" t="str">
        <x:v>Compra</x:v>
      </x:c>
      <x:c r="H271" s="19" t="str">
        <x:v>TornilloM6x258.8; cabeza nominal, fijador de rosca y apriete por montaje</x:v>
      </x:c>
      <x:c r="I271" s="19" t="str">
        <x:v>Clase 8.8 / ISO 898-1</x:v>
      </x:c>
      <x:c r="J271" s="19" t="str">
        <x:v>Cantidades por conjunto; no sumar como total de máquina.</x:v>
      </x:c>
    </x:row>
    <x:row r="272" ht="30" customHeight="1">
      <x:c r="A272" s="17" t="str">
        <x:v>TT10_C05_PC_01</x:v>
      </x:c>
      <x:c r="B272" s="17" t="str">
        <x:v>Conjunto general y montaje</x:v>
      </x:c>
      <x:c r="C272" s="18" t="n">
        <x:v>273</x:v>
      </x:c>
      <x:c r="D272" s="17" t="str">
        <x:v>TT10_LK_BC3</x:v>
      </x:c>
      <x:c r="E272" s="18" t="n">
        <x:v>2</x:v>
      </x:c>
      <x:c r="F272" s="18" t="n">
        <x:v>2</x:v>
      </x:c>
      <x:c r="G272" s="17" t="str">
        <x:v>Compra</x:v>
      </x:c>
      <x:c r="H272" s="17" t="str">
        <x:v>TornilloM6x258.8; cabeza nominal, fijador de rosca y apriete por montaje</x:v>
      </x:c>
      <x:c r="I272" s="17" t="str">
        <x:v>Clase 8.8 / ISO 898-1</x:v>
      </x:c>
      <x:c r="J272" s="17" t="str">
        <x:v>Cantidades por conjunto; no sumar como total de máquina.</x:v>
      </x:c>
    </x:row>
    <x:row r="273" ht="30" customHeight="1">
      <x:c r="A273" s="19" t="str">
        <x:v>TT10_C05_PC_01</x:v>
      </x:c>
      <x:c r="B273" s="19" t="str">
        <x:v>Conjunto general y montaje</x:v>
      </x:c>
      <x:c r="C273" s="20" t="n">
        <x:v>274</x:v>
      </x:c>
      <x:c r="D273" s="19" t="str">
        <x:v>TT10_LK_BL0</x:v>
      </x:c>
      <x:c r="E273" s="20" t="n">
        <x:v>2</x:v>
      </x:c>
      <x:c r="F273" s="20" t="n">
        <x:v>2</x:v>
      </x:c>
      <x:c r="G273" s="19" t="str">
        <x:v>Compra</x:v>
      </x:c>
      <x:c r="H273" s="19" t="str">
        <x:v>TornilloM6x908.8; cabeza nominal, fijador de rosca y apriete por montaje</x:v>
      </x:c>
      <x:c r="I273" s="19" t="str">
        <x:v>Clase 8.8 / ISO 898-1</x:v>
      </x:c>
      <x:c r="J273" s="19" t="str">
        <x:v>Cantidades por conjunto; no sumar como total de máquina.</x:v>
      </x:c>
    </x:row>
    <x:row r="274" ht="30" customHeight="1">
      <x:c r="A274" s="17" t="str">
        <x:v>TT10_C05_PC_01</x:v>
      </x:c>
      <x:c r="B274" s="17" t="str">
        <x:v>Conjunto general y montaje</x:v>
      </x:c>
      <x:c r="C274" s="18" t="n">
        <x:v>275</x:v>
      </x:c>
      <x:c r="D274" s="17" t="str">
        <x:v>TT10_LK_BS0</x:v>
      </x:c>
      <x:c r="E274" s="18" t="n">
        <x:v>2</x:v>
      </x:c>
      <x:c r="F274" s="18" t="n">
        <x:v>2</x:v>
      </x:c>
      <x:c r="G274" s="17" t="str">
        <x:v>Compra</x:v>
      </x:c>
      <x:c r="H274" s="17" t="str">
        <x:v>TornilloM10x258.8; cabeza nominal, fijador de rosca y apriete por montaje</x:v>
      </x:c>
      <x:c r="I274" s="17" t="str">
        <x:v>Clase 8.8 / ISO 898-1</x:v>
      </x:c>
      <x:c r="J274" s="17" t="str">
        <x:v>Cantidades por conjunto; no sumar como total de máquina.</x:v>
      </x:c>
    </x:row>
    <x:row r="275" ht="30" customHeight="1">
      <x:c r="A275" s="19" t="str">
        <x:v>TT10_C05_PC_01</x:v>
      </x:c>
      <x:c r="B275" s="19" t="str">
        <x:v>Conjunto general y montaje</x:v>
      </x:c>
      <x:c r="C275" s="20" t="n">
        <x:v>276</x:v>
      </x:c>
      <x:c r="D275" s="19" t="str">
        <x:v>TT10_LK_BS1</x:v>
      </x:c>
      <x:c r="E275" s="20" t="n">
        <x:v>2</x:v>
      </x:c>
      <x:c r="F275" s="20" t="n">
        <x:v>2</x:v>
      </x:c>
      <x:c r="G275" s="19" t="str">
        <x:v>Compra</x:v>
      </x:c>
      <x:c r="H275" s="19" t="str">
        <x:v>TornilloM10x258.8; cabeza nominal, fijador de rosca y apriete por montaje</x:v>
      </x:c>
      <x:c r="I275" s="19" t="str">
        <x:v>Clase 8.8 / ISO 898-1</x:v>
      </x:c>
      <x:c r="J275" s="19" t="str">
        <x:v>Cantidades por conjunto; no sumar como total de máquina.</x:v>
      </x:c>
    </x:row>
    <x:row r="276" ht="30" customHeight="1">
      <x:c r="A276" s="17" t="str">
        <x:v>TT10_C05_PC_01</x:v>
      </x:c>
      <x:c r="B276" s="17" t="str">
        <x:v>Conjunto general y montaje</x:v>
      </x:c>
      <x:c r="C276" s="18" t="n">
        <x:v>277</x:v>
      </x:c>
      <x:c r="D276" s="17" t="str">
        <x:v>TT10_LK_BS2</x:v>
      </x:c>
      <x:c r="E276" s="18" t="n">
        <x:v>2</x:v>
      </x:c>
      <x:c r="F276" s="18" t="n">
        <x:v>2</x:v>
      </x:c>
      <x:c r="G276" s="17" t="str">
        <x:v>Compra</x:v>
      </x:c>
      <x:c r="H276" s="17" t="str">
        <x:v>TornilloM10x258.8; cabeza nominal, fijador de rosca y apriete por montaje</x:v>
      </x:c>
      <x:c r="I276" s="17" t="str">
        <x:v>Clase 8.8 / ISO 898-1</x:v>
      </x:c>
      <x:c r="J276" s="17" t="str">
        <x:v>Cantidades por conjunto; no sumar como total de máquina.</x:v>
      </x:c>
    </x:row>
    <x:row r="277" ht="30" customHeight="1">
      <x:c r="A277" s="19" t="str">
        <x:v>TT10_C05_PC_01</x:v>
      </x:c>
      <x:c r="B277" s="19" t="str">
        <x:v>Conjunto general y montaje</x:v>
      </x:c>
      <x:c r="C277" s="20" t="n">
        <x:v>278</x:v>
      </x:c>
      <x:c r="D277" s="19" t="str">
        <x:v>TT10_LK_BS3</x:v>
      </x:c>
      <x:c r="E277" s="20" t="n">
        <x:v>2</x:v>
      </x:c>
      <x:c r="F277" s="20" t="n">
        <x:v>2</x:v>
      </x:c>
      <x:c r="G277" s="19" t="str">
        <x:v>Compra</x:v>
      </x:c>
      <x:c r="H277" s="19" t="str">
        <x:v>TornilloM10x258.8; cabeza nominal, fijador de rosca y apriete por montaje</x:v>
      </x:c>
      <x:c r="I277" s="19" t="str">
        <x:v>Clase 8.8 / ISO 898-1</x:v>
      </x:c>
      <x:c r="J277" s="19" t="str">
        <x:v>Cantidades por conjunto; no sumar como total de máquina.</x:v>
      </x:c>
    </x:row>
    <x:row r="278" ht="30" customHeight="1">
      <x:c r="A278" s="17" t="str">
        <x:v>TT10_C05_PC_01</x:v>
      </x:c>
      <x:c r="B278" s="17" t="str">
        <x:v>Conjunto general y montaje</x:v>
      </x:c>
      <x:c r="C278" s="18" t="n">
        <x:v>279</x:v>
      </x:c>
      <x:c r="D278" s="17" t="str">
        <x:v>TT10_LK_BSE0</x:v>
      </x:c>
      <x:c r="E278" s="18" t="n">
        <x:v>2</x:v>
      </x:c>
      <x:c r="F278" s="18" t="n">
        <x:v>2</x:v>
      </x:c>
      <x:c r="G278" s="17" t="str">
        <x:v>Compra</x:v>
      </x:c>
      <x:c r="H278" s="17" t="str">
        <x:v>TornilloISO4762 M6x20 8.8;5.4mm de rosca en guia, fijador y apriete4Nm</x:v>
      </x:c>
      <x:c r="I278" s="17" t="str">
        <x:v>Clase 8.8 / ISO 898-1</x:v>
      </x:c>
      <x:c r="J278" s="17" t="str">
        <x:v>Cantidades por conjunto; no sumar como total de máquina.</x:v>
      </x:c>
    </x:row>
    <x:row r="279" ht="30" customHeight="1">
      <x:c r="A279" s="19" t="str">
        <x:v>TT10_C05_PC_01</x:v>
      </x:c>
      <x:c r="B279" s="19" t="str">
        <x:v>Conjunto general y montaje</x:v>
      </x:c>
      <x:c r="C279" s="20" t="n">
        <x:v>280</x:v>
      </x:c>
      <x:c r="D279" s="19" t="str">
        <x:v>TT10_LK_BSE1</x:v>
      </x:c>
      <x:c r="E279" s="20" t="n">
        <x:v>2</x:v>
      </x:c>
      <x:c r="F279" s="20" t="n">
        <x:v>2</x:v>
      </x:c>
      <x:c r="G279" s="19" t="str">
        <x:v>Compra</x:v>
      </x:c>
      <x:c r="H279" s="19" t="str">
        <x:v>TornilloISO4762 M6x20 8.8;5.4mm de rosca en guia, fijador y apriete4Nm</x:v>
      </x:c>
      <x:c r="I279" s="19" t="str">
        <x:v>Clase 8.8 / ISO 898-1</x:v>
      </x:c>
      <x:c r="J279" s="19" t="str">
        <x:v>Cantidades por conjunto; no sumar como total de máquina.</x:v>
      </x:c>
    </x:row>
    <x:row r="280" ht="30" customHeight="1">
      <x:c r="A280" s="17" t="str">
        <x:v>TT10_C05_PC_01</x:v>
      </x:c>
      <x:c r="B280" s="17" t="str">
        <x:v>Conjunto general y montaje</x:v>
      </x:c>
      <x:c r="C280" s="18" t="n">
        <x:v>281</x:v>
      </x:c>
      <x:c r="D280" s="17" t="str">
        <x:v>TT10_LK_GTCA100</x:v>
      </x:c>
      <x:c r="E280" s="18" t="n">
        <x:v>2</x:v>
      </x:c>
      <x:c r="F280" s="18" t="n">
        <x:v>2</x:v>
      </x:c>
      <x:c r="G280" s="17" t="str">
        <x:v>Compra</x:v>
      </x:c>
      <x:c r="H280" s="17" t="str">
        <x:v>Magnet-Schultz GTCA100X43A02,24V,S1: envolvente e interfaces publicadas; no CAD oficial</x:v>
      </x:c>
      <x:c r="I280" s="17" t="str">
        <x:v>Equipo comercial condicional; polvo desconocido</x:v>
      </x:c>
      <x:c r="J280" s="17" t="str">
        <x:v>Cantidades por conjunto; no sumar como total de máquina.</x:v>
      </x:c>
    </x:row>
    <x:row r="281" ht="30" customHeight="1">
      <x:c r="A281" s="19" t="str">
        <x:v>TT10_C05_PC_01</x:v>
      </x:c>
      <x:c r="B281" s="19" t="str">
        <x:v>Conjunto general y montaje</x:v>
      </x:c>
      <x:c r="C281" s="20" t="n">
        <x:v>282</x:v>
      </x:c>
      <x:c r="D281" s="19" t="str">
        <x:v>TT10_LK_GUIA</x:v>
      </x:c>
      <x:c r="E281" s="20" t="n">
        <x:v>2</x:v>
      </x:c>
      <x:c r="F281" s="20" t="n">
        <x:v>2</x:v>
      </x:c>
      <x:c r="G281" s="19" t="str">
        <x:v>Fabricación</x:v>
      </x:c>
      <x:c r="H281" s="19" t="str">
        <x:v>Pestillo: guia abierta20.4x20.4, brazo25x42, pie80x12; asiento solenoide110/88</x:v>
      </x:c>
      <x:c r="I281" s="19" t="str">
        <x:v>ASTM A36</x:v>
      </x:c>
      <x:c r="J281" s="19" t="str">
        <x:v>Cantidades por conjunto; no sumar como total de máquina.</x:v>
      </x:c>
    </x:row>
    <x:row r="282" ht="30" customHeight="1">
      <x:c r="A282" s="17" t="str">
        <x:v>TT10_C05_PC_01</x:v>
      </x:c>
      <x:c r="B282" s="17" t="str">
        <x:v>Conjunto general y montaje</x:v>
      </x:c>
      <x:c r="C282" s="18" t="n">
        <x:v>283</x:v>
      </x:c>
      <x:c r="D282" s="17" t="str">
        <x:v>TT10_LK_LAMINA</x:v>
      </x:c>
      <x:c r="E282" s="18" t="n">
        <x:v>2</x:v>
      </x:c>
      <x:c r="F282" s="18" t="n">
        <x:v>2</x:v>
      </x:c>
      <x:c r="G282" s="17" t="str">
        <x:v>Fabricación</x:v>
      </x:c>
      <x:c r="H282" s="17" t="str">
        <x:v>Resorte de lamina20x1.8, longitud activa330, precarga equivalente50mm; forma instalada; horquillaU R6.5, sin esquina interna recta</x:v>
      </x:c>
      <x:c r="I282" s="17" t="str">
        <x:v>51CrV4 templado/revenido; Rp0.2≥1000MPa,Rm≥1250MPa; superficie y fatiga por verificar</x:v>
      </x:c>
      <x:c r="J282" s="17" t="str">
        <x:v>Cantidades por conjunto; no sumar como total de máquina.</x:v>
      </x:c>
    </x:row>
    <x:row r="283" ht="30" customHeight="1">
      <x:c r="A283" s="19" t="str">
        <x:v>TT10_C05_PC_01</x:v>
      </x:c>
      <x:c r="B283" s="19" t="str">
        <x:v>Conjunto general y montaje</x:v>
      </x:c>
      <x:c r="C283" s="20" t="n">
        <x:v>284</x:v>
      </x:c>
      <x:c r="D283" s="19" t="str">
        <x:v>TT10_LK_MORDAZA_LAMINA</x:v>
      </x:c>
      <x:c r="E283" s="20" t="n">
        <x:v>2</x:v>
      </x:c>
      <x:c r="F283" s="20" t="n">
        <x:v>2</x:v>
      </x:c>
      <x:c r="G283" s="19" t="str">
        <x:v>Fabricación</x:v>
      </x:c>
      <x:c r="H283" s="19" t="str">
        <x:v>Mordaza30x20x9.1 para resorte; no soldar ni taladrar zona activa de la lamina</x:v>
      </x:c>
      <x:c r="I283" s="19" t="str">
        <x:v>ASTM A36</x:v>
      </x:c>
      <x:c r="J283" s="19" t="str">
        <x:v>Cantidades por conjunto; no sumar como total de máquina.</x:v>
      </x:c>
    </x:row>
    <x:row r="284" ht="30" customHeight="1">
      <x:c r="A284" s="17" t="str">
        <x:v>TT10_C05_PC_01</x:v>
      </x:c>
      <x:c r="B284" s="17" t="str">
        <x:v>Conjunto general y montaje</x:v>
      </x:c>
      <x:c r="C284" s="18" t="n">
        <x:v>285</x:v>
      </x:c>
      <x:c r="D284" s="17" t="str">
        <x:v>TT10_LK_NL0</x:v>
      </x:c>
      <x:c r="E284" s="18" t="n">
        <x:v>2</x:v>
      </x:c>
      <x:c r="F284" s="18" t="n">
        <x:v>2</x:v>
      </x:c>
      <x:c r="G284" s="17" t="str">
        <x:v>Compra</x:v>
      </x:c>
      <x:c r="H284" s="17" t="str">
        <x:v>TuercaM6clase8, retencion positiva segun montaje</x:v>
      </x:c>
      <x:c r="I284" s="17" t="str">
        <x:v>Tuerca clase 8 / ISO 898-2</x:v>
      </x:c>
      <x:c r="J284" s="17" t="str">
        <x:v>Cantidades por conjunto; no sumar como total de máquina.</x:v>
      </x:c>
    </x:row>
    <x:row r="285" ht="30" customHeight="1">
      <x:c r="A285" s="19" t="str">
        <x:v>TT10_C05_PC_01</x:v>
      </x:c>
      <x:c r="B285" s="19" t="str">
        <x:v>Conjunto general y montaje</x:v>
      </x:c>
      <x:c r="C285" s="20" t="n">
        <x:v>286</x:v>
      </x:c>
      <x:c r="D285" s="19" t="str">
        <x:v>TT10_LK_NT</x:v>
      </x:c>
      <x:c r="E285" s="20" t="n">
        <x:v>2</x:v>
      </x:c>
      <x:c r="F285" s="20" t="n">
        <x:v>2</x:v>
      </x:c>
      <x:c r="G285" s="19" t="str">
        <x:v>Compra</x:v>
      </x:c>
      <x:c r="H285" s="19" t="str">
        <x:v>TuercaM6clase8, retencion positiva segun montaje</x:v>
      </x:c>
      <x:c r="I285" s="19" t="str">
        <x:v>Tuerca clase 8 / ISO 898-2</x:v>
      </x:c>
      <x:c r="J285" s="19" t="str">
        <x:v>Cantidades por conjunto; no sumar como total de máquina.</x:v>
      </x:c>
    </x:row>
    <x:row r="286" ht="30" customHeight="1">
      <x:c r="A286" s="17" t="str">
        <x:v>TT10_C05_PC_01</x:v>
      </x:c>
      <x:c r="B286" s="17" t="str">
        <x:v>Conjunto general y montaje</x:v>
      </x:c>
      <x:c r="C286" s="18" t="n">
        <x:v>287</x:v>
      </x:c>
      <x:c r="D286" s="17" t="str">
        <x:v>TT10_LK_PESTILLO</x:v>
      </x:c>
      <x:c r="E286" s="18" t="n">
        <x:v>2</x:v>
      </x:c>
      <x:c r="F286" s="18" t="n">
        <x:v>2</x:v>
      </x:c>
      <x:c r="G286" s="17" t="str">
        <x:v>Fabricación</x:v>
      </x:c>
      <x:c r="H286" s="17" t="str">
        <x:v>Pestillo42CrMo4+QT, punta20x20, enganche radial nominal9mm, retirada25mm; M12 liberacion</x:v>
      </x:c>
      <x:c r="I286" s="17" t="str">
        <x:v>AISI 4140 bonificado</x:v>
      </x:c>
      <x:c r="J286" s="17" t="str">
        <x:v>Cantidades por conjunto; no sumar como total de máquina.</x:v>
      </x:c>
    </x:row>
    <x:row r="287" ht="30" customHeight="1">
      <x:c r="A287" s="19" t="str">
        <x:v>TT10_C05_PC_01</x:v>
      </x:c>
      <x:c r="B287" s="19" t="str">
        <x:v>Conjunto general y montaje</x:v>
      </x:c>
      <x:c r="C287" s="20" t="n">
        <x:v>288</x:v>
      </x:c>
      <x:c r="D287" s="19" t="str">
        <x:v>TT10_LK_SENSOR</x:v>
      </x:c>
      <x:c r="E287" s="20" t="n">
        <x:v>2</x:v>
      </x:c>
      <x:c r="F287" s="20" t="n">
        <x:v>2</x:v>
      </x:c>
      <x:c r="G287" s="19" t="str">
        <x:v>Compra</x:v>
      </x:c>
      <x:c r="H287" s="19" t="str">
        <x:v>ifmIE5338: sensor ordinarioPNP de enganche; M8x1, cara Y22, entrehierro nominal1mm</x:v>
      </x:c>
      <x:c r="I287" s="19" t="str">
        <x:v>Sensor comercial; materiales según referencia OEM</x:v>
      </x:c>
      <x:c r="J287" s="19" t="str">
        <x:v>Cantidades por conjunto; no sumar como total de máquina.</x:v>
      </x:c>
    </x:row>
    <x:row r="288" ht="30" customHeight="1">
      <x:c r="A288" s="17" t="str">
        <x:v>TT10_C05_PC_01</x:v>
      </x:c>
      <x:c r="B288" s="17" t="str">
        <x:v>Conjunto general y montaje</x:v>
      </x:c>
      <x:c r="C288" s="18" t="n">
        <x:v>289</x:v>
      </x:c>
      <x:c r="D288" s="17" t="str">
        <x:v>TT10_LK_SOP_SENSOR</x:v>
      </x:c>
      <x:c r="E288" s="18" t="n">
        <x:v>2</x:v>
      </x:c>
      <x:c r="F288" s="18" t="n">
        <x:v>2</x:v>
      </x:c>
      <x:c r="G288" s="17" t="str">
        <x:v>Fabricación</x:v>
      </x:c>
      <x:c r="H288" s="17" t="str">
        <x:v>Soporte desmontable: sensor a cara real del pestillo; dosM6x20, sin soldar a la guia</x:v>
      </x:c>
      <x:c r="I288" s="17" t="str">
        <x:v>ASTM A36</x:v>
      </x:c>
      <x:c r="J288" s="17" t="str">
        <x:v>Cantidades por conjunto; no sumar como total de máquina.</x:v>
      </x:c>
    </x:row>
    <x:row r="289" ht="30" customHeight="1">
      <x:c r="A289" s="19" t="str">
        <x:v>TT10_C05_PC_01</x:v>
      </x:c>
      <x:c r="B289" s="19" t="str">
        <x:v>Conjunto general y montaje</x:v>
      </x:c>
      <x:c r="C289" s="20" t="n">
        <x:v>290</x:v>
      </x:c>
      <x:c r="D289" s="19" t="str">
        <x:v>TT10_LK_TAPA</x:v>
      </x:c>
      <x:c r="E289" s="20" t="n">
        <x:v>2</x:v>
      </x:c>
      <x:c r="F289" s="20" t="n">
        <x:v>2</x:v>
      </x:c>
      <x:c r="G289" s="19" t="str">
        <x:v>Compra</x:v>
      </x:c>
      <x:c r="H289" s="19" t="str">
        <x:v>Tapa de guia desmontable; tornillo de recorrido y fijaciones de tapa pendientes de comprobacion</x:v>
      </x:c>
      <x:c r="I289" s="19" t="str">
        <x:v>Clase 8.8 / ISO 898-1</x:v>
      </x:c>
      <x:c r="J289" s="19" t="str">
        <x:v>Cantidades por conjunto; no sumar como total de máquina.</x:v>
      </x:c>
    </x:row>
    <x:row r="290" ht="30" customHeight="1">
      <x:c r="A290" s="17" t="str">
        <x:v>TT10_C05_PC_01</x:v>
      </x:c>
      <x:c r="B290" s="17" t="str">
        <x:v>Conjunto general y montaje</x:v>
      </x:c>
      <x:c r="C290" s="18" t="n">
        <x:v>291</x:v>
      </x:c>
      <x:c r="D290" s="17" t="str">
        <x:v>TT10_LK_TIRANTE</x:v>
      </x:c>
      <x:c r="E290" s="18" t="n">
        <x:v>2</x:v>
      </x:c>
      <x:c r="F290" s="18" t="n">
        <x:v>2</x:v>
      </x:c>
      <x:c r="G290" s="17" t="str">
        <x:v>Fabricación</x:v>
      </x:c>
      <x:c r="H290" s="17" t="str">
        <x:v>TiranteM12 nominal entre pestillo y solenoide; longitud ajustable, conexion OEM por verificar</x:v>
      </x:c>
      <x:c r="I290" s="17" t="str">
        <x:v>ASTM A36</x:v>
      </x:c>
      <x:c r="J290" s="17" t="str">
        <x:v>Cantidades por conjunto; no sumar como total de máquina.</x:v>
      </x:c>
    </x:row>
    <x:row r="291" ht="30" customHeight="1">
      <x:c r="A291" s="19" t="str">
        <x:v>TT10_C05_PC_01</x:v>
      </x:c>
      <x:c r="B291" s="19" t="str">
        <x:v>Conjunto general y montaje</x:v>
      </x:c>
      <x:c r="C291" s="20" t="n">
        <x:v>292</x:v>
      </x:c>
      <x:c r="D291" s="19" t="str">
        <x:v>TT10_LK_TOPE</x:v>
      </x:c>
      <x:c r="E291" s="20" t="n">
        <x:v>2</x:v>
      </x:c>
      <x:c r="F291" s="20" t="n">
        <x:v>2</x:v>
      </x:c>
      <x:c r="G291" s="19" t="str">
        <x:v>Compra</x:v>
      </x:c>
      <x:c r="H291" s="19" t="str">
        <x:v>Tornillo de hombroD8, paso de recorrido; conexion roscada nominal pendiente de detalle</x:v>
      </x:c>
      <x:c r="I291" s="19" t="str">
        <x:v>Clase 10.9 / ISO 898-1</x:v>
      </x:c>
      <x:c r="J291" s="19" t="str">
        <x:v>Cantidades por conjunto; no sumar como total de máquina.</x:v>
      </x:c>
    </x:row>
    <x:row r="292" ht="30" customHeight="1">
      <x:c r="A292" s="17" t="str">
        <x:v>TT10_C05_PC_01</x:v>
      </x:c>
      <x:c r="B292" s="17" t="str">
        <x:v>Conjunto general y montaje</x:v>
      </x:c>
      <x:c r="C292" s="18" t="n">
        <x:v>293</x:v>
      </x:c>
      <x:c r="D292" s="17" t="str">
        <x:v>TT10_LK_WC0</x:v>
      </x:c>
      <x:c r="E292" s="18" t="n">
        <x:v>2</x:v>
      </x:c>
      <x:c r="F292" s="18" t="n">
        <x:v>2</x:v>
      </x:c>
      <x:c r="G292" s="17" t="str">
        <x:v>Compra</x:v>
      </x:c>
      <x:c r="H292" s="17" t="str">
        <x:v>ArandelaD12/d6.4/t1.6</x:v>
      </x:c>
      <x:c r="I292" s="17" t="str">
        <x:v>Arandela endurecida 300 HV / ISO 7089</x:v>
      </x:c>
      <x:c r="J292" s="17" t="str">
        <x:v>Cantidades por conjunto; no sumar como total de máquina.</x:v>
      </x:c>
    </x:row>
    <x:row r="293" ht="30" customHeight="1">
      <x:c r="A293" s="19" t="str">
        <x:v>TT10_C05_PC_01</x:v>
      </x:c>
      <x:c r="B293" s="19" t="str">
        <x:v>Conjunto general y montaje</x:v>
      </x:c>
      <x:c r="C293" s="20" t="n">
        <x:v>294</x:v>
      </x:c>
      <x:c r="D293" s="19" t="str">
        <x:v>TT10_LK_WC1</x:v>
      </x:c>
      <x:c r="E293" s="20" t="n">
        <x:v>2</x:v>
      </x:c>
      <x:c r="F293" s="20" t="n">
        <x:v>2</x:v>
      </x:c>
      <x:c r="G293" s="19" t="str">
        <x:v>Compra</x:v>
      </x:c>
      <x:c r="H293" s="19" t="str">
        <x:v>ArandelaD12/d6.4/t1.6</x:v>
      </x:c>
      <x:c r="I293" s="19" t="str">
        <x:v>Arandela endurecida 300 HV / ISO 7089</x:v>
      </x:c>
      <x:c r="J293" s="19" t="str">
        <x:v>Cantidades por conjunto; no sumar como total de máquina.</x:v>
      </x:c>
    </x:row>
    <x:row r="294" ht="30" customHeight="1">
      <x:c r="A294" s="17" t="str">
        <x:v>TT10_C05_PC_01</x:v>
      </x:c>
      <x:c r="B294" s="17" t="str">
        <x:v>Conjunto general y montaje</x:v>
      </x:c>
      <x:c r="C294" s="18" t="n">
        <x:v>295</x:v>
      </x:c>
      <x:c r="D294" s="17" t="str">
        <x:v>TT10_LK_WC2</x:v>
      </x:c>
      <x:c r="E294" s="18" t="n">
        <x:v>2</x:v>
      </x:c>
      <x:c r="F294" s="18" t="n">
        <x:v>2</x:v>
      </x:c>
      <x:c r="G294" s="17" t="str">
        <x:v>Compra</x:v>
      </x:c>
      <x:c r="H294" s="17" t="str">
        <x:v>ArandelaD12/d6.4/t1.6</x:v>
      </x:c>
      <x:c r="I294" s="17" t="str">
        <x:v>Arandela endurecida 300 HV / ISO 7089</x:v>
      </x:c>
      <x:c r="J294" s="17" t="str">
        <x:v>Cantidades por conjunto; no sumar como total de máquina.</x:v>
      </x:c>
    </x:row>
    <x:row r="295" ht="30" customHeight="1">
      <x:c r="A295" s="19" t="str">
        <x:v>TT10_C05_PC_01</x:v>
      </x:c>
      <x:c r="B295" s="19" t="str">
        <x:v>Conjunto general y montaje</x:v>
      </x:c>
      <x:c r="C295" s="20" t="n">
        <x:v>296</x:v>
      </x:c>
      <x:c r="D295" s="19" t="str">
        <x:v>TT10_LK_WC3</x:v>
      </x:c>
      <x:c r="E295" s="20" t="n">
        <x:v>2</x:v>
      </x:c>
      <x:c r="F295" s="20" t="n">
        <x:v>2</x:v>
      </x:c>
      <x:c r="G295" s="19" t="str">
        <x:v>Compra</x:v>
      </x:c>
      <x:c r="H295" s="19" t="str">
        <x:v>ArandelaD12/d6.4/t1.6</x:v>
      </x:c>
      <x:c r="I295" s="19" t="str">
        <x:v>Arandela endurecida 300 HV / ISO 7089</x:v>
      </x:c>
      <x:c r="J295" s="19" t="str">
        <x:v>Cantidades por conjunto; no sumar como total de máquina.</x:v>
      </x:c>
    </x:row>
    <x:row r="296" ht="30" customHeight="1">
      <x:c r="A296" s="17" t="str">
        <x:v>TT10_C05_PC_01</x:v>
      </x:c>
      <x:c r="B296" s="17" t="str">
        <x:v>Conjunto general y montaje</x:v>
      </x:c>
      <x:c r="C296" s="18" t="n">
        <x:v>297</x:v>
      </x:c>
      <x:c r="D296" s="17" t="str">
        <x:v>TT10_LK_WL0</x:v>
      </x:c>
      <x:c r="E296" s="18" t="n">
        <x:v>2</x:v>
      </x:c>
      <x:c r="F296" s="18" t="n">
        <x:v>2</x:v>
      </x:c>
      <x:c r="G296" s="17" t="str">
        <x:v>Compra</x:v>
      </x:c>
      <x:c r="H296" s="17" t="str">
        <x:v>ArandelaD12/d6.4/t1.6</x:v>
      </x:c>
      <x:c r="I296" s="17" t="str">
        <x:v>Arandela endurecida 300 HV / ISO 7089</x:v>
      </x:c>
      <x:c r="J296" s="17" t="str">
        <x:v>Cantidades por conjunto; no sumar como total de máquina.</x:v>
      </x:c>
    </x:row>
    <x:row r="297" ht="30" customHeight="1">
      <x:c r="A297" s="19" t="str">
        <x:v>TT10_C05_PC_01</x:v>
      </x:c>
      <x:c r="B297" s="19" t="str">
        <x:v>Conjunto general y montaje</x:v>
      </x:c>
      <x:c r="C297" s="20" t="n">
        <x:v>298</x:v>
      </x:c>
      <x:c r="D297" s="19" t="str">
        <x:v>TT10_LK_WS0</x:v>
      </x:c>
      <x:c r="E297" s="20" t="n">
        <x:v>2</x:v>
      </x:c>
      <x:c r="F297" s="20" t="n">
        <x:v>2</x:v>
      </x:c>
      <x:c r="G297" s="19" t="str">
        <x:v>Compra</x:v>
      </x:c>
      <x:c r="H297" s="19" t="str">
        <x:v>ArandelaD20/d10.5/t2</x:v>
      </x:c>
      <x:c r="I297" s="19" t="str">
        <x:v>Arandela endurecida 300 HV / ISO 7089</x:v>
      </x:c>
      <x:c r="J297" s="19" t="str">
        <x:v>Cantidades por conjunto; no sumar como total de máquina.</x:v>
      </x:c>
    </x:row>
    <x:row r="298" ht="30" customHeight="1">
      <x:c r="A298" s="17" t="str">
        <x:v>TT10_C05_PC_01</x:v>
      </x:c>
      <x:c r="B298" s="17" t="str">
        <x:v>Conjunto general y montaje</x:v>
      </x:c>
      <x:c r="C298" s="18" t="n">
        <x:v>299</x:v>
      </x:c>
      <x:c r="D298" s="17" t="str">
        <x:v>TT10_LK_WS1</x:v>
      </x:c>
      <x:c r="E298" s="18" t="n">
        <x:v>2</x:v>
      </x:c>
      <x:c r="F298" s="18" t="n">
        <x:v>2</x:v>
      </x:c>
      <x:c r="G298" s="17" t="str">
        <x:v>Compra</x:v>
      </x:c>
      <x:c r="H298" s="17" t="str">
        <x:v>ArandelaD20/d10.5/t2</x:v>
      </x:c>
      <x:c r="I298" s="17" t="str">
        <x:v>Arandela endurecida 300 HV / ISO 7089</x:v>
      </x:c>
      <x:c r="J298" s="17" t="str">
        <x:v>Cantidades por conjunto; no sumar como total de máquina.</x:v>
      </x:c>
    </x:row>
    <x:row r="299" ht="30" customHeight="1">
      <x:c r="A299" s="19" t="str">
        <x:v>TT10_C05_PC_01</x:v>
      </x:c>
      <x:c r="B299" s="19" t="str">
        <x:v>Conjunto general y montaje</x:v>
      </x:c>
      <x:c r="C299" s="20" t="n">
        <x:v>300</x:v>
      </x:c>
      <x:c r="D299" s="19" t="str">
        <x:v>TT10_LK_WS2</x:v>
      </x:c>
      <x:c r="E299" s="20" t="n">
        <x:v>2</x:v>
      </x:c>
      <x:c r="F299" s="20" t="n">
        <x:v>2</x:v>
      </x:c>
      <x:c r="G299" s="19" t="str">
        <x:v>Compra</x:v>
      </x:c>
      <x:c r="H299" s="19" t="str">
        <x:v>ArandelaD20/d10.5/t2</x:v>
      </x:c>
      <x:c r="I299" s="19" t="str">
        <x:v>Arandela endurecida 300 HV / ISO 7089</x:v>
      </x:c>
      <x:c r="J299" s="19" t="str">
        <x:v>Cantidades por conjunto; no sumar como total de máquina.</x:v>
      </x:c>
    </x:row>
    <x:row r="300" ht="30" customHeight="1">
      <x:c r="A300" s="17" t="str">
        <x:v>TT10_C05_PC_01</x:v>
      </x:c>
      <x:c r="B300" s="17" t="str">
        <x:v>Conjunto general y montaje</x:v>
      </x:c>
      <x:c r="C300" s="18" t="n">
        <x:v>301</x:v>
      </x:c>
      <x:c r="D300" s="17" t="str">
        <x:v>TT10_LK_WS3</x:v>
      </x:c>
      <x:c r="E300" s="18" t="n">
        <x:v>2</x:v>
      </x:c>
      <x:c r="F300" s="18" t="n">
        <x:v>2</x:v>
      </x:c>
      <x:c r="G300" s="17" t="str">
        <x:v>Compra</x:v>
      </x:c>
      <x:c r="H300" s="17" t="str">
        <x:v>ArandelaD20/d10.5/t2</x:v>
      </x:c>
      <x:c r="I300" s="17" t="str">
        <x:v>Arandela endurecida 300 HV / ISO 7089</x:v>
      </x:c>
      <x:c r="J300" s="17" t="str">
        <x:v>Cantidades por conjunto; no sumar como total de máquina.</x:v>
      </x:c>
    </x:row>
    <x:row r="301" ht="30" customHeight="1">
      <x:c r="A301" s="19" t="str">
        <x:v>TT10_C05_PC_01</x:v>
      </x:c>
      <x:c r="B301" s="19" t="str">
        <x:v>Conjunto general y montaje</x:v>
      </x:c>
      <x:c r="C301" s="20" t="n">
        <x:v>302</x:v>
      </x:c>
      <x:c r="D301" s="19" t="str">
        <x:v>TT10_LK_WSE0</x:v>
      </x:c>
      <x:c r="E301" s="20" t="n">
        <x:v>2</x:v>
      </x:c>
      <x:c r="F301" s="20" t="n">
        <x:v>2</x:v>
      </x:c>
      <x:c r="G301" s="19" t="str">
        <x:v>Compra</x:v>
      </x:c>
      <x:c r="H301" s="19" t="str">
        <x:v>ArandelaISO7089 M6 200HV</x:v>
      </x:c>
      <x:c r="I301" s="19" t="str">
        <x:v>Arandela endurecida 200 HV / ISO 7089</x:v>
      </x:c>
      <x:c r="J301" s="19" t="str">
        <x:v>Cantidades por conjunto; no sumar como total de máquina.</x:v>
      </x:c>
    </x:row>
    <x:row r="302" ht="30" customHeight="1">
      <x:c r="A302" s="17" t="str">
        <x:v>TT10_C05_PC_01</x:v>
      </x:c>
      <x:c r="B302" s="17" t="str">
        <x:v>Conjunto general y montaje</x:v>
      </x:c>
      <x:c r="C302" s="18" t="n">
        <x:v>303</x:v>
      </x:c>
      <x:c r="D302" s="17" t="str">
        <x:v>TT10_LK_WSE1</x:v>
      </x:c>
      <x:c r="E302" s="18" t="n">
        <x:v>2</x:v>
      </x:c>
      <x:c r="F302" s="18" t="n">
        <x:v>2</x:v>
      </x:c>
      <x:c r="G302" s="17" t="str">
        <x:v>Compra</x:v>
      </x:c>
      <x:c r="H302" s="17" t="str">
        <x:v>ArandelaISO7089 M6 200HV</x:v>
      </x:c>
      <x:c r="I302" s="17" t="str">
        <x:v>Arandela endurecida 200 HV / ISO 7089</x:v>
      </x:c>
      <x:c r="J302" s="17" t="str">
        <x:v>Cantidades por conjunto; no sumar como total de máquina.</x:v>
      </x:c>
    </x:row>
    <x:row r="303" ht="30" customHeight="1">
      <x:c r="A303" s="19" t="str">
        <x:v>TT10_C05_PC_01</x:v>
      </x:c>
      <x:c r="B303" s="19" t="str">
        <x:v>Conjunto general y montaje</x:v>
      </x:c>
      <x:c r="C303" s="20" t="n">
        <x:v>304</x:v>
      </x:c>
      <x:c r="D303" s="19" t="str">
        <x:v>TT10_LK_WT</x:v>
      </x:c>
      <x:c r="E303" s="20" t="n">
        <x:v>2</x:v>
      </x:c>
      <x:c r="F303" s="20" t="n">
        <x:v>2</x:v>
      </x:c>
      <x:c r="G303" s="19" t="str">
        <x:v>Compra</x:v>
      </x:c>
      <x:c r="H303" s="19" t="str">
        <x:v>ArandelaD12/d6.4/t1.6</x:v>
      </x:c>
      <x:c r="I303" s="19" t="str">
        <x:v>Arandela endurecida 300 HV / ISO 7089</x:v>
      </x:c>
      <x:c r="J303" s="19" t="str">
        <x:v>Cantidades por conjunto; no sumar como total de máquina.</x:v>
      </x:c>
    </x:row>
    <x:row r="304" ht="30" customHeight="1">
      <x:c r="A304" s="17" t="str">
        <x:v>TT10_C05_PC_01</x:v>
      </x:c>
      <x:c r="B304" s="17" t="str">
        <x:v>Conjunto general y montaje</x:v>
      </x:c>
      <x:c r="C304" s="18" t="n">
        <x:v>305</x:v>
      </x:c>
      <x:c r="D304" s="17" t="str">
        <x:v>TT10_M006</x:v>
      </x:c>
      <x:c r="E304" s="18" t="n">
        <x:v>1</x:v>
      </x:c>
      <x:c r="F304" s="18" t="n">
        <x:v>1</x:v>
      </x:c>
      <x:c r="G304" s="17" t="str">
        <x:v>Fabricación</x:v>
      </x:c>
      <x:c r="H304" s="17" t="str">
        <x:v>Perfil tubular 200 x 150 x 10; L 2200</x:v>
      </x:c>
      <x:c r="I304" s="17" t="str">
        <x:v>S275J0H / EN 10219-1</x:v>
      </x:c>
      <x:c r="J304" s="17" t="str">
        <x:v>Cantidades por conjunto; no sumar como total de máquina.</x:v>
      </x:c>
    </x:row>
    <x:row r="305" ht="30" customHeight="1">
      <x:c r="A305" s="19" t="str">
        <x:v>TT10_C05_PC_01</x:v>
      </x:c>
      <x:c r="B305" s="19" t="str">
        <x:v>Conjunto general y montaje</x:v>
      </x:c>
      <x:c r="C305" s="20" t="n">
        <x:v>306</x:v>
      </x:c>
      <x:c r="D305" s="19" t="str">
        <x:v>TT10_M011</x:v>
      </x:c>
      <x:c r="E305" s="20" t="n">
        <x:v>1</x:v>
      </x:c>
      <x:c r="F305" s="20" t="n">
        <x:v>1</x:v>
      </x:c>
      <x:c r="G305" s="19" t="str">
        <x:v>Fabricación</x:v>
      </x:c>
      <x:c r="H305" s="19" t="str">
        <x:v>Perfil tubular 200 x 150 x 10; L 2200</x:v>
      </x:c>
      <x:c r="I305" s="19" t="str">
        <x:v>S275J0H / EN 10219-1</x:v>
      </x:c>
      <x:c r="J305" s="19" t="str">
        <x:v>Cantidades por conjunto; no sumar como total de máquina.</x:v>
      </x:c>
    </x:row>
    <x:row r="306" ht="30" customHeight="1">
      <x:c r="A306" s="17" t="str">
        <x:v>TT10_C05_PC_01</x:v>
      </x:c>
      <x:c r="B306" s="17" t="str">
        <x:v>Conjunto general y montaje</x:v>
      </x:c>
      <x:c r="C306" s="18" t="n">
        <x:v>307</x:v>
      </x:c>
      <x:c r="D306" s="17" t="str">
        <x:v>TT10_M016</x:v>
      </x:c>
      <x:c r="E306" s="18" t="n">
        <x:v>1</x:v>
      </x:c>
      <x:c r="F306" s="18" t="n">
        <x:v>1</x:v>
      </x:c>
      <x:c r="G306" s="17" t="str">
        <x:v>Fabricación</x:v>
      </x:c>
      <x:c r="H306" s="17" t="str">
        <x:v>Perfil tubular 150 x 100 x 8; L 4800</x:v>
      </x:c>
      <x:c r="I306" s="17" t="str">
        <x:v>S275J0H / EN 10219-1</x:v>
      </x:c>
      <x:c r="J306" s="17" t="str">
        <x:v>Cantidades por conjunto; no sumar como total de máquina.</x:v>
      </x:c>
    </x:row>
    <x:row r="307" ht="30" customHeight="1">
      <x:c r="A307" s="19" t="str">
        <x:v>TT10_C05_PC_01</x:v>
      </x:c>
      <x:c r="B307" s="19" t="str">
        <x:v>Conjunto general y montaje</x:v>
      </x:c>
      <x:c r="C307" s="20" t="n">
        <x:v>308</x:v>
      </x:c>
      <x:c r="D307" s="19" t="str">
        <x:v>TT10_M021</x:v>
      </x:c>
      <x:c r="E307" s="20" t="n">
        <x:v>1</x:v>
      </x:c>
      <x:c r="F307" s="20" t="n">
        <x:v>1</x:v>
      </x:c>
      <x:c r="G307" s="19" t="str">
        <x:v>Fabricación</x:v>
      </x:c>
      <x:c r="H307" s="19" t="str">
        <x:v>Perfil tubular 200 x 150 x 10; L 2200</x:v>
      </x:c>
      <x:c r="I307" s="19" t="str">
        <x:v>S275J0H / EN 10219-1</x:v>
      </x:c>
      <x:c r="J307" s="19" t="str">
        <x:v>Cantidades por conjunto; no sumar como total de máquina.</x:v>
      </x:c>
    </x:row>
    <x:row r="308" ht="30" customHeight="1">
      <x:c r="A308" s="17" t="str">
        <x:v>TT10_C05_PC_01</x:v>
      </x:c>
      <x:c r="B308" s="17" t="str">
        <x:v>Conjunto general y montaje</x:v>
      </x:c>
      <x:c r="C308" s="18" t="n">
        <x:v>309</x:v>
      </x:c>
      <x:c r="D308" s="17" t="str">
        <x:v>TT10_M026</x:v>
      </x:c>
      <x:c r="E308" s="18" t="n">
        <x:v>1</x:v>
      </x:c>
      <x:c r="F308" s="18" t="n">
        <x:v>1</x:v>
      </x:c>
      <x:c r="G308" s="17" t="str">
        <x:v>Fabricación</x:v>
      </x:c>
      <x:c r="H308" s="17" t="str">
        <x:v>Perfil tubular 150 x 100 x 8; L 3600</x:v>
      </x:c>
      <x:c r="I308" s="17" t="str">
        <x:v>S275J0H / EN 10219-1</x:v>
      </x:c>
      <x:c r="J308" s="17" t="str">
        <x:v>Cantidades por conjunto; no sumar como total de máquina.</x:v>
      </x:c>
    </x:row>
    <x:row r="309" ht="30" customHeight="1">
      <x:c r="A309" s="19" t="str">
        <x:v>TT10_C05_PC_01</x:v>
      </x:c>
      <x:c r="B309" s="19" t="str">
        <x:v>Conjunto general y montaje</x:v>
      </x:c>
      <x:c r="C309" s="20" t="n">
        <x:v>310</x:v>
      </x:c>
      <x:c r="D309" s="19" t="str">
        <x:v>TT10_M031</x:v>
      </x:c>
      <x:c r="E309" s="20" t="n">
        <x:v>1</x:v>
      </x:c>
      <x:c r="F309" s="20" t="n">
        <x:v>1</x:v>
      </x:c>
      <x:c r="G309" s="19" t="str">
        <x:v>Fabricación</x:v>
      </x:c>
      <x:c r="H309" s="19" t="str">
        <x:v>Pieza TT10_M031</x:v>
      </x:c>
      <x:c r="I309" s="19" t="str">
        <x:v>ASTM A36</x:v>
      </x:c>
      <x:c r="J309" s="19" t="str">
        <x:v>Cantidades por conjunto; no sumar como total de máquina.</x:v>
      </x:c>
    </x:row>
    <x:row r="310" ht="30" customHeight="1">
      <x:c r="A310" s="17" t="str">
        <x:v>TT10_C05_PC_01</x:v>
      </x:c>
      <x:c r="B310" s="17" t="str">
        <x:v>Conjunto general y montaje</x:v>
      </x:c>
      <x:c r="C310" s="18" t="n">
        <x:v>311</x:v>
      </x:c>
      <x:c r="D310" s="17" t="str">
        <x:v>TT10_M036</x:v>
      </x:c>
      <x:c r="E310" s="18" t="n">
        <x:v>1</x:v>
      </x:c>
      <x:c r="F310" s="18" t="n">
        <x:v>1</x:v>
      </x:c>
      <x:c r="G310" s="17" t="str">
        <x:v>Fabricación</x:v>
      </x:c>
      <x:c r="H310" s="17" t="str">
        <x:v>Pieza TT10_M036</x:v>
      </x:c>
      <x:c r="I310" s="17" t="str">
        <x:v>ASTM A36</x:v>
      </x:c>
      <x:c r="J310" s="17" t="str">
        <x:v>Cantidades por conjunto; no sumar como total de máquina.</x:v>
      </x:c>
    </x:row>
    <x:row r="311" ht="30" customHeight="1">
      <x:c r="A311" s="19" t="str">
        <x:v>TT10_C05_PC_01</x:v>
      </x:c>
      <x:c r="B311" s="19" t="str">
        <x:v>Conjunto general y montaje</x:v>
      </x:c>
      <x:c r="C311" s="20" t="n">
        <x:v>312</x:v>
      </x:c>
      <x:c r="D311" s="19" t="str">
        <x:v>TT10_M041</x:v>
      </x:c>
      <x:c r="E311" s="20" t="n">
        <x:v>1</x:v>
      </x:c>
      <x:c r="F311" s="20" t="n">
        <x:v>1</x:v>
      </x:c>
      <x:c r="G311" s="19" t="str">
        <x:v>Fabricación</x:v>
      </x:c>
      <x:c r="H311" s="19" t="str">
        <x:v>Perfil tubular 200 x 150 x 10; L 2200</x:v>
      </x:c>
      <x:c r="I311" s="19" t="str">
        <x:v>S275J0H / EN 10219-1</x:v>
      </x:c>
      <x:c r="J311" s="19" t="str">
        <x:v>Cantidades por conjunto; no sumar como total de máquina.</x:v>
      </x:c>
    </x:row>
    <x:row r="312" ht="30" customHeight="1">
      <x:c r="A312" s="17" t="str">
        <x:v>TT10_C05_PC_01</x:v>
      </x:c>
      <x:c r="B312" s="17" t="str">
        <x:v>Conjunto general y montaje</x:v>
      </x:c>
      <x:c r="C312" s="18" t="n">
        <x:v>313</x:v>
      </x:c>
      <x:c r="D312" s="17" t="str">
        <x:v>TT10_M046</x:v>
      </x:c>
      <x:c r="E312" s="18" t="n">
        <x:v>1</x:v>
      </x:c>
      <x:c r="F312" s="18" t="n">
        <x:v>1</x:v>
      </x:c>
      <x:c r="G312" s="17" t="str">
        <x:v>Fabricación</x:v>
      </x:c>
      <x:c r="H312" s="17" t="str">
        <x:v>Perfil tubular 400 x 200 x 16; L 5600</x:v>
      </x:c>
      <x:c r="I312" s="17" t="str">
        <x:v>S275J0H / EN 10219-1</x:v>
      </x:c>
      <x:c r="J312" s="17" t="str">
        <x:v>Cantidades por conjunto; no sumar como total de máquina.</x:v>
      </x:c>
    </x:row>
    <x:row r="313" ht="30" customHeight="1">
      <x:c r="A313" s="19" t="str">
        <x:v>TT10_C05_PC_01</x:v>
      </x:c>
      <x:c r="B313" s="19" t="str">
        <x:v>Conjunto general y montaje</x:v>
      </x:c>
      <x:c r="C313" s="20" t="n">
        <x:v>314</x:v>
      </x:c>
      <x:c r="D313" s="19" t="str">
        <x:v>TT10_M051</x:v>
      </x:c>
      <x:c r="E313" s="20" t="n">
        <x:v>1</x:v>
      </x:c>
      <x:c r="F313" s="20" t="n">
        <x:v>1</x:v>
      </x:c>
      <x:c r="G313" s="19" t="str">
        <x:v>Fabricación</x:v>
      </x:c>
      <x:c r="H313" s="19" t="str">
        <x:v>Pieza TT10_M051</x:v>
      </x:c>
      <x:c r="I313" s="19" t="str">
        <x:v>ASTM A36</x:v>
      </x:c>
      <x:c r="J313" s="19" t="str">
        <x:v>Cantidades por conjunto; no sumar como total de máquina.</x:v>
      </x:c>
    </x:row>
    <x:row r="314" ht="30" customHeight="1">
      <x:c r="A314" s="17" t="str">
        <x:v>TT10_C05_PC_01</x:v>
      </x:c>
      <x:c r="B314" s="17" t="str">
        <x:v>Conjunto general y montaje</x:v>
      </x:c>
      <x:c r="C314" s="18" t="n">
        <x:v>315</x:v>
      </x:c>
      <x:c r="D314" s="17" t="str">
        <x:v>TT10_M056</x:v>
      </x:c>
      <x:c r="E314" s="18" t="n">
        <x:v>1</x:v>
      </x:c>
      <x:c r="F314" s="18" t="n">
        <x:v>1</x:v>
      </x:c>
      <x:c r="G314" s="17" t="str">
        <x:v>Fabricación</x:v>
      </x:c>
      <x:c r="H314" s="17" t="str">
        <x:v>Cama elastomérica25 perforada para casquillos limitadores</x:v>
      </x:c>
      <x:c r="I314" s="17" t="str">
        <x:v>Elastómero; curva dinámica de compresión por definir</x:v>
      </x:c>
      <x:c r="J314" s="17" t="str">
        <x:v>Cantidades por conjunto; no sumar como total de máquina.</x:v>
      </x:c>
    </x:row>
    <x:row r="315" ht="30" customHeight="1">
      <x:c r="A315" s="19" t="str">
        <x:v>TT10_C05_PC_01</x:v>
      </x:c>
      <x:c r="B315" s="19" t="str">
        <x:v>Conjunto general y montaje</x:v>
      </x:c>
      <x:c r="C315" s="20" t="n">
        <x:v>316</x:v>
      </x:c>
      <x:c r="D315" s="19" t="str">
        <x:v>TT10_M061</x:v>
      </x:c>
      <x:c r="E315" s="20" t="n">
        <x:v>1</x:v>
      </x:c>
      <x:c r="F315" s="20" t="n">
        <x:v>1</x:v>
      </x:c>
      <x:c r="G315" s="19" t="str">
        <x:v>Fabricación</x:v>
      </x:c>
      <x:c r="H315" s="19" t="str">
        <x:v>Pieza TT10_M061</x:v>
      </x:c>
      <x:c r="I315" s="19" t="str">
        <x:v>ASTM A36</x:v>
      </x:c>
      <x:c r="J315" s="19" t="str">
        <x:v>Cantidades por conjunto; no sumar como total de máquina.</x:v>
      </x:c>
    </x:row>
    <x:row r="316" ht="30" customHeight="1">
      <x:c r="A316" s="17" t="str">
        <x:v>TT10_C05_PC_01</x:v>
      </x:c>
      <x:c r="B316" s="17" t="str">
        <x:v>Conjunto general y montaje</x:v>
      </x:c>
      <x:c r="C316" s="18" t="n">
        <x:v>317</x:v>
      </x:c>
      <x:c r="D316" s="17" t="str">
        <x:v>TT10_M066</x:v>
      </x:c>
      <x:c r="E316" s="18" t="n">
        <x:v>1</x:v>
      </x:c>
      <x:c r="F316" s="18" t="n">
        <x:v>1</x:v>
      </x:c>
      <x:c r="G316" s="17" t="str">
        <x:v>Fabricación</x:v>
      </x:c>
      <x:c r="H316" s="17" t="str">
        <x:v>Pieza TT10_M066</x:v>
      </x:c>
      <x:c r="I316" s="17" t="str">
        <x:v>ASTM A36</x:v>
      </x:c>
      <x:c r="J316" s="17" t="str">
        <x:v>Cantidades por conjunto; no sumar como total de máquina.</x:v>
      </x:c>
    </x:row>
    <x:row r="317" ht="30" customHeight="1">
      <x:c r="A317" s="19" t="str">
        <x:v>TT10_C05_PC_01</x:v>
      </x:c>
      <x:c r="B317" s="19" t="str">
        <x:v>Conjunto general y montaje</x:v>
      </x:c>
      <x:c r="C317" s="20" t="n">
        <x:v>318</x:v>
      </x:c>
      <x:c r="D317" s="19" t="str">
        <x:v>TT10_M071</x:v>
      </x:c>
      <x:c r="E317" s="20" t="n">
        <x:v>1</x:v>
      </x:c>
      <x:c r="F317" s="20" t="n">
        <x:v>1</x:v>
      </x:c>
      <x:c r="G317" s="19" t="str">
        <x:v>Fabricación</x:v>
      </x:c>
      <x:c r="H317" s="19" t="str">
        <x:v>Pieza TT10_M071</x:v>
      </x:c>
      <x:c r="I317" s="19" t="str">
        <x:v>ASTM A36</x:v>
      </x:c>
      <x:c r="J317" s="19" t="str">
        <x:v>Cantidades por conjunto; no sumar como total de máquina.</x:v>
      </x:c>
    </x:row>
    <x:row r="318" ht="30" customHeight="1">
      <x:c r="A318" s="17" t="str">
        <x:v>TT10_C05_PC_01</x:v>
      </x:c>
      <x:c r="B318" s="17" t="str">
        <x:v>Conjunto general y montaje</x:v>
      </x:c>
      <x:c r="C318" s="18" t="n">
        <x:v>319</x:v>
      </x:c>
      <x:c r="D318" s="17" t="str">
        <x:v>TT10_M076</x:v>
      </x:c>
      <x:c r="E318" s="18" t="n">
        <x:v>1</x:v>
      </x:c>
      <x:c r="F318" s="18" t="n">
        <x:v>1</x:v>
      </x:c>
      <x:c r="G318" s="17" t="str">
        <x:v>Fabricación</x:v>
      </x:c>
      <x:c r="H318" s="17" t="str">
        <x:v>Muñón forjado integral con brida550, hombro220, asiento200, R3 y retención exterior</x:v>
      </x:c>
      <x:c r="I318" s="17" t="str">
        <x:v>AISI 4140 bonificado</x:v>
      </x:c>
      <x:c r="J318" s="17" t="str">
        <x:v>Cantidades por conjunto; no sumar como total de máquina.</x:v>
      </x:c>
    </x:row>
    <x:row r="319" ht="30" customHeight="1">
      <x:c r="A319" s="19" t="str">
        <x:v>TT10_C05_PC_01</x:v>
      </x:c>
      <x:c r="B319" s="19" t="str">
        <x:v>Conjunto general y montaje</x:v>
      </x:c>
      <x:c r="C319" s="20" t="n">
        <x:v>320</x:v>
      </x:c>
      <x:c r="D319" s="19" t="str">
        <x:v>TT10_M081</x:v>
      </x:c>
      <x:c r="E319" s="20" t="n">
        <x:v>1</x:v>
      </x:c>
      <x:c r="F319" s="20" t="n">
        <x:v>1</x:v>
      </x:c>
      <x:c r="G319" s="19" t="str">
        <x:v>Fabricación</x:v>
      </x:c>
      <x:c r="H319" s="19" t="str">
        <x:v>Pieza TT10_M081</x:v>
      </x:c>
      <x:c r="I319" s="19" t="str">
        <x:v>ASTM A36</x:v>
      </x:c>
      <x:c r="J319" s="19" t="str">
        <x:v>Cantidades por conjunto; no sumar como total de máquina.</x:v>
      </x:c>
    </x:row>
    <x:row r="320" ht="30" customHeight="1">
      <x:c r="A320" s="17" t="str">
        <x:v>TT10_C05_PC_01</x:v>
      </x:c>
      <x:c r="B320" s="17" t="str">
        <x:v>Conjunto general y montaje</x:v>
      </x:c>
      <x:c r="C320" s="18" t="n">
        <x:v>321</x:v>
      </x:c>
      <x:c r="D320" s="17" t="str">
        <x:v>TT10_M086</x:v>
      </x:c>
      <x:c r="E320" s="18" t="n">
        <x:v>1</x:v>
      </x:c>
      <x:c r="F320" s="18" t="n">
        <x:v>1</x:v>
      </x:c>
      <x:c r="G320" s="17" t="str">
        <x:v>Fabricación</x:v>
      </x:c>
      <x:c r="H320" s="17" t="str">
        <x:v>Muñón forjado integral con brida550, hombro220, asiento200, R3 y retención exterior</x:v>
      </x:c>
      <x:c r="I320" s="17" t="str">
        <x:v>AISI 4140 bonificado</x:v>
      </x:c>
      <x:c r="J320" s="17" t="str">
        <x:v>Cantidades por conjunto; no sumar como total de máquina.</x:v>
      </x:c>
    </x:row>
    <x:row r="321" ht="30" customHeight="1">
      <x:c r="A321" s="19" t="str">
        <x:v>TT10_C05_PC_01</x:v>
      </x:c>
      <x:c r="B321" s="19" t="str">
        <x:v>Conjunto general y montaje</x:v>
      </x:c>
      <x:c r="C321" s="20" t="n">
        <x:v>322</x:v>
      </x:c>
      <x:c r="D321" s="19" t="str">
        <x:v>TT10_M091</x:v>
      </x:c>
      <x:c r="E321" s="20" t="n">
        <x:v>1</x:v>
      </x:c>
      <x:c r="F321" s="20" t="n">
        <x:v>1</x:v>
      </x:c>
      <x:c r="G321" s="19" t="str">
        <x:v>Fabricación</x:v>
      </x:c>
      <x:c r="H321" s="19" t="str">
        <x:v>Pieza TT10_M091</x:v>
      </x:c>
      <x:c r="I321" s="19" t="str">
        <x:v>ASTM A36</x:v>
      </x:c>
      <x:c r="J321" s="19" t="str">
        <x:v>Cantidades por conjunto; no sumar como total de máquina.</x:v>
      </x:c>
    </x:row>
    <x:row r="322" ht="30" customHeight="1">
      <x:c r="A322" s="17" t="str">
        <x:v>TT10_C05_PC_01</x:v>
      </x:c>
      <x:c r="B322" s="17" t="str">
        <x:v>Conjunto general y montaje</x:v>
      </x:c>
      <x:c r="C322" s="18" t="n">
        <x:v>323</x:v>
      </x:c>
      <x:c r="D322" s="17" t="str">
        <x:v>TT10_M096</x:v>
      </x:c>
      <x:c r="E322" s="18" t="n">
        <x:v>1</x:v>
      </x:c>
      <x:c r="F322" s="18" t="n">
        <x:v>1</x:v>
      </x:c>
      <x:c r="G322" s="17" t="str">
        <x:v>Fabricación</x:v>
      </x:c>
      <x:c r="H322" s="17" t="str">
        <x:v>Pieza TT10_M096</x:v>
      </x:c>
      <x:c r="I322" s="17" t="str">
        <x:v>ASTM A36</x:v>
      </x:c>
      <x:c r="J322" s="17" t="str">
        <x:v>Cantidades por conjunto; no sumar como total de máquina.</x:v>
      </x:c>
    </x:row>
    <x:row r="323" ht="30" customHeight="1">
      <x:c r="A323" s="19" t="str">
        <x:v>TT10_C05_PC_01</x:v>
      </x:c>
      <x:c r="B323" s="19" t="str">
        <x:v>Conjunto general y montaje</x:v>
      </x:c>
      <x:c r="C323" s="20" t="n">
        <x:v>324</x:v>
      </x:c>
      <x:c r="D323" s="19" t="str">
        <x:v>TT10_M101</x:v>
      </x:c>
      <x:c r="E323" s="20" t="n">
        <x:v>1</x:v>
      </x:c>
      <x:c r="F323" s="20" t="n">
        <x:v>1</x:v>
      </x:c>
      <x:c r="G323" s="19" t="str">
        <x:v>Fabricación</x:v>
      </x:c>
      <x:c r="H323" s="19" t="str">
        <x:v>Perfil tubular 200 x 100 x 10; L 250</x:v>
      </x:c>
      <x:c r="I323" s="19" t="str">
        <x:v>S275J0H / EN 10219-1</x:v>
      </x:c>
      <x:c r="J323" s="19" t="str">
        <x:v>Cantidades por conjunto; no sumar como total de máquina.</x:v>
      </x:c>
    </x:row>
    <x:row r="324" ht="30" customHeight="1">
      <x:c r="A324" s="17" t="str">
        <x:v>TT10_C05_PC_01</x:v>
      </x:c>
      <x:c r="B324" s="17" t="str">
        <x:v>Conjunto general y montaje</x:v>
      </x:c>
      <x:c r="C324" s="18" t="n">
        <x:v>325</x:v>
      </x:c>
      <x:c r="D324" s="17" t="str">
        <x:v>TT10_M106</x:v>
      </x:c>
      <x:c r="E324" s="18" t="n">
        <x:v>1</x:v>
      </x:c>
      <x:c r="F324" s="18" t="n">
        <x:v>1</x:v>
      </x:c>
      <x:c r="G324" s="17" t="str">
        <x:v>Fabricación</x:v>
      </x:c>
      <x:c r="H324" s="17" t="str">
        <x:v>Contraplaca80 con doce M30 ciegas78 PCD450, apriete desde exterior</x:v>
      </x:c>
      <x:c r="I324" s="17" t="str">
        <x:v>ASTM A36</x:v>
      </x:c>
      <x:c r="J324" s="17" t="str">
        <x:v>Cantidades por conjunto; no sumar como total de máquina.</x:v>
      </x:c>
    </x:row>
    <x:row r="325" ht="30" customHeight="1">
      <x:c r="A325" s="19" t="str">
        <x:v>TT10_C05_PC_01</x:v>
      </x:c>
      <x:c r="B325" s="19" t="str">
        <x:v>Conjunto general y montaje</x:v>
      </x:c>
      <x:c r="C325" s="20" t="n">
        <x:v>326</x:v>
      </x:c>
      <x:c r="D325" s="19" t="str">
        <x:v>TT10_M111</x:v>
      </x:c>
      <x:c r="E325" s="20" t="n">
        <x:v>1</x:v>
      </x:c>
      <x:c r="F325" s="20" t="n">
        <x:v>1</x:v>
      </x:c>
      <x:c r="G325" s="19" t="str">
        <x:v>Fabricación</x:v>
      </x:c>
      <x:c r="H325" s="19" t="str">
        <x:v>Pieza TT10_M111</x:v>
      </x:c>
      <x:c r="I325" s="19" t="str">
        <x:v>ASTM A36</x:v>
      </x:c>
      <x:c r="J325" s="19" t="str">
        <x:v>Cantidades por conjunto; no sumar como total de máquina.</x:v>
      </x:c>
    </x:row>
    <x:row r="326" ht="30" customHeight="1">
      <x:c r="A326" s="17" t="str">
        <x:v>TT10_C05_PC_01</x:v>
      </x:c>
      <x:c r="B326" s="17" t="str">
        <x:v>Conjunto general y montaje</x:v>
      </x:c>
      <x:c r="C326" s="18" t="n">
        <x:v>327</x:v>
      </x:c>
      <x:c r="D326" s="17" t="str">
        <x:v>TT10_M116</x:v>
      </x:c>
      <x:c r="E326" s="18" t="n">
        <x:v>1</x:v>
      </x:c>
      <x:c r="F326" s="18" t="n">
        <x:v>1</x:v>
      </x:c>
      <x:c r="G326" s="17" t="str">
        <x:v>Fabricación</x:v>
      </x:c>
      <x:c r="H326" s="17" t="str">
        <x:v>Pieza TT10_M116</x:v>
      </x:c>
      <x:c r="I326" s="17" t="str">
        <x:v>ASTM A36</x:v>
      </x:c>
      <x:c r="J326" s="17" t="str">
        <x:v>Cantidades por conjunto; no sumar como total de máquina.</x:v>
      </x:c>
    </x:row>
    <x:row r="327" ht="30" customHeight="1">
      <x:c r="A327" s="19" t="str">
        <x:v>TT10_C05_PC_01</x:v>
      </x:c>
      <x:c r="B327" s="19" t="str">
        <x:v>Conjunto general y montaje</x:v>
      </x:c>
      <x:c r="C327" s="20" t="n">
        <x:v>328</x:v>
      </x:c>
      <x:c r="D327" s="19" t="str">
        <x:v>TT10_M121</x:v>
      </x:c>
      <x:c r="E327" s="20" t="n">
        <x:v>1</x:v>
      </x:c>
      <x:c r="F327" s="20" t="n">
        <x:v>1</x:v>
      </x:c>
      <x:c r="G327" s="19" t="str">
        <x:v>Fabricación</x:v>
      </x:c>
      <x:c r="H327" s="19" t="str">
        <x:v>Pieza TT10_M121</x:v>
      </x:c>
      <x:c r="I327" s="19" t="str">
        <x:v>ASTM A36</x:v>
      </x:c>
      <x:c r="J327" s="19" t="str">
        <x:v>Cantidades por conjunto; no sumar como total de máquina.</x:v>
      </x:c>
    </x:row>
    <x:row r="328" ht="30" customHeight="1">
      <x:c r="A328" s="17" t="str">
        <x:v>TT10_C05_PC_01</x:v>
      </x:c>
      <x:c r="B328" s="17" t="str">
        <x:v>Conjunto general y montaje</x:v>
      </x:c>
      <x:c r="C328" s="18" t="n">
        <x:v>329</x:v>
      </x:c>
      <x:c r="D328" s="17" t="str">
        <x:v>TT10_M131</x:v>
      </x:c>
      <x:c r="E328" s="18" t="n">
        <x:v>1</x:v>
      </x:c>
      <x:c r="F328" s="18" t="n">
        <x:v>1</x:v>
      </x:c>
      <x:c r="G328" s="17" t="str">
        <x:v>Fabricación</x:v>
      </x:c>
      <x:c r="H328" s="17" t="str">
        <x:v>Cabezal cajón 200 x 200 x 1200, t40; 2 diafragmas 120 x 120 x 40</x:v>
      </x:c>
      <x:c r="I328" s="17" t="str">
        <x:v>Strenx700E t40; Rp0.2min700MPa</x:v>
      </x:c>
      <x:c r="J328" s="17" t="str">
        <x:v>Cantidades por conjunto; no sumar como total de máquina.</x:v>
      </x:c>
    </x:row>
    <x:row r="329" ht="30" customHeight="1">
      <x:c r="A329" s="19" t="str">
        <x:v>TT10_C05_PC_01</x:v>
      </x:c>
      <x:c r="B329" s="19" t="str">
        <x:v>Conjunto general y montaje</x:v>
      </x:c>
      <x:c r="C329" s="20" t="n">
        <x:v>330</x:v>
      </x:c>
      <x:c r="D329" s="19" t="str">
        <x:v>TT10_M136</x:v>
      </x:c>
      <x:c r="E329" s="20" t="n">
        <x:v>1</x:v>
      </x:c>
      <x:c r="F329" s="20" t="n">
        <x:v>1</x:v>
      </x:c>
      <x:c r="G329" s="19" t="str">
        <x:v>Fabricación</x:v>
      </x:c>
      <x:c r="H329" s="19" t="str">
        <x:v>Pieza TT10_M136</x:v>
      </x:c>
      <x:c r="I329" s="19" t="str">
        <x:v>ASTM A36</x:v>
      </x:c>
      <x:c r="J329" s="19" t="str">
        <x:v>Cantidades por conjunto; no sumar como total de máquina.</x:v>
      </x:c>
    </x:row>
    <x:row r="330" ht="30" customHeight="1">
      <x:c r="A330" s="17" t="str">
        <x:v>TT10_C05_PC_01</x:v>
      </x:c>
      <x:c r="B330" s="17" t="str">
        <x:v>Conjunto general y montaje</x:v>
      </x:c>
      <x:c r="C330" s="18" t="n">
        <x:v>331</x:v>
      </x:c>
      <x:c r="D330" s="17" t="str">
        <x:v>TT10_M141</x:v>
      </x:c>
      <x:c r="E330" s="18" t="n">
        <x:v>1</x:v>
      </x:c>
      <x:c r="F330" s="18" t="n">
        <x:v>1</x:v>
      </x:c>
      <x:c r="G330" s="17" t="str">
        <x:v>Fabricación</x:v>
      </x:c>
      <x:c r="H330" s="17" t="str">
        <x:v>Pieza TT10_M141</x:v>
      </x:c>
      <x:c r="I330" s="17" t="str">
        <x:v>ASTM A36</x:v>
      </x:c>
      <x:c r="J330" s="17" t="str">
        <x:v>Cantidades por conjunto; no sumar como total de máquina.</x:v>
      </x:c>
    </x:row>
    <x:row r="331" ht="30" customHeight="1">
      <x:c r="A331" s="19" t="str">
        <x:v>TT10_C05_PC_01</x:v>
      </x:c>
      <x:c r="B331" s="19" t="str">
        <x:v>Conjunto general y montaje</x:v>
      </x:c>
      <x:c r="C331" s="20" t="n">
        <x:v>332</x:v>
      </x:c>
      <x:c r="D331" s="19" t="str">
        <x:v>TT10_M146</x:v>
      </x:c>
      <x:c r="E331" s="20" t="n">
        <x:v>1</x:v>
      </x:c>
      <x:c r="F331" s="20" t="n">
        <x:v>1</x:v>
      </x:c>
      <x:c r="G331" s="19" t="str">
        <x:v>Fabricación</x:v>
      </x:c>
      <x:c r="H331" s="19" t="str">
        <x:v>Pieza TT10_M146</x:v>
      </x:c>
      <x:c r="I331" s="19" t="str">
        <x:v>ASTM A36</x:v>
      </x:c>
      <x:c r="J331" s="19" t="str">
        <x:v>Cantidades por conjunto; no sumar como total de máquina.</x:v>
      </x:c>
    </x:row>
    <x:row r="332" ht="30" customHeight="1">
      <x:c r="A332" s="17" t="str">
        <x:v>TT10_C05_PC_01</x:v>
      </x:c>
      <x:c r="B332" s="17" t="str">
        <x:v>Conjunto general y montaje</x:v>
      </x:c>
      <x:c r="C332" s="18" t="n">
        <x:v>333</x:v>
      </x:c>
      <x:c r="D332" s="17" t="str">
        <x:v>TT10_M151</x:v>
      </x:c>
      <x:c r="E332" s="18" t="n">
        <x:v>1</x:v>
      </x:c>
      <x:c r="F332" s="18" t="n">
        <x:v>1</x:v>
      </x:c>
      <x:c r="G332" s="17" t="str">
        <x:v>Fabricación</x:v>
      </x:c>
      <x:c r="H332" s="17" t="str">
        <x:v>Pieza TT10_M151</x:v>
      </x:c>
      <x:c r="I332" s="17" t="str">
        <x:v>ASTM A36</x:v>
      </x:c>
      <x:c r="J332" s="17" t="str">
        <x:v>Cantidades por conjunto; no sumar como total de máquina.</x:v>
      </x:c>
    </x:row>
    <x:row r="333" ht="30" customHeight="1">
      <x:c r="A333" s="19" t="str">
        <x:v>TT10_C05_PC_01</x:v>
      </x:c>
      <x:c r="B333" s="19" t="str">
        <x:v>Conjunto general y montaje</x:v>
      </x:c>
      <x:c r="C333" s="20" t="n">
        <x:v>335</x:v>
      </x:c>
      <x:c r="D333" s="19" t="str">
        <x:v>TT10_M161</x:v>
      </x:c>
      <x:c r="E333" s="20" t="n">
        <x:v>1</x:v>
      </x:c>
      <x:c r="F333" s="20" t="n">
        <x:v>1</x:v>
      </x:c>
      <x:c r="G333" s="19" t="str">
        <x:v>Fabricación</x:v>
      </x:c>
      <x:c r="H333" s="19" t="str">
        <x:v>Yugo cajón 400 x 200 x 1116, t30; 2 diafragmas 340 x 140 x 30; agujero Ø202</x:v>
      </x:c>
      <x:c r="I333" s="19" t="str">
        <x:v>Strenx700E t30; Rp0.2min700MPa</x:v>
      </x:c>
      <x:c r="J333" s="19" t="str">
        <x:v>Cantidades por conjunto; no sumar como total de máquina.</x:v>
      </x:c>
    </x:row>
    <x:row r="334" ht="30" customHeight="1">
      <x:c r="A334" s="17" t="str">
        <x:v>TT10_C05_PC_01</x:v>
      </x:c>
      <x:c r="B334" s="17" t="str">
        <x:v>Conjunto general y montaje</x:v>
      </x:c>
      <x:c r="C334" s="18" t="n">
        <x:v>336</x:v>
      </x:c>
      <x:c r="D334" s="17" t="str">
        <x:v>TT10_M166</x:v>
      </x:c>
      <x:c r="E334" s="18" t="n">
        <x:v>1</x:v>
      </x:c>
      <x:c r="F334" s="18" t="n">
        <x:v>1</x:v>
      </x:c>
      <x:c r="G334" s="17" t="str">
        <x:v>Fabricación</x:v>
      </x:c>
      <x:c r="H334" s="17" t="str">
        <x:v>Perfil tubular 150 x 100 x 8; L 4800</x:v>
      </x:c>
      <x:c r="I334" s="17" t="str">
        <x:v>S275J0H / EN 10219-1</x:v>
      </x:c>
      <x:c r="J334" s="17" t="str">
        <x:v>Cantidades por conjunto; no sumar como total de máquina.</x:v>
      </x:c>
    </x:row>
    <x:row r="335" ht="30" customHeight="1">
      <x:c r="A335" s="19" t="str">
        <x:v>TT10_C05_PC_01</x:v>
      </x:c>
      <x:c r="B335" s="19" t="str">
        <x:v>Conjunto general y montaje</x:v>
      </x:c>
      <x:c r="C335" s="20" t="n">
        <x:v>337</x:v>
      </x:c>
      <x:c r="D335" s="19" t="str">
        <x:v>TT10_M171</x:v>
      </x:c>
      <x:c r="E335" s="20" t="n">
        <x:v>1</x:v>
      </x:c>
      <x:c r="F335" s="20" t="n">
        <x:v>1</x:v>
      </x:c>
      <x:c r="G335" s="19" t="str">
        <x:v>Fabricación</x:v>
      </x:c>
      <x:c r="H335" s="19" t="str">
        <x:v>Pieza TT10_M171</x:v>
      </x:c>
      <x:c r="I335" s="19" t="str">
        <x:v>ASTM A36</x:v>
      </x:c>
      <x:c r="J335" s="19" t="str">
        <x:v>Cantidades por conjunto; no sumar como total de máquina.</x:v>
      </x:c>
    </x:row>
    <x:row r="336" ht="30" customHeight="1">
      <x:c r="A336" s="17" t="str">
        <x:v>TT10_C05_PC_01</x:v>
      </x:c>
      <x:c r="B336" s="17" t="str">
        <x:v>Conjunto general y montaje</x:v>
      </x:c>
      <x:c r="C336" s="18" t="n">
        <x:v>338</x:v>
      </x:c>
      <x:c r="D336" s="17" t="str">
        <x:v>TT10_M176</x:v>
      </x:c>
      <x:c r="E336" s="18" t="n">
        <x:v>1</x:v>
      </x:c>
      <x:c r="F336" s="18" t="n">
        <x:v>1</x:v>
      </x:c>
      <x:c r="G336" s="17" t="str">
        <x:v>Fabricación</x:v>
      </x:c>
      <x:c r="H336" s="17" t="str">
        <x:v>Fondo16 con taladros de revestimientos desmontables</x:v>
      </x:c>
      <x:c r="I336" s="17" t="str">
        <x:v>ASTM A36</x:v>
      </x:c>
      <x:c r="J336" s="17" t="str">
        <x:v>Cantidades por conjunto; no sumar como total de máquina.</x:v>
      </x:c>
    </x:row>
    <x:row r="337" ht="30" customHeight="1">
      <x:c r="A337" s="19" t="str">
        <x:v>TT10_C05_PC_01</x:v>
      </x:c>
      <x:c r="B337" s="19" t="str">
        <x:v>Conjunto general y montaje</x:v>
      </x:c>
      <x:c r="C337" s="20" t="n">
        <x:v>339</x:v>
      </x:c>
      <x:c r="D337" s="19" t="str">
        <x:v>TT10_M181</x:v>
      </x:c>
      <x:c r="E337" s="20" t="n">
        <x:v>1</x:v>
      </x:c>
      <x:c r="F337" s="20" t="n">
        <x:v>1</x:v>
      </x:c>
      <x:c r="G337" s="19" t="str">
        <x:v>Fabricación</x:v>
      </x:c>
      <x:c r="H337" s="19" t="str">
        <x:v>Pieza TT10_M181</x:v>
      </x:c>
      <x:c r="I337" s="19" t="str">
        <x:v>ASTM A36</x:v>
      </x:c>
      <x:c r="J337" s="19" t="str">
        <x:v>Cantidades por conjunto; no sumar como total de máquina.</x:v>
      </x:c>
    </x:row>
    <x:row r="338" ht="30" customHeight="1">
      <x:c r="A338" s="17" t="str">
        <x:v>TT10_C05_PC_01</x:v>
      </x:c>
      <x:c r="B338" s="17" t="str">
        <x:v>Conjunto general y montaje</x:v>
      </x:c>
      <x:c r="C338" s="18" t="n">
        <x:v>340</x:v>
      </x:c>
      <x:c r="D338" s="17" t="str">
        <x:v>TT10_M186</x:v>
      </x:c>
      <x:c r="E338" s="18" t="n">
        <x:v>1</x:v>
      </x:c>
      <x:c r="F338" s="18" t="n">
        <x:v>1</x:v>
      </x:c>
      <x:c r="G338" s="17" t="str">
        <x:v>Fabricación</x:v>
      </x:c>
      <x:c r="H338" s="17" t="str">
        <x:v>Perfil tubular 200 x 150 x 10; L 2200</x:v>
      </x:c>
      <x:c r="I338" s="17" t="str">
        <x:v>S275J0H / EN 10219-1</x:v>
      </x:c>
      <x:c r="J338" s="17" t="str">
        <x:v>Cantidades por conjunto; no sumar como total de máquina.</x:v>
      </x:c>
    </x:row>
    <x:row r="339" ht="30" customHeight="1">
      <x:c r="A339" s="19" t="str">
        <x:v>TT10_C05_PC_01</x:v>
      </x:c>
      <x:c r="B339" s="19" t="str">
        <x:v>Conjunto general y montaje</x:v>
      </x:c>
      <x:c r="C339" s="20" t="n">
        <x:v>341</x:v>
      </x:c>
      <x:c r="D339" s="19" t="str">
        <x:v>TT10_M191</x:v>
      </x:c>
      <x:c r="E339" s="20" t="n">
        <x:v>1</x:v>
      </x:c>
      <x:c r="F339" s="20" t="n">
        <x:v>1</x:v>
      </x:c>
      <x:c r="G339" s="19" t="str">
        <x:v>Fabricación</x:v>
      </x:c>
      <x:c r="H339" s="19" t="str">
        <x:v>Pieza TT10_M191</x:v>
      </x:c>
      <x:c r="I339" s="19" t="str">
        <x:v>ASTM A36</x:v>
      </x:c>
      <x:c r="J339" s="19" t="str">
        <x:v>Cantidades por conjunto; no sumar como total de máquina.</x:v>
      </x:c>
    </x:row>
    <x:row r="340" ht="30" customHeight="1">
      <x:c r="A340" s="17" t="str">
        <x:v>TT10_C05_PC_01</x:v>
      </x:c>
      <x:c r="B340" s="17" t="str">
        <x:v>Conjunto general y montaje</x:v>
      </x:c>
      <x:c r="C340" s="18" t="n">
        <x:v>342</x:v>
      </x:c>
      <x:c r="D340" s="17" t="str">
        <x:v>TT10_M196</x:v>
      </x:c>
      <x:c r="E340" s="18" t="n">
        <x:v>1</x:v>
      </x:c>
      <x:c r="F340" s="18" t="n">
        <x:v>1</x:v>
      </x:c>
      <x:c r="G340" s="17" t="str">
        <x:v>Fabricación</x:v>
      </x:c>
      <x:c r="H340" s="17" t="str">
        <x:v>Pieza TT10_M196</x:v>
      </x:c>
      <x:c r="I340" s="17" t="str">
        <x:v>ASTM A36</x:v>
      </x:c>
      <x:c r="J340" s="17" t="str">
        <x:v>Cantidades por conjunto; no sumar como total de máquina.</x:v>
      </x:c>
    </x:row>
    <x:row r="341" ht="30" customHeight="1">
      <x:c r="A341" s="19" t="str">
        <x:v>TT10_C05_PC_01</x:v>
      </x:c>
      <x:c r="B341" s="19" t="str">
        <x:v>Conjunto general y montaje</x:v>
      </x:c>
      <x:c r="C341" s="20" t="n">
        <x:v>343</x:v>
      </x:c>
      <x:c r="D341" s="19" t="str">
        <x:v>TT10_M201</x:v>
      </x:c>
      <x:c r="E341" s="20" t="n">
        <x:v>1</x:v>
      </x:c>
      <x:c r="F341" s="20" t="n">
        <x:v>1</x:v>
      </x:c>
      <x:c r="G341" s="19" t="str">
        <x:v>Fabricación</x:v>
      </x:c>
      <x:c r="H341" s="19" t="str">
        <x:v>Cabezal cajón 200 x 200 x 1200, t40; 2 diafragmas 120 x 120 x 40</x:v>
      </x:c>
      <x:c r="I341" s="19" t="str">
        <x:v>Strenx700E t40; Rp0.2min700MPa</x:v>
      </x:c>
      <x:c r="J341" s="19" t="str">
        <x:v>Cantidades por conjunto; no sumar como total de máquina.</x:v>
      </x:c>
    </x:row>
    <x:row r="342" ht="30" customHeight="1">
      <x:c r="A342" s="17" t="str">
        <x:v>TT10_C05_PC_01</x:v>
      </x:c>
      <x:c r="B342" s="17" t="str">
        <x:v>Conjunto general y montaje</x:v>
      </x:c>
      <x:c r="C342" s="18" t="n">
        <x:v>344</x:v>
      </x:c>
      <x:c r="D342" s="17" t="str">
        <x:v>TT10_M206</x:v>
      </x:c>
      <x:c r="E342" s="18" t="n">
        <x:v>1</x:v>
      </x:c>
      <x:c r="F342" s="18" t="n">
        <x:v>1</x:v>
      </x:c>
      <x:c r="G342" s="17" t="str">
        <x:v>Fabricación</x:v>
      </x:c>
      <x:c r="H342" s="17" t="str">
        <x:v>Pieza TT10_M206</x:v>
      </x:c>
      <x:c r="I342" s="17" t="str">
        <x:v>ASTM A36</x:v>
      </x:c>
      <x:c r="J342" s="17" t="str">
        <x:v>Cantidades por conjunto; no sumar como total de máquina.</x:v>
      </x:c>
    </x:row>
    <x:row r="343" ht="30" customHeight="1">
      <x:c r="A343" s="19" t="str">
        <x:v>TT10_C05_PC_01</x:v>
      </x:c>
      <x:c r="B343" s="19" t="str">
        <x:v>Conjunto general y montaje</x:v>
      </x:c>
      <x:c r="C343" s="20" t="n">
        <x:v>345</x:v>
      </x:c>
      <x:c r="D343" s="19" t="str">
        <x:v>TT10_M211</x:v>
      </x:c>
      <x:c r="E343" s="20" t="n">
        <x:v>1</x:v>
      </x:c>
      <x:c r="F343" s="20" t="n">
        <x:v>1</x:v>
      </x:c>
      <x:c r="G343" s="19" t="str">
        <x:v>Fabricación</x:v>
      </x:c>
      <x:c r="H343" s="19" t="str">
        <x:v>Cama elastomérica25 perforada para casquillos limitadores</x:v>
      </x:c>
      <x:c r="I343" s="19" t="str">
        <x:v>Elastómero; curva dinámica de compresión por definir</x:v>
      </x:c>
      <x:c r="J343" s="19" t="str">
        <x:v>Cantidades por conjunto; no sumar como total de máquina.</x:v>
      </x:c>
    </x:row>
    <x:row r="344" ht="30" customHeight="1">
      <x:c r="A344" s="17" t="str">
        <x:v>TT10_C05_PC_01</x:v>
      </x:c>
      <x:c r="B344" s="17" t="str">
        <x:v>Conjunto general y montaje</x:v>
      </x:c>
      <x:c r="C344" s="18" t="n">
        <x:v>346</x:v>
      </x:c>
      <x:c r="D344" s="17" t="str">
        <x:v>TT10_M216</x:v>
      </x:c>
      <x:c r="E344" s="18" t="n">
        <x:v>1</x:v>
      </x:c>
      <x:c r="F344" s="18" t="n">
        <x:v>1</x:v>
      </x:c>
      <x:c r="G344" s="17" t="str">
        <x:v>Fabricación</x:v>
      </x:c>
      <x:c r="H344" s="17" t="str">
        <x:v>Pieza TT10_M216</x:v>
      </x:c>
      <x:c r="I344" s="17" t="str">
        <x:v>ASTM A36</x:v>
      </x:c>
      <x:c r="J344" s="17" t="str">
        <x:v>Cantidades por conjunto; no sumar como total de máquina.</x:v>
      </x:c>
    </x:row>
    <x:row r="345" ht="30" customHeight="1">
      <x:c r="A345" s="19" t="str">
        <x:v>TT10_C05_PC_01</x:v>
      </x:c>
      <x:c r="B345" s="19" t="str">
        <x:v>Conjunto general y montaje</x:v>
      </x:c>
      <x:c r="C345" s="20" t="n">
        <x:v>347</x:v>
      </x:c>
      <x:c r="D345" s="19" t="str">
        <x:v>TT10_M221</x:v>
      </x:c>
      <x:c r="E345" s="20" t="n">
        <x:v>1</x:v>
      </x:c>
      <x:c r="F345" s="20" t="n">
        <x:v>1</x:v>
      </x:c>
      <x:c r="G345" s="19" t="str">
        <x:v>Fabricación</x:v>
      </x:c>
      <x:c r="H345" s="19" t="str">
        <x:v>Cama elastomérica25 perforada para casquillos limitadores</x:v>
      </x:c>
      <x:c r="I345" s="19" t="str">
        <x:v>Elastómero; curva dinámica de compresión por definir</x:v>
      </x:c>
      <x:c r="J345" s="19" t="str">
        <x:v>Cantidades por conjunto; no sumar como total de máquina.</x:v>
      </x:c>
    </x:row>
    <x:row r="346" ht="30" customHeight="1">
      <x:c r="A346" s="17" t="str">
        <x:v>TT10_C05_PC_01</x:v>
      </x:c>
      <x:c r="B346" s="17" t="str">
        <x:v>Conjunto general y montaje</x:v>
      </x:c>
      <x:c r="C346" s="18" t="n">
        <x:v>348</x:v>
      </x:c>
      <x:c r="D346" s="17" t="str">
        <x:v>TT10_M226</x:v>
      </x:c>
      <x:c r="E346" s="18" t="n">
        <x:v>1</x:v>
      </x:c>
      <x:c r="F346" s="18" t="n">
        <x:v>1</x:v>
      </x:c>
      <x:c r="G346" s="17" t="str">
        <x:v>Fabricación</x:v>
      </x:c>
      <x:c r="H346" s="17" t="str">
        <x:v>Perfil tubular 200 x 150 x 10; L 2200</x:v>
      </x:c>
      <x:c r="I346" s="17" t="str">
        <x:v>S275J0H / EN 10219-1</x:v>
      </x:c>
      <x:c r="J346" s="17" t="str">
        <x:v>Cantidades por conjunto; no sumar como total de máquina.</x:v>
      </x:c>
    </x:row>
    <x:row r="347" ht="30" customHeight="1">
      <x:c r="A347" s="19" t="str">
        <x:v>TT10_C05_PC_01</x:v>
      </x:c>
      <x:c r="B347" s="19" t="str">
        <x:v>Conjunto general y montaje</x:v>
      </x:c>
      <x:c r="C347" s="20" t="n">
        <x:v>349</x:v>
      </x:c>
      <x:c r="D347" s="19" t="str">
        <x:v>TT10_M231</x:v>
      </x:c>
      <x:c r="E347" s="20" t="n">
        <x:v>1</x:v>
      </x:c>
      <x:c r="F347" s="20" t="n">
        <x:v>1</x:v>
      </x:c>
      <x:c r="G347" s="19" t="str">
        <x:v>Fabricación</x:v>
      </x:c>
      <x:c r="H347" s="19" t="str">
        <x:v>Pieza TT10_M231</x:v>
      </x:c>
      <x:c r="I347" s="19" t="str">
        <x:v>ASTM A36</x:v>
      </x:c>
      <x:c r="J347" s="19" t="str">
        <x:v>Cantidades por conjunto; no sumar como total de máquina.</x:v>
      </x:c>
    </x:row>
    <x:row r="348" ht="30" customHeight="1">
      <x:c r="A348" s="17" t="str">
        <x:v>TT10_C05_PC_01</x:v>
      </x:c>
      <x:c r="B348" s="17" t="str">
        <x:v>Conjunto general y montaje</x:v>
      </x:c>
      <x:c r="C348" s="18" t="n">
        <x:v>350</x:v>
      </x:c>
      <x:c r="D348" s="17" t="str">
        <x:v>TT10_M236</x:v>
      </x:c>
      <x:c r="E348" s="18" t="n">
        <x:v>1</x:v>
      </x:c>
      <x:c r="F348" s="18" t="n">
        <x:v>1</x:v>
      </x:c>
      <x:c r="G348" s="17" t="str">
        <x:v>Fabricación</x:v>
      </x:c>
      <x:c r="H348" s="17" t="str">
        <x:v>Perfil tubular 150 x 100 x 8; L 3600</x:v>
      </x:c>
      <x:c r="I348" s="17" t="str">
        <x:v>S275J0H / EN 10219-1</x:v>
      </x:c>
      <x:c r="J348" s="17" t="str">
        <x:v>Cantidades por conjunto; no sumar como total de máquina.</x:v>
      </x:c>
    </x:row>
    <x:row r="349" ht="30" customHeight="1">
      <x:c r="A349" s="19" t="str">
        <x:v>TT10_C05_PC_01</x:v>
      </x:c>
      <x:c r="B349" s="19" t="str">
        <x:v>Conjunto general y montaje</x:v>
      </x:c>
      <x:c r="C349" s="20" t="n">
        <x:v>351</x:v>
      </x:c>
      <x:c r="D349" s="19" t="str">
        <x:v>TT10_M241</x:v>
      </x:c>
      <x:c r="E349" s="20" t="n">
        <x:v>1</x:v>
      </x:c>
      <x:c r="F349" s="20" t="n">
        <x:v>1</x:v>
      </x:c>
      <x:c r="G349" s="19" t="str">
        <x:v>Fabricación</x:v>
      </x:c>
      <x:c r="H349" s="19" t="str">
        <x:v>Cama elastomérica25 perforada para casquillos limitadores</x:v>
      </x:c>
      <x:c r="I349" s="19" t="str">
        <x:v>Elastómero; curva dinámica de compresión por definir</x:v>
      </x:c>
      <x:c r="J349" s="19" t="str">
        <x:v>Cantidades por conjunto; no sumar como total de máquina.</x:v>
      </x:c>
    </x:row>
    <x:row r="350" ht="30" customHeight="1">
      <x:c r="A350" s="17" t="str">
        <x:v>TT10_C05_PC_01</x:v>
      </x:c>
      <x:c r="B350" s="17" t="str">
        <x:v>Conjunto general y montaje</x:v>
      </x:c>
      <x:c r="C350" s="18" t="n">
        <x:v>352</x:v>
      </x:c>
      <x:c r="D350" s="17" t="str">
        <x:v>TT10_M246</x:v>
      </x:c>
      <x:c r="E350" s="18" t="n">
        <x:v>1</x:v>
      </x:c>
      <x:c r="F350" s="18" t="n">
        <x:v>1</x:v>
      </x:c>
      <x:c r="G350" s="17" t="str">
        <x:v>Fabricación</x:v>
      </x:c>
      <x:c r="H350" s="17" t="str">
        <x:v>Pieza TT10_M246</x:v>
      </x:c>
      <x:c r="I350" s="17" t="str">
        <x:v>ASTM A36</x:v>
      </x:c>
      <x:c r="J350" s="17" t="str">
        <x:v>Cantidades por conjunto; no sumar como total de máquina.</x:v>
      </x:c>
    </x:row>
    <x:row r="351" ht="30" customHeight="1">
      <x:c r="A351" s="19" t="str">
        <x:v>TT10_C05_PC_01</x:v>
      </x:c>
      <x:c r="B351" s="19" t="str">
        <x:v>Conjunto general y montaje</x:v>
      </x:c>
      <x:c r="C351" s="20" t="n">
        <x:v>353</x:v>
      </x:c>
      <x:c r="D351" s="19" t="str">
        <x:v>TT10_M251</x:v>
      </x:c>
      <x:c r="E351" s="20" t="n">
        <x:v>1</x:v>
      </x:c>
      <x:c r="F351" s="20" t="n">
        <x:v>1</x:v>
      </x:c>
      <x:c r="G351" s="19" t="str">
        <x:v>Fabricación</x:v>
      </x:c>
      <x:c r="H351" s="19" t="str">
        <x:v>Pieza TT10_M251</x:v>
      </x:c>
      <x:c r="I351" s="19" t="str">
        <x:v>ASTM A36</x:v>
      </x:c>
      <x:c r="J351" s="19" t="str">
        <x:v>Cantidades por conjunto; no sumar como total de máquina.</x:v>
      </x:c>
    </x:row>
    <x:row r="352" ht="30" customHeight="1">
      <x:c r="A352" s="17" t="str">
        <x:v>TT10_C05_PC_01</x:v>
      </x:c>
      <x:c r="B352" s="17" t="str">
        <x:v>Conjunto general y montaje</x:v>
      </x:c>
      <x:c r="C352" s="18" t="n">
        <x:v>354</x:v>
      </x:c>
      <x:c r="D352" s="17" t="str">
        <x:v>TT10_M256</x:v>
      </x:c>
      <x:c r="E352" s="18" t="n">
        <x:v>1</x:v>
      </x:c>
      <x:c r="F352" s="18" t="n">
        <x:v>1</x:v>
      </x:c>
      <x:c r="G352" s="17" t="str">
        <x:v>Fabricación</x:v>
      </x:c>
      <x:c r="H352" s="17" t="str">
        <x:v>Revestimiento AR400 t12 con ocho M16 avellanados desmontables</x:v>
      </x:c>
      <x:c r="I352" s="17" t="str">
        <x:v>Hardox 400</x:v>
      </x:c>
      <x:c r="J352" s="17" t="str">
        <x:v>Cantidades por conjunto; no sumar como total de máquina.</x:v>
      </x:c>
    </x:row>
    <x:row r="353" ht="30" customHeight="1">
      <x:c r="A353" s="19" t="str">
        <x:v>TT10_C05_PC_01</x:v>
      </x:c>
      <x:c r="B353" s="19" t="str">
        <x:v>Conjunto general y montaje</x:v>
      </x:c>
      <x:c r="C353" s="20" t="n">
        <x:v>355</x:v>
      </x:c>
      <x:c r="D353" s="19" t="str">
        <x:v>TT10_M261</x:v>
      </x:c>
      <x:c r="E353" s="20" t="n">
        <x:v>1</x:v>
      </x:c>
      <x:c r="F353" s="20" t="n">
        <x:v>1</x:v>
      </x:c>
      <x:c r="G353" s="19" t="str">
        <x:v>Fabricación</x:v>
      </x:c>
      <x:c r="H353" s="19" t="str">
        <x:v>Pieza TT10_M261</x:v>
      </x:c>
      <x:c r="I353" s="19" t="str">
        <x:v>ASTM A36</x:v>
      </x:c>
      <x:c r="J353" s="19" t="str">
        <x:v>Cantidades por conjunto; no sumar como total de máquina.</x:v>
      </x:c>
    </x:row>
    <x:row r="354" ht="30" customHeight="1">
      <x:c r="A354" s="17" t="str">
        <x:v>TT10_C05_PC_01</x:v>
      </x:c>
      <x:c r="B354" s="17" t="str">
        <x:v>Conjunto general y montaje</x:v>
      </x:c>
      <x:c r="C354" s="18" t="n">
        <x:v>356</x:v>
      </x:c>
      <x:c r="D354" s="17" t="str">
        <x:v>TT10_M266</x:v>
      </x:c>
      <x:c r="E354" s="18" t="n">
        <x:v>1</x:v>
      </x:c>
      <x:c r="F354" s="18" t="n">
        <x:v>1</x:v>
      </x:c>
      <x:c r="G354" s="17" t="str">
        <x:v>Fabricación</x:v>
      </x:c>
      <x:c r="H354" s="17" t="str">
        <x:v>Revestimiento AR400 t12 con ocho M16 avellanados desmontables</x:v>
      </x:c>
      <x:c r="I354" s="17" t="str">
        <x:v>Hardox 400</x:v>
      </x:c>
      <x:c r="J354" s="17" t="str">
        <x:v>Cantidades por conjunto; no sumar como total de máquina.</x:v>
      </x:c>
    </x:row>
    <x:row r="355" ht="30" customHeight="1">
      <x:c r="A355" s="19" t="str">
        <x:v>TT10_C05_PC_01</x:v>
      </x:c>
      <x:c r="B355" s="19" t="str">
        <x:v>Conjunto general y montaje</x:v>
      </x:c>
      <x:c r="C355" s="20" t="n">
        <x:v>358</x:v>
      </x:c>
      <x:c r="D355" s="19" t="str">
        <x:v>TT10_M276</x:v>
      </x:c>
      <x:c r="E355" s="20" t="n">
        <x:v>1</x:v>
      </x:c>
      <x:c r="F355" s="20" t="n">
        <x:v>1</x:v>
      </x:c>
      <x:c r="G355" s="19" t="str">
        <x:v>Fabricación</x:v>
      </x:c>
      <x:c r="H355" s="19" t="str">
        <x:v>Brazo monolítico Strenx 700E t50; perfil 800 x 650; R50; agujero Ø65,5</x:v>
      </x:c>
      <x:c r="I355" s="19" t="str">
        <x:v>Strenx700E t50; Rp0.2min700MPa</x:v>
      </x:c>
      <x:c r="J355" s="19" t="str">
        <x:v>Cantidades por conjunto; no sumar como total de máquina.</x:v>
      </x:c>
    </x:row>
    <x:row r="356" ht="30" customHeight="1">
      <x:c r="A356" s="17" t="str">
        <x:v>TT10_C05_PC_01</x:v>
      </x:c>
      <x:c r="B356" s="17" t="str">
        <x:v>Conjunto general y montaje</x:v>
      </x:c>
      <x:c r="C356" s="18" t="n">
        <x:v>359</x:v>
      </x:c>
      <x:c r="D356" s="17" t="str">
        <x:v>TT10_M281</x:v>
      </x:c>
      <x:c r="E356" s="18" t="n">
        <x:v>1</x:v>
      </x:c>
      <x:c r="F356" s="18" t="n">
        <x:v>1</x:v>
      </x:c>
      <x:c r="G356" s="17" t="str">
        <x:v>Fabricación</x:v>
      </x:c>
      <x:c r="H356" s="17" t="str">
        <x:v>Pieza TT10_M281</x:v>
      </x:c>
      <x:c r="I356" s="17" t="str">
        <x:v>ASTM A36</x:v>
      </x:c>
      <x:c r="J356" s="17" t="str">
        <x:v>Cantidades por conjunto; no sumar como total de máquina.</x:v>
      </x:c>
    </x:row>
    <x:row r="357" ht="30" customHeight="1">
      <x:c r="A357" s="19" t="str">
        <x:v>TT10_C05_PC_01</x:v>
      </x:c>
      <x:c r="B357" s="19" t="str">
        <x:v>Conjunto general y montaje</x:v>
      </x:c>
      <x:c r="C357" s="20" t="n">
        <x:v>360</x:v>
      </x:c>
      <x:c r="D357" s="19" t="str">
        <x:v>TT10_M286</x:v>
      </x:c>
      <x:c r="E357" s="20" t="n">
        <x:v>1</x:v>
      </x:c>
      <x:c r="F357" s="20" t="n">
        <x:v>1</x:v>
      </x:c>
      <x:c r="G357" s="19" t="str">
        <x:v>Fabricación</x:v>
      </x:c>
      <x:c r="H357" s="19" t="str">
        <x:v>Pieza TT10_M286</x:v>
      </x:c>
      <x:c r="I357" s="19" t="str">
        <x:v>ASTM A36</x:v>
      </x:c>
      <x:c r="J357" s="19" t="str">
        <x:v>Cantidades por conjunto; no sumar como total de máquina.</x:v>
      </x:c>
    </x:row>
    <x:row r="358" ht="30" customHeight="1">
      <x:c r="A358" s="17" t="str">
        <x:v>TT10_C05_PC_01</x:v>
      </x:c>
      <x:c r="B358" s="17" t="str">
        <x:v>Conjunto general y montaje</x:v>
      </x:c>
      <x:c r="C358" s="18" t="n">
        <x:v>361</x:v>
      </x:c>
      <x:c r="D358" s="17" t="str">
        <x:v>TT10_M291</x:v>
      </x:c>
      <x:c r="E358" s="18" t="n">
        <x:v>1</x:v>
      </x:c>
      <x:c r="F358" s="18" t="n">
        <x:v>1</x:v>
      </x:c>
      <x:c r="G358" s="17" t="str">
        <x:v>Fabricación</x:v>
      </x:c>
      <x:c r="H358" s="17" t="str">
        <x:v>Pieza TT10_M291</x:v>
      </x:c>
      <x:c r="I358" s="17" t="str">
        <x:v>ASTM A36</x:v>
      </x:c>
      <x:c r="J358" s="17" t="str">
        <x:v>Cantidades por conjunto; no sumar como total de máquina.</x:v>
      </x:c>
    </x:row>
    <x:row r="359" ht="30" customHeight="1">
      <x:c r="A359" s="19" t="str">
        <x:v>TT10_C05_PC_01</x:v>
      </x:c>
      <x:c r="B359" s="19" t="str">
        <x:v>Conjunto general y montaje</x:v>
      </x:c>
      <x:c r="C359" s="20" t="n">
        <x:v>362</x:v>
      </x:c>
      <x:c r="D359" s="19" t="str">
        <x:v>TT10_M296</x:v>
      </x:c>
      <x:c r="E359" s="20" t="n">
        <x:v>1</x:v>
      </x:c>
      <x:c r="F359" s="20" t="n">
        <x:v>1</x:v>
      </x:c>
      <x:c r="G359" s="19" t="str">
        <x:v>Fabricación</x:v>
      </x:c>
      <x:c r="H359" s="19" t="str">
        <x:v>Pieza TT10_M296</x:v>
      </x:c>
      <x:c r="I359" s="19" t="str">
        <x:v>ASTM A36</x:v>
      </x:c>
      <x:c r="J359" s="19" t="str">
        <x:v>Cantidades por conjunto; no sumar como total de máquina.</x:v>
      </x:c>
    </x:row>
    <x:row r="360" ht="30" customHeight="1">
      <x:c r="A360" s="17" t="str">
        <x:v>TT10_C05_PC_01</x:v>
      </x:c>
      <x:c r="B360" s="17" t="str">
        <x:v>Conjunto general y montaje</x:v>
      </x:c>
      <x:c r="C360" s="18" t="n">
        <x:v>363</x:v>
      </x:c>
      <x:c r="D360" s="17" t="str">
        <x:v>TT10_M301</x:v>
      </x:c>
      <x:c r="E360" s="18" t="n">
        <x:v>1</x:v>
      </x:c>
      <x:c r="F360" s="18" t="n">
        <x:v>1</x:v>
      </x:c>
      <x:c r="G360" s="17" t="str">
        <x:v>Fabricación</x:v>
      </x:c>
      <x:c r="H360" s="17" t="str">
        <x:v>Pieza TT10_M301</x:v>
      </x:c>
      <x:c r="I360" s="17" t="str">
        <x:v>ASTM A36</x:v>
      </x:c>
      <x:c r="J360" s="17" t="str">
        <x:v>Cantidades por conjunto; no sumar como total de máquina.</x:v>
      </x:c>
    </x:row>
    <x:row r="361" ht="30" customHeight="1">
      <x:c r="A361" s="19" t="str">
        <x:v>TT10_C05_PC_01</x:v>
      </x:c>
      <x:c r="B361" s="19" t="str">
        <x:v>Conjunto general y montaje</x:v>
      </x:c>
      <x:c r="C361" s="20" t="n">
        <x:v>365</x:v>
      </x:c>
      <x:c r="D361" s="19" t="str">
        <x:v>TT10_M311</x:v>
      </x:c>
      <x:c r="E361" s="20" t="n">
        <x:v>1</x:v>
      </x:c>
      <x:c r="F361" s="20" t="n">
        <x:v>1</x:v>
      </x:c>
      <x:c r="G361" s="19" t="str">
        <x:v>Fabricación</x:v>
      </x:c>
      <x:c r="H361" s="19" t="str">
        <x:v>Yugo cajón 400 x 200 x 1116, t30; 2 diafragmas 340 x 140 x 30; agujero Ø202</x:v>
      </x:c>
      <x:c r="I361" s="19" t="str">
        <x:v>Strenx700E t30; Rp0.2min700MPa</x:v>
      </x:c>
      <x:c r="J361" s="19" t="str">
        <x:v>Cantidades por conjunto; no sumar como total de máquina.</x:v>
      </x:c>
    </x:row>
    <x:row r="362" ht="30" customHeight="1">
      <x:c r="A362" s="17" t="str">
        <x:v>TT10_C05_PC_01</x:v>
      </x:c>
      <x:c r="B362" s="17" t="str">
        <x:v>Conjunto general y montaje</x:v>
      </x:c>
      <x:c r="C362" s="18" t="n">
        <x:v>366</x:v>
      </x:c>
      <x:c r="D362" s="17" t="str">
        <x:v>TT10_M316</x:v>
      </x:c>
      <x:c r="E362" s="18" t="n">
        <x:v>1</x:v>
      </x:c>
      <x:c r="F362" s="18" t="n">
        <x:v>1</x:v>
      </x:c>
      <x:c r="G362" s="17" t="str">
        <x:v>Fabricación</x:v>
      </x:c>
      <x:c r="H362" s="17" t="str">
        <x:v>Pieza TT10_M316</x:v>
      </x:c>
      <x:c r="I362" s="17" t="str">
        <x:v>ASTM A36</x:v>
      </x:c>
      <x:c r="J362" s="17" t="str">
        <x:v>Cantidades por conjunto; no sumar como total de máquina.</x:v>
      </x:c>
    </x:row>
    <x:row r="363" ht="30" customHeight="1">
      <x:c r="A363" s="19" t="str">
        <x:v>TT10_C05_PC_01</x:v>
      </x:c>
      <x:c r="B363" s="19" t="str">
        <x:v>Conjunto general y montaje</x:v>
      </x:c>
      <x:c r="C363" s="20" t="n">
        <x:v>367</x:v>
      </x:c>
      <x:c r="D363" s="19" t="str">
        <x:v>TT10_M326</x:v>
      </x:c>
      <x:c r="E363" s="20" t="n">
        <x:v>1</x:v>
      </x:c>
      <x:c r="F363" s="20" t="n">
        <x:v>1</x:v>
      </x:c>
      <x:c r="G363" s="19" t="str">
        <x:v>Fabricación</x:v>
      </x:c>
      <x:c r="H363" s="19" t="str">
        <x:v>Pieza TT10_M326</x:v>
      </x:c>
      <x:c r="I363" s="19" t="str">
        <x:v>ASTM A36</x:v>
      </x:c>
      <x:c r="J363" s="19" t="str">
        <x:v>Cantidades por conjunto; no sumar como total de máquina.</x:v>
      </x:c>
    </x:row>
    <x:row r="364" ht="30" customHeight="1">
      <x:c r="A364" s="17" t="str">
        <x:v>TT10_C05_PC_01</x:v>
      </x:c>
      <x:c r="B364" s="17" t="str">
        <x:v>Conjunto general y montaje</x:v>
      </x:c>
      <x:c r="C364" s="18" t="n">
        <x:v>368</x:v>
      </x:c>
      <x:c r="D364" s="17" t="str">
        <x:v>TT10_M331</x:v>
      </x:c>
      <x:c r="E364" s="18" t="n">
        <x:v>1</x:v>
      </x:c>
      <x:c r="F364" s="18" t="n">
        <x:v>1</x:v>
      </x:c>
      <x:c r="G364" s="17" t="str">
        <x:v>Fabricación</x:v>
      </x:c>
      <x:c r="H364" s="17" t="str">
        <x:v>Pieza TT10_M331</x:v>
      </x:c>
      <x:c r="I364" s="17" t="str">
        <x:v>ASTM A36</x:v>
      </x:c>
      <x:c r="J364" s="17" t="str">
        <x:v>Cantidades por conjunto; no sumar como total de máquina.</x:v>
      </x:c>
    </x:row>
    <x:row r="365" ht="30" customHeight="1">
      <x:c r="A365" s="19" t="str">
        <x:v>TT10_C05_PC_01</x:v>
      </x:c>
      <x:c r="B365" s="19" t="str">
        <x:v>Conjunto general y montaje</x:v>
      </x:c>
      <x:c r="C365" s="20" t="n">
        <x:v>369</x:v>
      </x:c>
      <x:c r="D365" s="19" t="str">
        <x:v>TT10_M336</x:v>
      </x:c>
      <x:c r="E365" s="20" t="n">
        <x:v>1</x:v>
      </x:c>
      <x:c r="F365" s="20" t="n">
        <x:v>1</x:v>
      </x:c>
      <x:c r="G365" s="19" t="str">
        <x:v>Fabricación</x:v>
      </x:c>
      <x:c r="H365" s="19" t="str">
        <x:v>Perfil tubular 200 x 100 x 10; L 250</x:v>
      </x:c>
      <x:c r="I365" s="19" t="str">
        <x:v>S275J0H / EN 10219-1</x:v>
      </x:c>
      <x:c r="J365" s="19" t="str">
        <x:v>Cantidades por conjunto; no sumar como total de máquina.</x:v>
      </x:c>
    </x:row>
    <x:row r="366" ht="30" customHeight="1">
      <x:c r="A366" s="17" t="str">
        <x:v>TT10_C05_PC_01</x:v>
      </x:c>
      <x:c r="B366" s="17" t="str">
        <x:v>Conjunto general y montaje</x:v>
      </x:c>
      <x:c r="C366" s="18" t="n">
        <x:v>370</x:v>
      </x:c>
      <x:c r="D366" s="17" t="str">
        <x:v>TT10_M341</x:v>
      </x:c>
      <x:c r="E366" s="18" t="n">
        <x:v>1</x:v>
      </x:c>
      <x:c r="F366" s="18" t="n">
        <x:v>1</x:v>
      </x:c>
      <x:c r="G366" s="17" t="str">
        <x:v>Fabricación</x:v>
      </x:c>
      <x:c r="H366" s="17" t="str">
        <x:v>Pieza TT10_M341</x:v>
      </x:c>
      <x:c r="I366" s="17" t="str">
        <x:v>ASTM A36</x:v>
      </x:c>
      <x:c r="J366" s="17" t="str">
        <x:v>Cantidades por conjunto; no sumar como total de máquina.</x:v>
      </x:c>
    </x:row>
    <x:row r="367" ht="30" customHeight="1">
      <x:c r="A367" s="19" t="str">
        <x:v>TT10_C05_PC_01</x:v>
      </x:c>
      <x:c r="B367" s="19" t="str">
        <x:v>Conjunto general y montaje</x:v>
      </x:c>
      <x:c r="C367" s="20" t="n">
        <x:v>371</x:v>
      </x:c>
      <x:c r="D367" s="19" t="str">
        <x:v>TT10_M346</x:v>
      </x:c>
      <x:c r="E367" s="20" t="n">
        <x:v>1</x:v>
      </x:c>
      <x:c r="F367" s="20" t="n">
        <x:v>1</x:v>
      </x:c>
      <x:c r="G367" s="19" t="str">
        <x:v>Fabricación</x:v>
      </x:c>
      <x:c r="H367" s="19" t="str">
        <x:v>Pieza TT10_M346</x:v>
      </x:c>
      <x:c r="I367" s="19" t="str">
        <x:v>ASTM A36</x:v>
      </x:c>
      <x:c r="J367" s="19" t="str">
        <x:v>Cantidades por conjunto; no sumar como total de máquina.</x:v>
      </x:c>
    </x:row>
    <x:row r="368" ht="30" customHeight="1">
      <x:c r="A368" s="17" t="str">
        <x:v>TT10_C05_PC_01</x:v>
      </x:c>
      <x:c r="B368" s="17" t="str">
        <x:v>Conjunto general y montaje</x:v>
      </x:c>
      <x:c r="C368" s="18" t="n">
        <x:v>372</x:v>
      </x:c>
      <x:c r="D368" s="17" t="str">
        <x:v>TT10_M351</x:v>
      </x:c>
      <x:c r="E368" s="18" t="n">
        <x:v>1</x:v>
      </x:c>
      <x:c r="F368" s="18" t="n">
        <x:v>1</x:v>
      </x:c>
      <x:c r="G368" s="17" t="str">
        <x:v>Fabricación</x:v>
      </x:c>
      <x:c r="H368" s="17" t="str">
        <x:v>Brazo monolítico Strenx 700E t50; perfil 800 x 650; R50; agujero Ø65,5</x:v>
      </x:c>
      <x:c r="I368" s="17" t="str">
        <x:v>Strenx700E t50; Rp0.2min700MPa</x:v>
      </x:c>
      <x:c r="J368" s="17" t="str">
        <x:v>Cantidades por conjunto; no sumar como total de máquina.</x:v>
      </x:c>
    </x:row>
    <x:row r="369" ht="30" customHeight="1">
      <x:c r="A369" s="19" t="str">
        <x:v>TT10_C05_PC_01</x:v>
      </x:c>
      <x:c r="B369" s="19" t="str">
        <x:v>Conjunto general y montaje</x:v>
      </x:c>
      <x:c r="C369" s="20" t="n">
        <x:v>373</x:v>
      </x:c>
      <x:c r="D369" s="19" t="str">
        <x:v>TT10_M356</x:v>
      </x:c>
      <x:c r="E369" s="20" t="n">
        <x:v>1</x:v>
      </x:c>
      <x:c r="F369" s="20" t="n">
        <x:v>1</x:v>
      </x:c>
      <x:c r="G369" s="19" t="str">
        <x:v>Fabricación</x:v>
      </x:c>
      <x:c r="H369" s="19" t="str">
        <x:v>Perfil tubular 400 x 200 x 16; L 5600</x:v>
      </x:c>
      <x:c r="I369" s="19" t="str">
        <x:v>S275J0H / EN 10219-1</x:v>
      </x:c>
      <x:c r="J369" s="19" t="str">
        <x:v>Cantidades por conjunto; no sumar como total de máquina.</x:v>
      </x:c>
    </x:row>
    <x:row r="370" ht="30" customHeight="1">
      <x:c r="A370" s="17" t="str">
        <x:v>TT10_C05_PC_01</x:v>
      </x:c>
      <x:c r="B370" s="17" t="str">
        <x:v>Conjunto general y montaje</x:v>
      </x:c>
      <x:c r="C370" s="18" t="n">
        <x:v>374</x:v>
      </x:c>
      <x:c r="D370" s="17" t="str">
        <x:v>TT10_M361</x:v>
      </x:c>
      <x:c r="E370" s="18" t="n">
        <x:v>1</x:v>
      </x:c>
      <x:c r="F370" s="18" t="n">
        <x:v>1</x:v>
      </x:c>
      <x:c r="G370" s="17" t="str">
        <x:v>Fabricación</x:v>
      </x:c>
      <x:c r="H370" s="17" t="str">
        <x:v>Pieza TT10_M361</x:v>
      </x:c>
      <x:c r="I370" s="17" t="str">
        <x:v>ASTM A36</x:v>
      </x:c>
      <x:c r="J370" s="17" t="str">
        <x:v>Cantidades por conjunto; no sumar como total de máquina.</x:v>
      </x:c>
    </x:row>
    <x:row r="371" ht="30" customHeight="1">
      <x:c r="A371" s="19" t="str">
        <x:v>TT10_C05_PC_01</x:v>
      </x:c>
      <x:c r="B371" s="19" t="str">
        <x:v>Conjunto general y montaje</x:v>
      </x:c>
      <x:c r="C371" s="20" t="n">
        <x:v>376</x:v>
      </x:c>
      <x:c r="D371" s="19" t="str">
        <x:v>TT10_M371</x:v>
      </x:c>
      <x:c r="E371" s="20" t="n">
        <x:v>1</x:v>
      </x:c>
      <x:c r="F371" s="20" t="n">
        <x:v>1</x:v>
      </x:c>
      <x:c r="G371" s="19" t="str">
        <x:v>Fabricación</x:v>
      </x:c>
      <x:c r="H371" s="19" t="str">
        <x:v>Pieza TT10_M371</x:v>
      </x:c>
      <x:c r="I371" s="19" t="str">
        <x:v>ASTM A36</x:v>
      </x:c>
      <x:c r="J371" s="19" t="str">
        <x:v>Cantidades por conjunto; no sumar como total de máquina.</x:v>
      </x:c>
    </x:row>
    <x:row r="372" ht="30" customHeight="1">
      <x:c r="A372" s="17" t="str">
        <x:v>TT10_C05_PC_01</x:v>
      </x:c>
      <x:c r="B372" s="17" t="str">
        <x:v>Conjunto general y montaje</x:v>
      </x:c>
      <x:c r="C372" s="18" t="n">
        <x:v>377</x:v>
      </x:c>
      <x:c r="D372" s="17" t="str">
        <x:v>TT10_M376</x:v>
      </x:c>
      <x:c r="E372" s="18" t="n">
        <x:v>1</x:v>
      </x:c>
      <x:c r="F372" s="18" t="n">
        <x:v>1</x:v>
      </x:c>
      <x:c r="G372" s="17" t="str">
        <x:v>Fabricación</x:v>
      </x:c>
      <x:c r="H372" s="17" t="str">
        <x:v>Contraplaca80 con doce M30 ciegas78 PCD450, apriete desde exterior</x:v>
      </x:c>
      <x:c r="I372" s="17" t="str">
        <x:v>ASTM A36</x:v>
      </x:c>
      <x:c r="J372" s="17" t="str">
        <x:v>Cantidades por conjunto; no sumar como total de máquina.</x:v>
      </x:c>
    </x:row>
    <x:row r="373" ht="30" customHeight="1">
      <x:c r="A373" s="19" t="str">
        <x:v>TT10_C05_PC_01</x:v>
      </x:c>
      <x:c r="B373" s="19" t="str">
        <x:v>Conjunto general y montaje</x:v>
      </x:c>
      <x:c r="C373" s="20" t="n">
        <x:v>378</x:v>
      </x:c>
      <x:c r="D373" s="19" t="str">
        <x:v>TT10_M381</x:v>
      </x:c>
      <x:c r="E373" s="20" t="n">
        <x:v>1</x:v>
      </x:c>
      <x:c r="F373" s="20" t="n">
        <x:v>1</x:v>
      </x:c>
      <x:c r="G373" s="19" t="str">
        <x:v>Fabricación</x:v>
      </x:c>
      <x:c r="H373" s="19" t="str">
        <x:v>Perfil tubular 200 x 150 x 10; L 2200</x:v>
      </x:c>
      <x:c r="I373" s="19" t="str">
        <x:v>S275J0H / EN 10219-1</x:v>
      </x:c>
      <x:c r="J373" s="19" t="str">
        <x:v>Cantidades por conjunto; no sumar como total de máquina.</x:v>
      </x:c>
    </x:row>
    <x:row r="374" ht="30" customHeight="1">
      <x:c r="A374" s="17" t="str">
        <x:v>TT10_C05_PC_01</x:v>
      </x:c>
      <x:c r="B374" s="17" t="str">
        <x:v>Conjunto general y montaje</x:v>
      </x:c>
      <x:c r="C374" s="18" t="n">
        <x:v>379</x:v>
      </x:c>
      <x:c r="D374" s="17" t="str">
        <x:v>TT10_M386</x:v>
      </x:c>
      <x:c r="E374" s="18" t="n">
        <x:v>1</x:v>
      </x:c>
      <x:c r="F374" s="18" t="n">
        <x:v>1</x:v>
      </x:c>
      <x:c r="G374" s="17" t="str">
        <x:v>Fabricación</x:v>
      </x:c>
      <x:c r="H374" s="17" t="str">
        <x:v>Revestimiento AR400 t12 con ocho M16 avellanados desmontables</x:v>
      </x:c>
      <x:c r="I374" s="17" t="str">
        <x:v>Hardox 400</x:v>
      </x:c>
      <x:c r="J374" s="17" t="str">
        <x:v>Cantidades por conjunto; no sumar como total de máquina.</x:v>
      </x:c>
    </x:row>
    <x:row r="375" ht="30" customHeight="1">
      <x:c r="A375" s="19" t="str">
        <x:v>TT10_C05_PC_01</x:v>
      </x:c>
      <x:c r="B375" s="19" t="str">
        <x:v>Conjunto general y montaje</x:v>
      </x:c>
      <x:c r="C375" s="20" t="n">
        <x:v>380</x:v>
      </x:c>
      <x:c r="D375" s="19" t="str">
        <x:v>TT10_M391</x:v>
      </x:c>
      <x:c r="E375" s="20" t="n">
        <x:v>1</x:v>
      </x:c>
      <x:c r="F375" s="20" t="n">
        <x:v>1</x:v>
      </x:c>
      <x:c r="G375" s="19" t="str">
        <x:v>Fabricación</x:v>
      </x:c>
      <x:c r="H375" s="19" t="str">
        <x:v>Revestimiento AR400 t12 con ocho M16 avellanados desmontables</x:v>
      </x:c>
      <x:c r="I375" s="19" t="str">
        <x:v>Hardox 400</x:v>
      </x:c>
      <x:c r="J375" s="19" t="str">
        <x:v>Cantidades por conjunto; no sumar como total de máquina.</x:v>
      </x:c>
    </x:row>
    <x:row r="376" ht="30" customHeight="1">
      <x:c r="A376" s="17" t="str">
        <x:v>TT10_C05_PC_01</x:v>
      </x:c>
      <x:c r="B376" s="17" t="str">
        <x:v>Conjunto general y montaje</x:v>
      </x:c>
      <x:c r="C376" s="18" t="n">
        <x:v>381</x:v>
      </x:c>
      <x:c r="D376" s="17" t="str">
        <x:v>TT10_M396</x:v>
      </x:c>
      <x:c r="E376" s="18" t="n">
        <x:v>1</x:v>
      </x:c>
      <x:c r="F376" s="18" t="n">
        <x:v>1</x:v>
      </x:c>
      <x:c r="G376" s="17" t="str">
        <x:v>Fabricación</x:v>
      </x:c>
      <x:c r="H376" s="17" t="str">
        <x:v>Pieza TT10_M396</x:v>
      </x:c>
      <x:c r="I376" s="17" t="str">
        <x:v>ASTM A36</x:v>
      </x:c>
      <x:c r="J376" s="17" t="str">
        <x:v>Cantidades por conjunto; no sumar como total de máquina.</x:v>
      </x:c>
    </x:row>
    <x:row r="377" ht="30" customHeight="1">
      <x:c r="A377" s="19" t="str">
        <x:v>TT10_C05_PC_01</x:v>
      </x:c>
      <x:c r="B377" s="19" t="str">
        <x:v>Conjunto general y montaje</x:v>
      </x:c>
      <x:c r="C377" s="20" t="n">
        <x:v>382</x:v>
      </x:c>
      <x:c r="D377" s="19" t="str">
        <x:v>TT10_M401</x:v>
      </x:c>
      <x:c r="E377" s="20" t="n">
        <x:v>1</x:v>
      </x:c>
      <x:c r="F377" s="20" t="n">
        <x:v>1</x:v>
      </x:c>
      <x:c r="G377" s="19" t="str">
        <x:v>Fabricación</x:v>
      </x:c>
      <x:c r="H377" s="19" t="str">
        <x:v>Pieza TT10_M401</x:v>
      </x:c>
      <x:c r="I377" s="19" t="str">
        <x:v>ASTM A36</x:v>
      </x:c>
      <x:c r="J377" s="19" t="str">
        <x:v>Cantidades por conjunto; no sumar como total de máquina.</x:v>
      </x:c>
    </x:row>
    <x:row r="378" ht="30" customHeight="1">
      <x:c r="A378" s="17" t="str">
        <x:v>TT10_C05_PC_01</x:v>
      </x:c>
      <x:c r="B378" s="17" t="str">
        <x:v>Conjunto general y montaje</x:v>
      </x:c>
      <x:c r="C378" s="18" t="n">
        <x:v>383</x:v>
      </x:c>
      <x:c r="D378" s="17" t="str">
        <x:v>TT10_M406</x:v>
      </x:c>
      <x:c r="E378" s="18" t="n">
        <x:v>1</x:v>
      </x:c>
      <x:c r="F378" s="18" t="n">
        <x:v>1</x:v>
      </x:c>
      <x:c r="G378" s="17" t="str">
        <x:v>Fabricación</x:v>
      </x:c>
      <x:c r="H378" s="17" t="str">
        <x:v>Pieza TT10_M406</x:v>
      </x:c>
      <x:c r="I378" s="17" t="str">
        <x:v>ASTM A36</x:v>
      </x:c>
      <x:c r="J378" s="17" t="str">
        <x:v>Cantidades por conjunto; no sumar como total de máquina.</x:v>
      </x:c>
    </x:row>
    <x:row r="379" ht="30" customHeight="1">
      <x:c r="A379" s="19" t="str">
        <x:v>TT10_C05_PC_01</x:v>
      </x:c>
      <x:c r="B379" s="19" t="str">
        <x:v>Conjunto general y montaje</x:v>
      </x:c>
      <x:c r="C379" s="20" t="n">
        <x:v>384</x:v>
      </x:c>
      <x:c r="D379" s="19" t="str">
        <x:v>TT10_M411</x:v>
      </x:c>
      <x:c r="E379" s="20" t="n">
        <x:v>1</x:v>
      </x:c>
      <x:c r="F379" s="20" t="n">
        <x:v>1</x:v>
      </x:c>
      <x:c r="G379" s="19" t="str">
        <x:v>Fabricación</x:v>
      </x:c>
      <x:c r="H379" s="19" t="str">
        <x:v>Pieza TT10_M411</x:v>
      </x:c>
      <x:c r="I379" s="19" t="str">
        <x:v>ASTM A36</x:v>
      </x:c>
      <x:c r="J379" s="19" t="str">
        <x:v>Cantidades por conjunto; no sumar como total de máquina.</x:v>
      </x:c>
    </x:row>
    <x:row r="380" ht="30" customHeight="1">
      <x:c r="A380" s="17" t="str">
        <x:v>TT10_C05_PC_01</x:v>
      </x:c>
      <x:c r="B380" s="17" t="str">
        <x:v>Conjunto general y montaje</x:v>
      </x:c>
      <x:c r="C380" s="18" t="n">
        <x:v>385</x:v>
      </x:c>
      <x:c r="D380" s="17" t="str">
        <x:v>TT10_MB40_N</x:v>
      </x:c>
      <x:c r="E380" s="18" t="n">
        <x:v>1</x:v>
      </x:c>
      <x:c r="F380" s="18" t="n">
        <x:v>1</x:v>
      </x:c>
      <x:c r="G380" s="17" t="str">
        <x:v>Compra</x:v>
      </x:c>
      <x:c r="H380" s="17" t="str">
        <x:v>MB40 comprada: una pestana plegada nominal en KM40; restantes18 planas</x:v>
      </x:c>
      <x:c r="I380" s="17" t="str">
        <x:v>Acero arandela comercial Timken MB40; variante a confirmar</x:v>
      </x:c>
      <x:c r="J380" s="17" t="str">
        <x:v>Cantidades por conjunto; no sumar como total de máquina.</x:v>
      </x:c>
    </x:row>
    <x:row r="381" ht="30" customHeight="1">
      <x:c r="A381" s="19" t="str">
        <x:v>TT10_C05_PC_01</x:v>
      </x:c>
      <x:c r="B381" s="19" t="str">
        <x:v>Conjunto general y montaje</x:v>
      </x:c>
      <x:c r="C381" s="20" t="n">
        <x:v>386</x:v>
      </x:c>
      <x:c r="D381" s="19" t="str">
        <x:v>TT10_MB40_P</x:v>
      </x:c>
      <x:c r="E381" s="20" t="n">
        <x:v>1</x:v>
      </x:c>
      <x:c r="F381" s="20" t="n">
        <x:v>1</x:v>
      </x:c>
      <x:c r="G381" s="19" t="str">
        <x:v>Compra</x:v>
      </x:c>
      <x:c r="H381" s="19" t="str">
        <x:v>MB40 comprada: una pestana plegada nominal en KM40; restantes18 planas</x:v>
      </x:c>
      <x:c r="I381" s="19" t="str">
        <x:v>Acero arandela comercial Timken MB40; variante a confirmar</x:v>
      </x:c>
      <x:c r="J381" s="19" t="str">
        <x:v>Cantidades por conjunto; no sumar como total de máquina.</x:v>
      </x:c>
    </x:row>
    <x:row r="382" ht="30" customHeight="1">
      <x:c r="A382" s="17" t="str">
        <x:v>TT10_C05_PC_01</x:v>
      </x:c>
      <x:c r="B382" s="17" t="str">
        <x:v>Conjunto general y montaje</x:v>
      </x:c>
      <x:c r="C382" s="18" t="n">
        <x:v>387</x:v>
      </x:c>
      <x:c r="D382" s="17" t="str">
        <x:v>TT10_N20_P1I</x:v>
      </x:c>
      <x:c r="E382" s="18" t="n">
        <x:v>16</x:v>
      </x:c>
      <x:c r="F382" s="18" t="n">
        <x:v>16</x:v>
      </x:c>
      <x:c r="G382" s="17" t="str">
        <x:v>Compra</x:v>
      </x:c>
      <x:c r="H382" s="17" t="str">
        <x:v>Tuerca M20 clase8; rosca simplificada</x:v>
      </x:c>
      <x:c r="I382" s="17" t="str">
        <x:v>Tuerca clase 8 / ISO 898-2</x:v>
      </x:c>
      <x:c r="J382" s="17" t="str">
        <x:v>Cantidades por conjunto; no sumar como total de máquina.</x:v>
      </x:c>
    </x:row>
    <x:row r="383" ht="30" customHeight="1">
      <x:c r="A383" s="19" t="str">
        <x:v>TT10_C05_PC_01</x:v>
      </x:c>
      <x:c r="B383" s="19" t="str">
        <x:v>Conjunto general y montaje</x:v>
      </x:c>
      <x:c r="C383" s="20" t="n">
        <x:v>388</x:v>
      </x:c>
      <x:c r="D383" s="19" t="str">
        <x:v>TT10_NODO_N</x:v>
      </x:c>
      <x:c r="E383" s="20" t="n">
        <x:v>1</x:v>
      </x:c>
      <x:c r="F383" s="20" t="n">
        <x:v>1</x:v>
      </x:c>
      <x:c r="G383" s="19" t="str">
        <x:v>Fabricación</x:v>
      </x:c>
      <x:c r="H383" s="19" t="str">
        <x:v>Placa de nodo20: unión entre puente desplazado y columna principal</x:v>
      </x:c>
      <x:c r="I383" s="19" t="str">
        <x:v>ASTM A36</x:v>
      </x:c>
      <x:c r="J383" s="19" t="str">
        <x:v>Cantidades por conjunto; no sumar como total de máquina.</x:v>
      </x:c>
    </x:row>
    <x:row r="384" ht="30" customHeight="1">
      <x:c r="A384" s="17" t="str">
        <x:v>TT10_C05_PC_01</x:v>
      </x:c>
      <x:c r="B384" s="17" t="str">
        <x:v>Conjunto general y montaje</x:v>
      </x:c>
      <x:c r="C384" s="18" t="n">
        <x:v>389</x:v>
      </x:c>
      <x:c r="D384" s="17" t="str">
        <x:v>TT10_NODO_P</x:v>
      </x:c>
      <x:c r="E384" s="18" t="n">
        <x:v>1</x:v>
      </x:c>
      <x:c r="F384" s="18" t="n">
        <x:v>1</x:v>
      </x:c>
      <x:c r="G384" s="17" t="str">
        <x:v>Fabricación</x:v>
      </x:c>
      <x:c r="H384" s="17" t="str">
        <x:v>Placa de nodo20: unión entre puente desplazado y columna principal</x:v>
      </x:c>
      <x:c r="I384" s="17" t="str">
        <x:v>ASTM A36</x:v>
      </x:c>
      <x:c r="J384" s="17" t="str">
        <x:v>Cantidades por conjunto; no sumar como total de máquina.</x:v>
      </x:c>
    </x:row>
    <x:row r="385" ht="30" customHeight="1">
      <x:c r="A385" s="19" t="str">
        <x:v>TT10_C05_PC_01</x:v>
      </x:c>
      <x:c r="B385" s="19" t="str">
        <x:v>Conjunto general y montaje</x:v>
      </x:c>
      <x:c r="C385" s="20" t="n">
        <x:v>390</x:v>
      </x:c>
      <x:c r="D385" s="19" t="str">
        <x:v>TT10_PE_ACT_CUERPO</x:v>
      </x:c>
      <x:c r="E385" s="20" t="n">
        <x:v>2</x:v>
      </x:c>
      <x:c r="F385" s="20" t="n">
        <x:v>2</x:v>
      </x:c>
      <x:c r="G385" s="19" t="str">
        <x:v>Compra</x:v>
      </x:c>
      <x:c r="H385" s="19" t="str">
        <x:v>Thomson HD24B026-0250LPS2MMSD: interfaces nominales y envolvente conservadora, NO CAD oficial</x:v>
      </x:c>
      <x:c r="I385" s="19" t="str">
        <x:v>Conjunto comercial; selección condicionada</x:v>
      </x:c>
      <x:c r="J385" s="19" t="str">
        <x:v>Cantidades por conjunto; no sumar como total de máquina.</x:v>
      </x:c>
    </x:row>
    <x:row r="386" ht="30" customHeight="1">
      <x:c r="A386" s="17" t="str">
        <x:v>TT10_C05_PC_01</x:v>
      </x:c>
      <x:c r="B386" s="17" t="str">
        <x:v>Conjunto general y montaje</x:v>
      </x:c>
      <x:c r="C386" s="18" t="n">
        <x:v>391</x:v>
      </x:c>
      <x:c r="D386" s="17" t="str">
        <x:v>TT10_PE_ACT_VASTAGO</x:v>
      </x:c>
      <x:c r="E386" s="18" t="n">
        <x:v>2</x:v>
      </x:c>
      <x:c r="F386" s="18" t="n">
        <x:v>2</x:v>
      </x:c>
      <x:c r="G386" s="17" t="str">
        <x:v>Compra</x:v>
      </x:c>
      <x:c r="H386" s="17" t="str">
        <x:v>Extremo y vástago comercial nominal D30.2; taladro12.2; parte móvil de candidato Thomson</x:v>
      </x:c>
      <x:c r="I386" s="17" t="str">
        <x:v>Subcomponente de actuador comercial</x:v>
      </x:c>
      <x:c r="J386" s="17" t="str">
        <x:v>Cantidades por conjunto; no sumar como total de máquina.</x:v>
      </x:c>
    </x:row>
    <x:row r="387" ht="30" customHeight="1">
      <x:c r="A387" s="19" t="str">
        <x:v>TT10_C05_PC_01</x:v>
      </x:c>
      <x:c r="B387" s="19" t="str">
        <x:v>Conjunto general y montaje</x:v>
      </x:c>
      <x:c r="C387" s="20" t="n">
        <x:v>392</x:v>
      </x:c>
      <x:c r="D387" s="19" t="str">
        <x:v>TT10_PE_BA0</x:v>
      </x:c>
      <x:c r="E387" s="20" t="n">
        <x:v>2</x:v>
      </x:c>
      <x:c r="F387" s="20" t="n">
        <x:v>2</x:v>
      </x:c>
      <x:c r="G387" s="19" t="str">
        <x:v>Compra</x:v>
      </x:c>
      <x:c r="H387" s="19" t="str">
        <x:v>Tornillo M8x40 clase8.8, rosca nominal; fijador de rosca según montaje</x:v>
      </x:c>
      <x:c r="I387" s="19" t="str">
        <x:v>Clase 8.8 / ISO 898-1</x:v>
      </x:c>
      <x:c r="J387" s="19" t="str">
        <x:v>Cantidades por conjunto; no sumar como total de máquina.</x:v>
      </x:c>
    </x:row>
    <x:row r="388" ht="30" customHeight="1">
      <x:c r="A388" s="17" t="str">
        <x:v>TT10_C05_PC_01</x:v>
      </x:c>
      <x:c r="B388" s="17" t="str">
        <x:v>Conjunto general y montaje</x:v>
      </x:c>
      <x:c r="C388" s="18" t="n">
        <x:v>393</x:v>
      </x:c>
      <x:c r="D388" s="17" t="str">
        <x:v>TT10_PE_BA1</x:v>
      </x:c>
      <x:c r="E388" s="18" t="n">
        <x:v>2</x:v>
      </x:c>
      <x:c r="F388" s="18" t="n">
        <x:v>2</x:v>
      </x:c>
      <x:c r="G388" s="17" t="str">
        <x:v>Compra</x:v>
      </x:c>
      <x:c r="H388" s="17" t="str">
        <x:v>Tornillo M8x40 clase8.8, rosca nominal; fijador de rosca según montaje</x:v>
      </x:c>
      <x:c r="I388" s="17" t="str">
        <x:v>Clase 8.8 / ISO 898-1</x:v>
      </x:c>
      <x:c r="J388" s="17" t="str">
        <x:v>Cantidades por conjunto; no sumar como total de máquina.</x:v>
      </x:c>
    </x:row>
    <x:row r="389" ht="30" customHeight="1">
      <x:c r="A389" s="19" t="str">
        <x:v>TT10_C05_PC_01</x:v>
      </x:c>
      <x:c r="B389" s="19" t="str">
        <x:v>Conjunto general y montaje</x:v>
      </x:c>
      <x:c r="C389" s="20" t="n">
        <x:v>394</x:v>
      </x:c>
      <x:c r="D389" s="19" t="str">
        <x:v>TT10_PE_BA2</x:v>
      </x:c>
      <x:c r="E389" s="20" t="n">
        <x:v>2</x:v>
      </x:c>
      <x:c r="F389" s="20" t="n">
        <x:v>2</x:v>
      </x:c>
      <x:c r="G389" s="19" t="str">
        <x:v>Compra</x:v>
      </x:c>
      <x:c r="H389" s="19" t="str">
        <x:v>Tornillo M8x40 clase8.8, rosca nominal; fijador de rosca según montaje</x:v>
      </x:c>
      <x:c r="I389" s="19" t="str">
        <x:v>Clase 8.8 / ISO 898-1</x:v>
      </x:c>
      <x:c r="J389" s="19" t="str">
        <x:v>Cantidades por conjunto; no sumar como total de máquina.</x:v>
      </x:c>
    </x:row>
    <x:row r="390" ht="30" customHeight="1">
      <x:c r="A390" s="17" t="str">
        <x:v>TT10_C05_PC_01</x:v>
      </x:c>
      <x:c r="B390" s="17" t="str">
        <x:v>Conjunto general y montaje</x:v>
      </x:c>
      <x:c r="C390" s="18" t="n">
        <x:v>395</x:v>
      </x:c>
      <x:c r="D390" s="17" t="str">
        <x:v>TT10_PE_BA3</x:v>
      </x:c>
      <x:c r="E390" s="18" t="n">
        <x:v>2</x:v>
      </x:c>
      <x:c r="F390" s="18" t="n">
        <x:v>2</x:v>
      </x:c>
      <x:c r="G390" s="17" t="str">
        <x:v>Compra</x:v>
      </x:c>
      <x:c r="H390" s="17" t="str">
        <x:v>Tornillo M8x40 clase8.8, rosca nominal; fijador de rosca según montaje</x:v>
      </x:c>
      <x:c r="I390" s="17" t="str">
        <x:v>Clase 8.8 / ISO 898-1</x:v>
      </x:c>
      <x:c r="J390" s="17" t="str">
        <x:v>Cantidades por conjunto; no sumar como total de máquina.</x:v>
      </x:c>
    </x:row>
    <x:row r="391" ht="30" customHeight="1">
      <x:c r="A391" s="19" t="str">
        <x:v>TT10_C05_PC_01</x:v>
      </x:c>
      <x:c r="B391" s="19" t="str">
        <x:v>Conjunto general y montaje</x:v>
      </x:c>
      <x:c r="C391" s="20" t="n">
        <x:v>396</x:v>
      </x:c>
      <x:c r="D391" s="19" t="str">
        <x:v>TT10_PE_BEF</x:v>
      </x:c>
      <x:c r="E391" s="20" t="n">
        <x:v>2</x:v>
      </x:c>
      <x:c r="F391" s="20" t="n">
        <x:v>2</x:v>
      </x:c>
      <x:c r="G391" s="19" t="str">
        <x:v>Compra</x:v>
      </x:c>
      <x:c r="H391" s="19" t="str">
        <x:v>ISO7380-1 M6x10 8.8; cabeza baja D10.5 H3.3 envolvente; hexágono4; fijador de rosca requerido</x:v>
      </x:c>
      <x:c r="I391" s="19" t="str">
        <x:v>Clase 8.8 / ISO 898-1</x:v>
      </x:c>
      <x:c r="J391" s="19" t="str">
        <x:v>Cantidades por conjunto; no sumar como total de máquina.</x:v>
      </x:c>
    </x:row>
    <x:row r="392" ht="30" customHeight="1">
      <x:c r="A392" s="17" t="str">
        <x:v>TT10_C05_PC_01</x:v>
      </x:c>
      <x:c r="B392" s="17" t="str">
        <x:v>Conjunto general y montaje</x:v>
      </x:c>
      <x:c r="C392" s="18" t="n">
        <x:v>397</x:v>
      </x:c>
      <x:c r="D392" s="17" t="str">
        <x:v>TT10_PE_BER</x:v>
      </x:c>
      <x:c r="E392" s="18" t="n">
        <x:v>2</x:v>
      </x:c>
      <x:c r="F392" s="18" t="n">
        <x:v>2</x:v>
      </x:c>
      <x:c r="G392" s="17" t="str">
        <x:v>Compra</x:v>
      </x:c>
      <x:c r="H392" s="17" t="str">
        <x:v>Tornillo M8x12 clase8.8, rosca nominal; fijador de rosca según montaje</x:v>
      </x:c>
      <x:c r="I392" s="17" t="str">
        <x:v>Clase 8.8 / ISO 898-1</x:v>
      </x:c>
      <x:c r="J392" s="17" t="str">
        <x:v>Cantidades por conjunto; no sumar como total de máquina.</x:v>
      </x:c>
    </x:row>
    <x:row r="393" ht="30" customHeight="1">
      <x:c r="A393" s="19" t="str">
        <x:v>TT10_C05_PC_01</x:v>
      </x:c>
      <x:c r="B393" s="19" t="str">
        <x:v>Conjunto general y montaje</x:v>
      </x:c>
      <x:c r="C393" s="20" t="n">
        <x:v>398</x:v>
      </x:c>
      <x:c r="D393" s="19" t="str">
        <x:v>TT10_PE_BF0</x:v>
      </x:c>
      <x:c r="E393" s="20" t="n">
        <x:v>2</x:v>
      </x:c>
      <x:c r="F393" s="20" t="n">
        <x:v>2</x:v>
      </x:c>
      <x:c r="G393" s="19" t="str">
        <x:v>Compra</x:v>
      </x:c>
      <x:c r="H393" s="19" t="str">
        <x:v>Tornillo M10x25 clase8.8, rosca nominal; fijador de rosca según montaje</x:v>
      </x:c>
      <x:c r="I393" s="19" t="str">
        <x:v>Clase 8.8 / ISO 898-1</x:v>
      </x:c>
      <x:c r="J393" s="19" t="str">
        <x:v>Cantidades por conjunto; no sumar como total de máquina.</x:v>
      </x:c>
    </x:row>
    <x:row r="394" ht="30" customHeight="1">
      <x:c r="A394" s="17" t="str">
        <x:v>TT10_C05_PC_01</x:v>
      </x:c>
      <x:c r="B394" s="17" t="str">
        <x:v>Conjunto general y montaje</x:v>
      </x:c>
      <x:c r="C394" s="18" t="n">
        <x:v>399</x:v>
      </x:c>
      <x:c r="D394" s="17" t="str">
        <x:v>TT10_PE_BF1</x:v>
      </x:c>
      <x:c r="E394" s="18" t="n">
        <x:v>2</x:v>
      </x:c>
      <x:c r="F394" s="18" t="n">
        <x:v>2</x:v>
      </x:c>
      <x:c r="G394" s="17" t="str">
        <x:v>Compra</x:v>
      </x:c>
      <x:c r="H394" s="17" t="str">
        <x:v>Tornillo M10x25 clase8.8, rosca nominal; fijador de rosca según montaje</x:v>
      </x:c>
      <x:c r="I394" s="17" t="str">
        <x:v>Clase 8.8 / ISO 898-1</x:v>
      </x:c>
      <x:c r="J394" s="17" t="str">
        <x:v>Cantidades por conjunto; no sumar como total de máquina.</x:v>
      </x:c>
    </x:row>
    <x:row r="395" ht="30" customHeight="1">
      <x:c r="A395" s="19" t="str">
        <x:v>TT10_C05_PC_01</x:v>
      </x:c>
      <x:c r="B395" s="19" t="str">
        <x:v>Conjunto general y montaje</x:v>
      </x:c>
      <x:c r="C395" s="20" t="n">
        <x:v>400</x:v>
      </x:c>
      <x:c r="D395" s="19" t="str">
        <x:v>TT10_PE_BR0</x:v>
      </x:c>
      <x:c r="E395" s="20" t="n">
        <x:v>2</x:v>
      </x:c>
      <x:c r="F395" s="20" t="n">
        <x:v>2</x:v>
      </x:c>
      <x:c r="G395" s="19" t="str">
        <x:v>Compra</x:v>
      </x:c>
      <x:c r="H395" s="19" t="str">
        <x:v>Tornillo M10x25 clase8.8, rosca nominal; fijador de rosca según montaje</x:v>
      </x:c>
      <x:c r="I395" s="19" t="str">
        <x:v>Clase 8.8 / ISO 898-1</x:v>
      </x:c>
      <x:c r="J395" s="19" t="str">
        <x:v>Cantidades por conjunto; no sumar como total de máquina.</x:v>
      </x:c>
    </x:row>
    <x:row r="396" ht="30" customHeight="1">
      <x:c r="A396" s="17" t="str">
        <x:v>TT10_C05_PC_01</x:v>
      </x:c>
      <x:c r="B396" s="17" t="str">
        <x:v>Conjunto general y montaje</x:v>
      </x:c>
      <x:c r="C396" s="18" t="n">
        <x:v>401</x:v>
      </x:c>
      <x:c r="D396" s="17" t="str">
        <x:v>TT10_PE_BR1</x:v>
      </x:c>
      <x:c r="E396" s="18" t="n">
        <x:v>2</x:v>
      </x:c>
      <x:c r="F396" s="18" t="n">
        <x:v>2</x:v>
      </x:c>
      <x:c r="G396" s="17" t="str">
        <x:v>Compra</x:v>
      </x:c>
      <x:c r="H396" s="17" t="str">
        <x:v>Tornillo M10x25 clase8.8, rosca nominal; fijador de rosca según montaje</x:v>
      </x:c>
      <x:c r="I396" s="17" t="str">
        <x:v>Clase 8.8 / ISO 898-1</x:v>
      </x:c>
      <x:c r="J396" s="17" t="str">
        <x:v>Cantidades por conjunto; no sumar como total de máquina.</x:v>
      </x:c>
    </x:row>
    <x:row r="397" ht="30" customHeight="1">
      <x:c r="A397" s="19" t="str">
        <x:v>TT10_C05_PC_01</x:v>
      </x:c>
      <x:c r="B397" s="19" t="str">
        <x:v>Conjunto general y montaje</x:v>
      </x:c>
      <x:c r="C397" s="20" t="n">
        <x:v>402</x:v>
      </x:c>
      <x:c r="D397" s="19" t="str">
        <x:v>TT10_PE_EJE_F</x:v>
      </x:c>
      <x:c r="E397" s="20" t="n">
        <x:v>2</x:v>
      </x:c>
      <x:c r="F397" s="20" t="n">
        <x:v>2</x:v>
      </x:c>
      <x:c r="G397" s="19" t="str">
        <x:v>Compra</x:v>
      </x:c>
      <x:c r="H397" s="19" t="str">
        <x:v>Bulón articulación D12 h8, cabeza20x4, M6-6H axial profundidad12; arandela y tornillo de retención</x:v>
      </x:c>
      <x:c r="I397" s="19" t="str">
        <x:v>Arandela endurecida 300 HV / ISO 7089</x:v>
      </x:c>
      <x:c r="J397" s="19" t="str">
        <x:v>Cantidades por conjunto; no sumar como total de máquina.</x:v>
      </x:c>
    </x:row>
    <x:row r="398" ht="30" customHeight="1">
      <x:c r="A398" s="17" t="str">
        <x:v>TT10_C05_PC_01</x:v>
      </x:c>
      <x:c r="B398" s="17" t="str">
        <x:v>Conjunto general y montaje</x:v>
      </x:c>
      <x:c r="C398" s="18" t="n">
        <x:v>403</x:v>
      </x:c>
      <x:c r="D398" s="17" t="str">
        <x:v>TT10_PE_EJE_R</x:v>
      </x:c>
      <x:c r="E398" s="18" t="n">
        <x:v>2</x:v>
      </x:c>
      <x:c r="F398" s="18" t="n">
        <x:v>2</x:v>
      </x:c>
      <x:c r="G398" s="17" t="str">
        <x:v>Compra</x:v>
      </x:c>
      <x:c r="H398" s="17" t="str">
        <x:v>Bulón articulación D12 h8, cabeza20x4, M8-6H axial profundidad12; arandela y tornillo de retención</x:v>
      </x:c>
      <x:c r="I398" s="17" t="str">
        <x:v>Arandela endurecida 300 HV / ISO 7089</x:v>
      </x:c>
      <x:c r="J398" s="17" t="str">
        <x:v>Cantidades por conjunto; no sumar como total de máquina.</x:v>
      </x:c>
    </x:row>
    <x:row r="399" ht="30" customHeight="1">
      <x:c r="A399" s="19" t="str">
        <x:v>TT10_C05_PC_01</x:v>
      </x:c>
      <x:c r="B399" s="19" t="str">
        <x:v>Conjunto general y montaje</x:v>
      </x:c>
      <x:c r="C399" s="20" t="n">
        <x:v>404</x:v>
      </x:c>
      <x:c r="D399" s="19" t="str">
        <x:v>TT10_PE_HORQ_F</x:v>
      </x:c>
      <x:c r="E399" s="20" t="n">
        <x:v>2</x:v>
      </x:c>
      <x:c r="F399" s="20" t="n">
        <x:v>2</x:v>
      </x:c>
      <x:c r="G399" s="19" t="str">
        <x:v>Fabricación</x:v>
      </x:c>
      <x:c r="H399" s="19" t="str">
        <x:v>Horquilla frontal integral S355: base60x10, separación31.2, dos orejas10, D12.2H8; 2M10 de fijación</x:v>
      </x:c>
      <x:c r="I399" s="19" t="str">
        <x:v>ASTM A36</x:v>
      </x:c>
      <x:c r="J399" s="19" t="str">
        <x:v>Cantidades por conjunto; no sumar como total de máquina.</x:v>
      </x:c>
    </x:row>
    <x:row r="400" ht="30" customHeight="1">
      <x:c r="A400" s="17" t="str">
        <x:v>TT10_C05_PC_01</x:v>
      </x:c>
      <x:c r="B400" s="17" t="str">
        <x:v>Conjunto general y montaje</x:v>
      </x:c>
      <x:c r="C400" s="18" t="n">
        <x:v>405</x:v>
      </x:c>
      <x:c r="D400" s="17" t="str">
        <x:v>TT10_PE_HORQ_R</x:v>
      </x:c>
      <x:c r="E400" s="18" t="n">
        <x:v>2</x:v>
      </x:c>
      <x:c r="F400" s="18" t="n">
        <x:v>2</x:v>
      </x:c>
      <x:c r="G400" s="17" t="str">
        <x:v>Fabricación</x:v>
      </x:c>
      <x:c r="H400" s="17" t="str">
        <x:v>Horquilla trasera mecanizada: base130x60x10; separación26.4; eje12; 2M10</x:v>
      </x:c>
      <x:c r="I400" s="17" t="str">
        <x:v>ASTM A36</x:v>
      </x:c>
      <x:c r="J400" s="17" t="str">
        <x:v>Cantidades por conjunto; no sumar como total de máquina.</x:v>
      </x:c>
    </x:row>
    <x:row r="401" ht="30" customHeight="1">
      <x:c r="A401" s="19" t="str">
        <x:v>TT10_C05_PC_01</x:v>
      </x:c>
      <x:c r="B401" s="19" t="str">
        <x:v>Conjunto general y montaje</x:v>
      </x:c>
      <x:c r="C401" s="20" t="n">
        <x:v>406</x:v>
      </x:c>
      <x:c r="D401" s="19" t="str">
        <x:v>TT10_PE_LARG_L</x:v>
      </x:c>
      <x:c r="E401" s="20" t="n">
        <x:v>2</x:v>
      </x:c>
      <x:c r="F401" s="20" t="n">
        <x:v>2</x:v>
      </x:c>
      <x:c r="G401" s="19" t="str">
        <x:v>Fabricación</x:v>
      </x:c>
      <x:c r="H401" s="19" t="str">
        <x:v>Larguero S355 plano12x80; corte a longitud503.0</x:v>
      </x:c>
      <x:c r="I401" s="19" t="str">
        <x:v>ASTM A36</x:v>
      </x:c>
      <x:c r="J401" s="19" t="str">
        <x:v>Cantidades por conjunto; no sumar como total de máquina.</x:v>
      </x:c>
    </x:row>
    <x:row r="402" ht="30" customHeight="1">
      <x:c r="A402" s="17" t="str">
        <x:v>TT10_C05_PC_01</x:v>
      </x:c>
      <x:c r="B402" s="17" t="str">
        <x:v>Conjunto general y montaje</x:v>
      </x:c>
      <x:c r="C402" s="18" t="n">
        <x:v>407</x:v>
      </x:c>
      <x:c r="D402" s="17" t="str">
        <x:v>TT10_PE_LARG_R</x:v>
      </x:c>
      <x:c r="E402" s="18" t="n">
        <x:v>2</x:v>
      </x:c>
      <x:c r="F402" s="18" t="n">
        <x:v>2</x:v>
      </x:c>
      <x:c r="G402" s="17" t="str">
        <x:v>Fabricación</x:v>
      </x:c>
      <x:c r="H402" s="17" t="str">
        <x:v>Larguero S355 plano12x80; corte a longitud503.0</x:v>
      </x:c>
      <x:c r="I402" s="17" t="str">
        <x:v>ASTM A36</x:v>
      </x:c>
      <x:c r="J402" s="17" t="str">
        <x:v>Cantidades por conjunto; no sumar como total de máquina.</x:v>
      </x:c>
    </x:row>
    <x:row r="403" ht="30" customHeight="1">
      <x:c r="A403" s="19" t="str">
        <x:v>TT10_C05_PC_01</x:v>
      </x:c>
      <x:c r="B403" s="19" t="str">
        <x:v>Conjunto general y montaje</x:v>
      </x:c>
      <x:c r="C403" s="20" t="n">
        <x:v>408</x:v>
      </x:c>
      <x:c r="D403" s="19" t="str">
        <x:v>TT10_PE_NA0</x:v>
      </x:c>
      <x:c r="E403" s="20" t="n">
        <x:v>2</x:v>
      </x:c>
      <x:c r="F403" s="20" t="n">
        <x:v>2</x:v>
      </x:c>
      <x:c r="G403" s="19" t="str">
        <x:v>Compra</x:v>
      </x:c>
      <x:c r="H403" s="19" t="str">
        <x:v>Tuerca M8 clase8; rosca nominal, retención por fijador especificado</x:v>
      </x:c>
      <x:c r="I403" s="19" t="str">
        <x:v>Tuerca clase 8 / ISO 898-2</x:v>
      </x:c>
      <x:c r="J403" s="19" t="str">
        <x:v>Cantidades por conjunto; no sumar como total de máquina.</x:v>
      </x:c>
    </x:row>
    <x:row r="404" ht="30" customHeight="1">
      <x:c r="A404" s="17" t="str">
        <x:v>TT10_C05_PC_01</x:v>
      </x:c>
      <x:c r="B404" s="17" t="str">
        <x:v>Conjunto general y montaje</x:v>
      </x:c>
      <x:c r="C404" s="18" t="n">
        <x:v>409</x:v>
      </x:c>
      <x:c r="D404" s="17" t="str">
        <x:v>TT10_PE_NA1</x:v>
      </x:c>
      <x:c r="E404" s="18" t="n">
        <x:v>2</x:v>
      </x:c>
      <x:c r="F404" s="18" t="n">
        <x:v>2</x:v>
      </x:c>
      <x:c r="G404" s="17" t="str">
        <x:v>Compra</x:v>
      </x:c>
      <x:c r="H404" s="17" t="str">
        <x:v>Tuerca M8 clase8; rosca nominal, retención por fijador especificado</x:v>
      </x:c>
      <x:c r="I404" s="17" t="str">
        <x:v>Tuerca clase 8 / ISO 898-2</x:v>
      </x:c>
      <x:c r="J404" s="17" t="str">
        <x:v>Cantidades por conjunto; no sumar como total de máquina.</x:v>
      </x:c>
    </x:row>
    <x:row r="405" ht="30" customHeight="1">
      <x:c r="A405" s="19" t="str">
        <x:v>TT10_C05_PC_01</x:v>
      </x:c>
      <x:c r="B405" s="19" t="str">
        <x:v>Conjunto general y montaje</x:v>
      </x:c>
      <x:c r="C405" s="20" t="n">
        <x:v>410</x:v>
      </x:c>
      <x:c r="D405" s="19" t="str">
        <x:v>TT10_PE_NA2</x:v>
      </x:c>
      <x:c r="E405" s="20" t="n">
        <x:v>2</x:v>
      </x:c>
      <x:c r="F405" s="20" t="n">
        <x:v>2</x:v>
      </x:c>
      <x:c r="G405" s="19" t="str">
        <x:v>Compra</x:v>
      </x:c>
      <x:c r="H405" s="19" t="str">
        <x:v>Tuerca M8 clase8; rosca nominal, retención por fijador especificado</x:v>
      </x:c>
      <x:c r="I405" s="19" t="str">
        <x:v>Tuerca clase 8 / ISO 898-2</x:v>
      </x:c>
      <x:c r="J405" s="19" t="str">
        <x:v>Cantidades por conjunto; no sumar como total de máquina.</x:v>
      </x:c>
    </x:row>
    <x:row r="406" ht="30" customHeight="1">
      <x:c r="A406" s="17" t="str">
        <x:v>TT10_C05_PC_01</x:v>
      </x:c>
      <x:c r="B406" s="17" t="str">
        <x:v>Conjunto general y montaje</x:v>
      </x:c>
      <x:c r="C406" s="18" t="n">
        <x:v>411</x:v>
      </x:c>
      <x:c r="D406" s="17" t="str">
        <x:v>TT10_PE_NA3</x:v>
      </x:c>
      <x:c r="E406" s="18" t="n">
        <x:v>2</x:v>
      </x:c>
      <x:c r="F406" s="18" t="n">
        <x:v>2</x:v>
      </x:c>
      <x:c r="G406" s="17" t="str">
        <x:v>Compra</x:v>
      </x:c>
      <x:c r="H406" s="17" t="str">
        <x:v>Tuerca M8 clase8; rosca nominal, retención por fijador especificado</x:v>
      </x:c>
      <x:c r="I406" s="17" t="str">
        <x:v>Tuerca clase 8 / ISO 898-2</x:v>
      </x:c>
      <x:c r="J406" s="17" t="str">
        <x:v>Cantidades por conjunto; no sumar como total de máquina.</x:v>
      </x:c>
    </x:row>
    <x:row r="407" ht="30" customHeight="1">
      <x:c r="A407" s="19" t="str">
        <x:v>TT10_C05_PC_01</x:v>
      </x:c>
      <x:c r="B407" s="19" t="str">
        <x:v>Conjunto general y montaje</x:v>
      </x:c>
      <x:c r="C407" s="20" t="n">
        <x:v>412</x:v>
      </x:c>
      <x:c r="D407" s="19" t="str">
        <x:v>TT10_PE_PIN</x:v>
      </x:c>
      <x:c r="E407" s="20" t="n">
        <x:v>2</x:v>
      </x:c>
      <x:c r="F407" s="20" t="n">
        <x:v>2</x:v>
      </x:c>
      <x:c r="G407" s="19" t="str">
        <x:v>Fabricación</x:v>
      </x:c>
      <x:c r="H407" s="19" t="str">
        <x:v>Pasador Ø65 f7 x 330; cabeza Ø90 x 15; R3; 34CrNiMo6+QT Rp0,2 mín.800 MPa</x:v>
      </x:c>
      <x:c r="I407" s="19" t="str">
        <x:v>34CrNiMo6+QT; Rp0,2 mín.800 MPa, sección&lt;=100mm</x:v>
      </x:c>
      <x:c r="J407" s="19" t="str">
        <x:v>Cantidades por conjunto; no sumar como total de máquina.</x:v>
      </x:c>
    </x:row>
    <x:row r="408" ht="30" customHeight="1">
      <x:c r="A408" s="17" t="str">
        <x:v>TT10_C05_PC_01</x:v>
      </x:c>
      <x:c r="B408" s="17" t="str">
        <x:v>Conjunto general y montaje</x:v>
      </x:c>
      <x:c r="C408" s="18" t="n">
        <x:v>413</x:v>
      </x:c>
      <x:c r="D408" s="17" t="str">
        <x:v>TT10_PE_PLACA_F</x:v>
      </x:c>
      <x:c r="E408" s="18" t="n">
        <x:v>2</x:v>
      </x:c>
      <x:c r="F408" s="18" t="n">
        <x:v>2</x:v>
      </x:c>
      <x:c r="G408" s="17" t="str">
        <x:v>Fabricación</x:v>
      </x:c>
      <x:c r="H408" s="17" t="str">
        <x:v>Placa de bastidor160x160x12; D70;4D9 y4aliviosD42 abiertos en esquinas para tuercas existentes</x:v>
      </x:c>
      <x:c r="I408" s="17" t="str">
        <x:v>ASTM A36</x:v>
      </x:c>
      <x:c r="J408" s="17" t="str">
        <x:v>Cantidades por conjunto; no sumar como total de máquina.</x:v>
      </x:c>
    </x:row>
    <x:row r="409" ht="30" customHeight="1">
      <x:c r="A409" s="19" t="str">
        <x:v>TT10_C05_PC_01</x:v>
      </x:c>
      <x:c r="B409" s="19" t="str">
        <x:v>Conjunto general y montaje</x:v>
      </x:c>
      <x:c r="C409" s="20" t="n">
        <x:v>414</x:v>
      </x:c>
      <x:c r="D409" s="19" t="str">
        <x:v>TT10_PE_PLACA_R</x:v>
      </x:c>
      <x:c r="E409" s="20" t="n">
        <x:v>2</x:v>
      </x:c>
      <x:c r="F409" s="20" t="n">
        <x:v>2</x:v>
      </x:c>
      <x:c r="G409" s="19" t="str">
        <x:v>Fabricación</x:v>
      </x:c>
      <x:c r="H409" s="19" t="str">
        <x:v>Travesaño160x80x12; 2M10-6H pasantes en X±45; frentes soldados a largueros</x:v>
      </x:c>
      <x:c r="I409" s="19" t="str">
        <x:v>ASTM A36</x:v>
      </x:c>
      <x:c r="J409" s="19" t="str">
        <x:v>Cantidades por conjunto; no sumar como total de máquina.</x:v>
      </x:c>
    </x:row>
    <x:row r="410" ht="30" customHeight="1">
      <x:c r="A410" s="17" t="str">
        <x:v>TT10_C05_PC_01</x:v>
      </x:c>
      <x:c r="B410" s="17" t="str">
        <x:v>Conjunto general y montaje</x:v>
      </x:c>
      <x:c r="C410" s="18" t="n">
        <x:v>415</x:v>
      </x:c>
      <x:c r="D410" s="17" t="str">
        <x:v>TT10_PE_RETEN</x:v>
      </x:c>
      <x:c r="E410" s="18" t="n">
        <x:v>2</x:v>
      </x:c>
      <x:c r="F410" s="18" t="n">
        <x:v>2</x:v>
      </x:c>
      <x:c r="G410" s="17" t="str">
        <x:v>Fabricación</x:v>
      </x:c>
      <x:c r="H410" s="17" t="str">
        <x:v>Placa cautiva160x160x15: amplía paso aD68,4D22 original; añade4D9 en X±45 Z±30</x:v>
      </x:c>
      <x:c r="I410" s="17" t="str">
        <x:v>ASTM A36</x:v>
      </x:c>
      <x:c r="J410" s="17" t="str">
        <x:v>Cantidades por conjunto; no sumar como total de máquina.</x:v>
      </x:c>
    </x:row>
    <x:row r="411" ht="30" customHeight="1">
      <x:c r="A411" s="19" t="str">
        <x:v>TT10_C05_PC_01</x:v>
      </x:c>
      <x:c r="B411" s="19" t="str">
        <x:v>Conjunto general y montaje</x:v>
      </x:c>
      <x:c r="C411" s="20" t="n">
        <x:v>416</x:v>
      </x:c>
      <x:c r="D411" s="19" t="str">
        <x:v>TT10_PE_WA0</x:v>
      </x:c>
      <x:c r="E411" s="20" t="n">
        <x:v>2</x:v>
      </x:c>
      <x:c r="F411" s="20" t="n">
        <x:v>2</x:v>
      </x:c>
      <x:c r="G411" s="19" t="str">
        <x:v>Compra</x:v>
      </x:c>
      <x:c r="H411" s="19" t="str">
        <x:v>Arandela D16/d8.4/t1.6</x:v>
      </x:c>
      <x:c r="I411" s="19" t="str">
        <x:v>Arandela endurecida 300 HV / ISO 7089</x:v>
      </x:c>
      <x:c r="J411" s="19" t="str">
        <x:v>Cantidades por conjunto; no sumar como total de máquina.</x:v>
      </x:c>
    </x:row>
    <x:row r="412" ht="30" customHeight="1">
      <x:c r="A412" s="17" t="str">
        <x:v>TT10_C05_PC_01</x:v>
      </x:c>
      <x:c r="B412" s="17" t="str">
        <x:v>Conjunto general y montaje</x:v>
      </x:c>
      <x:c r="C412" s="18" t="n">
        <x:v>417</x:v>
      </x:c>
      <x:c r="D412" s="17" t="str">
        <x:v>TT10_PE_WA1</x:v>
      </x:c>
      <x:c r="E412" s="18" t="n">
        <x:v>2</x:v>
      </x:c>
      <x:c r="F412" s="18" t="n">
        <x:v>2</x:v>
      </x:c>
      <x:c r="G412" s="17" t="str">
        <x:v>Compra</x:v>
      </x:c>
      <x:c r="H412" s="17" t="str">
        <x:v>Arandela D16/d8.4/t1.6</x:v>
      </x:c>
      <x:c r="I412" s="17" t="str">
        <x:v>Arandela endurecida 300 HV / ISO 7089</x:v>
      </x:c>
      <x:c r="J412" s="17" t="str">
        <x:v>Cantidades por conjunto; no sumar como total de máquina.</x:v>
      </x:c>
    </x:row>
    <x:row r="413" ht="30" customHeight="1">
      <x:c r="A413" s="19" t="str">
        <x:v>TT10_C05_PC_01</x:v>
      </x:c>
      <x:c r="B413" s="19" t="str">
        <x:v>Conjunto general y montaje</x:v>
      </x:c>
      <x:c r="C413" s="20" t="n">
        <x:v>418</x:v>
      </x:c>
      <x:c r="D413" s="19" t="str">
        <x:v>TT10_PE_WA2</x:v>
      </x:c>
      <x:c r="E413" s="20" t="n">
        <x:v>2</x:v>
      </x:c>
      <x:c r="F413" s="20" t="n">
        <x:v>2</x:v>
      </x:c>
      <x:c r="G413" s="19" t="str">
        <x:v>Compra</x:v>
      </x:c>
      <x:c r="H413" s="19" t="str">
        <x:v>Arandela D16/d8.4/t1.6</x:v>
      </x:c>
      <x:c r="I413" s="19" t="str">
        <x:v>Arandela endurecida 300 HV / ISO 7089</x:v>
      </x:c>
      <x:c r="J413" s="19" t="str">
        <x:v>Cantidades por conjunto; no sumar como total de máquina.</x:v>
      </x:c>
    </x:row>
    <x:row r="414" ht="30" customHeight="1">
      <x:c r="A414" s="17" t="str">
        <x:v>TT10_C05_PC_01</x:v>
      </x:c>
      <x:c r="B414" s="17" t="str">
        <x:v>Conjunto general y montaje</x:v>
      </x:c>
      <x:c r="C414" s="18" t="n">
        <x:v>419</x:v>
      </x:c>
      <x:c r="D414" s="17" t="str">
        <x:v>TT10_PE_WA3</x:v>
      </x:c>
      <x:c r="E414" s="18" t="n">
        <x:v>2</x:v>
      </x:c>
      <x:c r="F414" s="18" t="n">
        <x:v>2</x:v>
      </x:c>
      <x:c r="G414" s="17" t="str">
        <x:v>Compra</x:v>
      </x:c>
      <x:c r="H414" s="17" t="str">
        <x:v>Arandela D16/d8.4/t1.6</x:v>
      </x:c>
      <x:c r="I414" s="17" t="str">
        <x:v>Arandela endurecida 300 HV / ISO 7089</x:v>
      </x:c>
      <x:c r="J414" s="17" t="str">
        <x:v>Cantidades por conjunto; no sumar como total de máquina.</x:v>
      </x:c>
    </x:row>
    <x:row r="415" ht="30" customHeight="1">
      <x:c r="A415" s="19" t="str">
        <x:v>TT10_C05_PC_01</x:v>
      </x:c>
      <x:c r="B415" s="19" t="str">
        <x:v>Conjunto general y montaje</x:v>
      </x:c>
      <x:c r="C415" s="20" t="n">
        <x:v>420</x:v>
      </x:c>
      <x:c r="D415" s="19" t="str">
        <x:v>TT10_PE_WEF</x:v>
      </x:c>
      <x:c r="E415" s="20" t="n">
        <x:v>2</x:v>
      </x:c>
      <x:c r="F415" s="20" t="n">
        <x:v>2</x:v>
      </x:c>
      <x:c r="G415" s="19" t="str">
        <x:v>Compra</x:v>
      </x:c>
      <x:c r="H415" s="19" t="str">
        <x:v>Arandela D12/d6.4/t1.6</x:v>
      </x:c>
      <x:c r="I415" s="19" t="str">
        <x:v>Arandela endurecida 300 HV / ISO 7089</x:v>
      </x:c>
      <x:c r="J415" s="19" t="str">
        <x:v>Cantidades por conjunto; no sumar como total de máquina.</x:v>
      </x:c>
    </x:row>
    <x:row r="416" ht="30" customHeight="1">
      <x:c r="A416" s="17" t="str">
        <x:v>TT10_C05_PC_01</x:v>
      </x:c>
      <x:c r="B416" s="17" t="str">
        <x:v>Conjunto general y montaje</x:v>
      </x:c>
      <x:c r="C416" s="18" t="n">
        <x:v>421</x:v>
      </x:c>
      <x:c r="D416" s="17" t="str">
        <x:v>TT10_PE_WER</x:v>
      </x:c>
      <x:c r="E416" s="18" t="n">
        <x:v>2</x:v>
      </x:c>
      <x:c r="F416" s="18" t="n">
        <x:v>2</x:v>
      </x:c>
      <x:c r="G416" s="17" t="str">
        <x:v>Compra</x:v>
      </x:c>
      <x:c r="H416" s="17" t="str">
        <x:v>Arandela D20/d8.4/t2</x:v>
      </x:c>
      <x:c r="I416" s="17" t="str">
        <x:v>Arandela endurecida 300 HV / ISO 7089</x:v>
      </x:c>
      <x:c r="J416" s="17" t="str">
        <x:v>Cantidades por conjunto; no sumar como total de máquina.</x:v>
      </x:c>
    </x:row>
    <x:row r="417" ht="30" customHeight="1">
      <x:c r="A417" s="19" t="str">
        <x:v>TT10_C05_PC_01</x:v>
      </x:c>
      <x:c r="B417" s="19" t="str">
        <x:v>Conjunto general y montaje</x:v>
      </x:c>
      <x:c r="C417" s="20" t="n">
        <x:v>422</x:v>
      </x:c>
      <x:c r="D417" s="19" t="str">
        <x:v>TT10_PE_WF0</x:v>
      </x:c>
      <x:c r="E417" s="20" t="n">
        <x:v>2</x:v>
      </x:c>
      <x:c r="F417" s="20" t="n">
        <x:v>2</x:v>
      </x:c>
      <x:c r="G417" s="19" t="str">
        <x:v>Compra</x:v>
      </x:c>
      <x:c r="H417" s="19" t="str">
        <x:v>Arandela D20/d10.5/t2</x:v>
      </x:c>
      <x:c r="I417" s="19" t="str">
        <x:v>Arandela endurecida 300 HV / ISO 7089</x:v>
      </x:c>
      <x:c r="J417" s="19" t="str">
        <x:v>Cantidades por conjunto; no sumar como total de máquina.</x:v>
      </x:c>
    </x:row>
    <x:row r="418" ht="30" customHeight="1">
      <x:c r="A418" s="17" t="str">
        <x:v>TT10_C05_PC_01</x:v>
      </x:c>
      <x:c r="B418" s="17" t="str">
        <x:v>Conjunto general y montaje</x:v>
      </x:c>
      <x:c r="C418" s="18" t="n">
        <x:v>423</x:v>
      </x:c>
      <x:c r="D418" s="17" t="str">
        <x:v>TT10_PE_WF1</x:v>
      </x:c>
      <x:c r="E418" s="18" t="n">
        <x:v>2</x:v>
      </x:c>
      <x:c r="F418" s="18" t="n">
        <x:v>2</x:v>
      </x:c>
      <x:c r="G418" s="17" t="str">
        <x:v>Compra</x:v>
      </x:c>
      <x:c r="H418" s="17" t="str">
        <x:v>Arandela D20/d10.5/t2</x:v>
      </x:c>
      <x:c r="I418" s="17" t="str">
        <x:v>Arandela endurecida 300 HV / ISO 7089</x:v>
      </x:c>
      <x:c r="J418" s="17" t="str">
        <x:v>Cantidades por conjunto; no sumar como total de máquina.</x:v>
      </x:c>
    </x:row>
    <x:row r="419" ht="30" customHeight="1">
      <x:c r="A419" s="19" t="str">
        <x:v>TT10_C05_PC_01</x:v>
      </x:c>
      <x:c r="B419" s="19" t="str">
        <x:v>Conjunto general y montaje</x:v>
      </x:c>
      <x:c r="C419" s="20" t="n">
        <x:v>424</x:v>
      </x:c>
      <x:c r="D419" s="19" t="str">
        <x:v>TT10_PE_WN0</x:v>
      </x:c>
      <x:c r="E419" s="20" t="n">
        <x:v>2</x:v>
      </x:c>
      <x:c r="F419" s="20" t="n">
        <x:v>2</x:v>
      </x:c>
      <x:c r="G419" s="19" t="str">
        <x:v>Compra</x:v>
      </x:c>
      <x:c r="H419" s="19" t="str">
        <x:v>Arandela D16/d8.4/t1.6</x:v>
      </x:c>
      <x:c r="I419" s="19" t="str">
        <x:v>Arandela endurecida 300 HV / ISO 7089</x:v>
      </x:c>
      <x:c r="J419" s="19" t="str">
        <x:v>Cantidades por conjunto; no sumar como total de máquina.</x:v>
      </x:c>
    </x:row>
    <x:row r="420" ht="30" customHeight="1">
      <x:c r="A420" s="17" t="str">
        <x:v>TT10_C05_PC_01</x:v>
      </x:c>
      <x:c r="B420" s="17" t="str">
        <x:v>Conjunto general y montaje</x:v>
      </x:c>
      <x:c r="C420" s="18" t="n">
        <x:v>425</x:v>
      </x:c>
      <x:c r="D420" s="17" t="str">
        <x:v>TT10_PE_WN1</x:v>
      </x:c>
      <x:c r="E420" s="18" t="n">
        <x:v>2</x:v>
      </x:c>
      <x:c r="F420" s="18" t="n">
        <x:v>2</x:v>
      </x:c>
      <x:c r="G420" s="17" t="str">
        <x:v>Compra</x:v>
      </x:c>
      <x:c r="H420" s="17" t="str">
        <x:v>Arandela D16/d8.4/t1.6</x:v>
      </x:c>
      <x:c r="I420" s="17" t="str">
        <x:v>Arandela endurecida 300 HV / ISO 7089</x:v>
      </x:c>
      <x:c r="J420" s="17" t="str">
        <x:v>Cantidades por conjunto; no sumar como total de máquina.</x:v>
      </x:c>
    </x:row>
    <x:row r="421" ht="30" customHeight="1">
      <x:c r="A421" s="19" t="str">
        <x:v>TT10_C05_PC_01</x:v>
      </x:c>
      <x:c r="B421" s="19" t="str">
        <x:v>Conjunto general y montaje</x:v>
      </x:c>
      <x:c r="C421" s="20" t="n">
        <x:v>426</x:v>
      </x:c>
      <x:c r="D421" s="19" t="str">
        <x:v>TT10_PE_WN2</x:v>
      </x:c>
      <x:c r="E421" s="20" t="n">
        <x:v>2</x:v>
      </x:c>
      <x:c r="F421" s="20" t="n">
        <x:v>2</x:v>
      </x:c>
      <x:c r="G421" s="19" t="str">
        <x:v>Compra</x:v>
      </x:c>
      <x:c r="H421" s="19" t="str">
        <x:v>Arandela D16/d8.4/t1.6</x:v>
      </x:c>
      <x:c r="I421" s="19" t="str">
        <x:v>Arandela endurecida 300 HV / ISO 7089</x:v>
      </x:c>
      <x:c r="J421" s="19" t="str">
        <x:v>Cantidades por conjunto; no sumar como total de máquina.</x:v>
      </x:c>
    </x:row>
    <x:row r="422" ht="30" customHeight="1">
      <x:c r="A422" s="17" t="str">
        <x:v>TT10_C05_PC_01</x:v>
      </x:c>
      <x:c r="B422" s="17" t="str">
        <x:v>Conjunto general y montaje</x:v>
      </x:c>
      <x:c r="C422" s="18" t="n">
        <x:v>427</x:v>
      </x:c>
      <x:c r="D422" s="17" t="str">
        <x:v>TT10_PE_WN3</x:v>
      </x:c>
      <x:c r="E422" s="18" t="n">
        <x:v>2</x:v>
      </x:c>
      <x:c r="F422" s="18" t="n">
        <x:v>2</x:v>
      </x:c>
      <x:c r="G422" s="17" t="str">
        <x:v>Compra</x:v>
      </x:c>
      <x:c r="H422" s="17" t="str">
        <x:v>Arandela D16/d8.4/t1.6</x:v>
      </x:c>
      <x:c r="I422" s="17" t="str">
        <x:v>Arandela endurecida 300 HV / ISO 7089</x:v>
      </x:c>
      <x:c r="J422" s="17" t="str">
        <x:v>Cantidades por conjunto; no sumar como total de máquina.</x:v>
      </x:c>
    </x:row>
    <x:row r="423" ht="30" customHeight="1">
      <x:c r="A423" s="19" t="str">
        <x:v>TT10_C05_PC_01</x:v>
      </x:c>
      <x:c r="B423" s="19" t="str">
        <x:v>Conjunto general y montaje</x:v>
      </x:c>
      <x:c r="C423" s="20" t="n">
        <x:v>428</x:v>
      </x:c>
      <x:c r="D423" s="19" t="str">
        <x:v>TT10_PE_WR0</x:v>
      </x:c>
      <x:c r="E423" s="20" t="n">
        <x:v>2</x:v>
      </x:c>
      <x:c r="F423" s="20" t="n">
        <x:v>2</x:v>
      </x:c>
      <x:c r="G423" s="19" t="str">
        <x:v>Compra</x:v>
      </x:c>
      <x:c r="H423" s="19" t="str">
        <x:v>Arandela D20/d10.5/t2</x:v>
      </x:c>
      <x:c r="I423" s="19" t="str">
        <x:v>Arandela endurecida 300 HV / ISO 7089</x:v>
      </x:c>
      <x:c r="J423" s="19" t="str">
        <x:v>Cantidades por conjunto; no sumar como total de máquina.</x:v>
      </x:c>
    </x:row>
    <x:row r="424" ht="30" customHeight="1">
      <x:c r="A424" s="17" t="str">
        <x:v>TT10_C05_PC_01</x:v>
      </x:c>
      <x:c r="B424" s="17" t="str">
        <x:v>Conjunto general y montaje</x:v>
      </x:c>
      <x:c r="C424" s="18" t="n">
        <x:v>429</x:v>
      </x:c>
      <x:c r="D424" s="17" t="str">
        <x:v>TT10_PE_WR1</x:v>
      </x:c>
      <x:c r="E424" s="18" t="n">
        <x:v>2</x:v>
      </x:c>
      <x:c r="F424" s="18" t="n">
        <x:v>2</x:v>
      </x:c>
      <x:c r="G424" s="17" t="str">
        <x:v>Compra</x:v>
      </x:c>
      <x:c r="H424" s="17" t="str">
        <x:v>Arandela D20/d10.5/t2</x:v>
      </x:c>
      <x:c r="I424" s="17" t="str">
        <x:v>Arandela endurecida 300 HV / ISO 7089</x:v>
      </x:c>
      <x:c r="J424" s="17" t="str">
        <x:v>Cantidades por conjunto; no sumar como total de máquina.</x:v>
      </x:c>
    </x:row>
    <x:row r="425" ht="30" customHeight="1">
      <x:c r="A425" s="19" t="str">
        <x:v>TT10_C05_PC_01</x:v>
      </x:c>
      <x:c r="B425" s="19" t="str">
        <x:v>Conjunto general y montaje</x:v>
      </x:c>
      <x:c r="C425" s="20" t="n">
        <x:v>430</x:v>
      </x:c>
      <x:c r="D425" s="19" t="str">
        <x:v>TT10_PUENTE_N</x:v>
      </x:c>
      <x:c r="E425" s="20" t="n">
        <x:v>1</x:v>
      </x:c>
      <x:c r="F425" s="20" t="n">
        <x:v>1</x:v>
      </x:c>
      <x:c r="G425" s="19" t="str">
        <x:v>Fabricación</x:v>
      </x:c>
      <x:c r="H425" s="19" t="str">
        <x:v>Puente guía A36 525 x 125 x 25; recorte 225 x 10 junto al poste</x:v>
      </x:c>
      <x:c r="I425" s="19" t="str">
        <x:v>ASTM A36 t25</x:v>
      </x:c>
      <x:c r="J425" s="19" t="str">
        <x:v>Cantidades por conjunto; no sumar como total de máquina.</x:v>
      </x:c>
    </x:row>
    <x:row r="426" ht="30" customHeight="1">
      <x:c r="A426" s="17" t="str">
        <x:v>TT10_C05_PC_01</x:v>
      </x:c>
      <x:c r="B426" s="17" t="str">
        <x:v>Conjunto general y montaje</x:v>
      </x:c>
      <x:c r="C426" s="18" t="n">
        <x:v>431</x:v>
      </x:c>
      <x:c r="D426" s="17" t="str">
        <x:v>TT10_PUENTE_P</x:v>
      </x:c>
      <x:c r="E426" s="18" t="n">
        <x:v>1</x:v>
      </x:c>
      <x:c r="F426" s="18" t="n">
        <x:v>1</x:v>
      </x:c>
      <x:c r="G426" s="17" t="str">
        <x:v>Fabricación</x:v>
      </x:c>
      <x:c r="H426" s="17" t="str">
        <x:v>Puente guía A36 525 x 125 x 25; recorte 225 x 10 junto al poste</x:v>
      </x:c>
      <x:c r="I426" s="17" t="str">
        <x:v>ASTM A36 t25</x:v>
      </x:c>
      <x:c r="J426" s="17" t="str">
        <x:v>Cantidades por conjunto; no sumar como total de máquina.</x:v>
      </x:c>
    </x:row>
    <x:row r="427" ht="30" customHeight="1">
      <x:c r="A427" s="19" t="str">
        <x:v>TT10_C05_PC_01</x:v>
      </x:c>
      <x:c r="B427" s="19" t="str">
        <x:v>Conjunto general y montaje</x:v>
      </x:c>
      <x:c r="C427" s="20" t="n">
        <x:v>432</x:v>
      </x:c>
      <x:c r="D427" s="19" t="str">
        <x:v>TT10_R6M_BRAZO_SENSOR_N_INSERTADO</x:v>
      </x:c>
      <x:c r="E427" s="20" t="n">
        <x:v>1</x:v>
      </x:c>
      <x:c r="F427" s="20" t="n">
        <x:v>1</x:v>
      </x:c>
      <x:c r="G427" s="19" t="str">
        <x:v>Fabricación</x:v>
      </x:c>
      <x:c r="H427" s="19" t="str">
        <x:v>Brazo fijo de detector; unión soldada a pie sobre larguero</x:v>
      </x:c>
      <x:c r="I427" s="19" t="str">
        <x:v>ASTM A36</x:v>
      </x:c>
      <x:c r="J427" s="19" t="str">
        <x:v>Cantidades por conjunto; no sumar como total de máquina.</x:v>
      </x:c>
    </x:row>
    <x:row r="428" ht="30" customHeight="1">
      <x:c r="A428" s="17" t="str">
        <x:v>TT10_C05_PC_01</x:v>
      </x:c>
      <x:c r="B428" s="17" t="str">
        <x:v>Conjunto general y montaje</x:v>
      </x:c>
      <x:c r="C428" s="18" t="n">
        <x:v>433</x:v>
      </x:c>
      <x:c r="D428" s="17" t="str">
        <x:v>TT10_R6M_BRAZO_SENSOR_N_RETIRADO</x:v>
      </x:c>
      <x:c r="E428" s="18" t="n">
        <x:v>1</x:v>
      </x:c>
      <x:c r="F428" s="18" t="n">
        <x:v>1</x:v>
      </x:c>
      <x:c r="G428" s="17" t="str">
        <x:v>Fabricación</x:v>
      </x:c>
      <x:c r="H428" s="17" t="str">
        <x:v>Brazo fijo de detector; unión soldada a pie sobre larguero</x:v>
      </x:c>
      <x:c r="I428" s="17" t="str">
        <x:v>ASTM A36</x:v>
      </x:c>
      <x:c r="J428" s="17" t="str">
        <x:v>Cantidades por conjunto; no sumar como total de máquina.</x:v>
      </x:c>
    </x:row>
    <x:row r="429" ht="30" customHeight="1">
      <x:c r="A429" s="19" t="str">
        <x:v>TT10_C05_PC_01</x:v>
      </x:c>
      <x:c r="B429" s="19" t="str">
        <x:v>Conjunto general y montaje</x:v>
      </x:c>
      <x:c r="C429" s="20" t="n">
        <x:v>434</x:v>
      </x:c>
      <x:c r="D429" s="19" t="str">
        <x:v>TT10_R6M_BRAZO_SENSOR_P_INSERTADO</x:v>
      </x:c>
      <x:c r="E429" s="20" t="n">
        <x:v>1</x:v>
      </x:c>
      <x:c r="F429" s="20" t="n">
        <x:v>1</x:v>
      </x:c>
      <x:c r="G429" s="19" t="str">
        <x:v>Fabricación</x:v>
      </x:c>
      <x:c r="H429" s="19" t="str">
        <x:v>Brazo fijo de detector; unión soldada a pie sobre larguero</x:v>
      </x:c>
      <x:c r="I429" s="19" t="str">
        <x:v>ASTM A36</x:v>
      </x:c>
      <x:c r="J429" s="19" t="str">
        <x:v>Cantidades por conjunto; no sumar como total de máquina.</x:v>
      </x:c>
    </x:row>
    <x:row r="430" ht="30" customHeight="1">
      <x:c r="A430" s="17" t="str">
        <x:v>TT10_C05_PC_01</x:v>
      </x:c>
      <x:c r="B430" s="17" t="str">
        <x:v>Conjunto general y montaje</x:v>
      </x:c>
      <x:c r="C430" s="18" t="n">
        <x:v>435</x:v>
      </x:c>
      <x:c r="D430" s="17" t="str">
        <x:v>TT10_R6M_BRAZO_SENSOR_P_RETIRADO</x:v>
      </x:c>
      <x:c r="E430" s="18" t="n">
        <x:v>1</x:v>
      </x:c>
      <x:c r="F430" s="18" t="n">
        <x:v>1</x:v>
      </x:c>
      <x:c r="G430" s="17" t="str">
        <x:v>Fabricación</x:v>
      </x:c>
      <x:c r="H430" s="17" t="str">
        <x:v>Brazo fijo de detector; unión soldada a pie sobre larguero</x:v>
      </x:c>
      <x:c r="I430" s="17" t="str">
        <x:v>ASTM A36</x:v>
      </x:c>
      <x:c r="J430" s="17" t="str">
        <x:v>Cantidades por conjunto; no sumar como total de máquina.</x:v>
      </x:c>
    </x:row>
    <x:row r="431" ht="30" customHeight="1">
      <x:c r="A431" s="19" t="str">
        <x:v>TT10_C05_PC_01</x:v>
      </x:c>
      <x:c r="B431" s="19" t="str">
        <x:v>Conjunto general y montaje</x:v>
      </x:c>
      <x:c r="C431" s="20" t="n">
        <x:v>436</x:v>
      </x:c>
      <x:c r="D431" s="19" t="str">
        <x:v>TT10_R6M_CHAVETA_FRENO_TIMON</x:v>
      </x:c>
      <x:c r="E431" s="20" t="n">
        <x:v>1</x:v>
      </x:c>
      <x:c r="F431" s="20" t="n">
        <x:v>1</x:v>
      </x:c>
      <x:c r="G431" s="19" t="str">
        <x:v>Compra</x:v>
      </x:c>
      <x:c r="H431" s="19" t="str">
        <x:v>ChavetaDIN6885/1 8x7x25 C45E</x:v>
      </x:c>
      <x:c r="I431" s="19" t="str">
        <x:v>AISI 4140 bonificado</x:v>
      </x:c>
      <x:c r="J431" s="19" t="str">
        <x:v>Cantidades por conjunto; no sumar como total de máquina.</x:v>
      </x:c>
    </x:row>
    <x:row r="432" ht="30" customHeight="1">
      <x:c r="A432" s="17" t="str">
        <x:v>TT10_C05_PC_01</x:v>
      </x:c>
      <x:c r="B432" s="17" t="str">
        <x:v>Conjunto general y montaje</x:v>
      </x:c>
      <x:c r="C432" s="18" t="n">
        <x:v>437</x:v>
      </x:c>
      <x:c r="D432" s="17" t="str">
        <x:v>TT10_R6M_CUBO_FRENO_TIMON</x:v>
      </x:c>
      <x:c r="E432" s="18" t="n">
        <x:v>1</x:v>
      </x:c>
      <x:c r="F432" s="18" t="n">
        <x:v>1</x:v>
      </x:c>
      <x:c r="G432" s="17" t="str">
        <x:v>Compra</x:v>
      </x:c>
      <x:c r="H432" s="17" t="str">
        <x:v>Cubo comercial simplificado: Ø30H7,8JS9;L25; verificar suministro con referencia mayr</x:v>
      </x:c>
      <x:c r="I432" s="17" t="str">
        <x:v>AISI 4140 bonificado</x:v>
      </x:c>
      <x:c r="J432" s="17" t="str">
        <x:v>Cantidades por conjunto; no sumar como total de máquina.</x:v>
      </x:c>
    </x:row>
    <x:row r="433" ht="30" customHeight="1">
      <x:c r="A433" s="19" t="str">
        <x:v>TT10_C05_PC_01</x:v>
      </x:c>
      <x:c r="B433" s="19" t="str">
        <x:v>Conjunto general y montaje</x:v>
      </x:c>
      <x:c r="C433" s="20" t="n">
        <x:v>438</x:v>
      </x:c>
      <x:c r="D433" s="19" t="str">
        <x:v>TT10_R6M_IE5338_N_INSERTADO</x:v>
      </x:c>
      <x:c r="E433" s="20" t="n">
        <x:v>1</x:v>
      </x:c>
      <x:c r="F433" s="20" t="n">
        <x:v>1</x:v>
      </x:c>
      <x:c r="G433" s="19" t="str">
        <x:v>Compra</x:v>
      </x:c>
      <x:c r="H433" s="19" t="str">
        <x:v>ifmIE5338,M8x1L40,SN3mm;N INSERTADO</x:v>
      </x:c>
      <x:c r="I433" s="19" t="str">
        <x:v>Conjunto comercial ifm</x:v>
      </x:c>
      <x:c r="J433" s="19" t="str">
        <x:v>Cantidades por conjunto; no sumar como total de máquina.</x:v>
      </x:c>
    </x:row>
    <x:row r="434" ht="30" customHeight="1">
      <x:c r="A434" s="17" t="str">
        <x:v>TT10_C05_PC_01</x:v>
      </x:c>
      <x:c r="B434" s="17" t="str">
        <x:v>Conjunto general y montaje</x:v>
      </x:c>
      <x:c r="C434" s="18" t="n">
        <x:v>439</x:v>
      </x:c>
      <x:c r="D434" s="17" t="str">
        <x:v>TT10_R6M_IE5338_N_RETIRADO</x:v>
      </x:c>
      <x:c r="E434" s="18" t="n">
        <x:v>1</x:v>
      </x:c>
      <x:c r="F434" s="18" t="n">
        <x:v>1</x:v>
      </x:c>
      <x:c r="G434" s="17" t="str">
        <x:v>Compra</x:v>
      </x:c>
      <x:c r="H434" s="17" t="str">
        <x:v>ifmIE5338,M8x1L40,SN3mm;N RETIRADO</x:v>
      </x:c>
      <x:c r="I434" s="17" t="str">
        <x:v>Conjunto comercial ifm</x:v>
      </x:c>
      <x:c r="J434" s="17" t="str">
        <x:v>Cantidades por conjunto; no sumar como total de máquina.</x:v>
      </x:c>
    </x:row>
    <x:row r="435" ht="30" customHeight="1">
      <x:c r="A435" s="19" t="str">
        <x:v>TT10_C05_PC_01</x:v>
      </x:c>
      <x:c r="B435" s="19" t="str">
        <x:v>Conjunto general y montaje</x:v>
      </x:c>
      <x:c r="C435" s="20" t="n">
        <x:v>440</x:v>
      </x:c>
      <x:c r="D435" s="19" t="str">
        <x:v>TT10_R6M_IE5338_P_INSERTADO</x:v>
      </x:c>
      <x:c r="E435" s="20" t="n">
        <x:v>1</x:v>
      </x:c>
      <x:c r="F435" s="20" t="n">
        <x:v>1</x:v>
      </x:c>
      <x:c r="G435" s="19" t="str">
        <x:v>Compra</x:v>
      </x:c>
      <x:c r="H435" s="19" t="str">
        <x:v>ifmIE5338,M8x1L40,SN3mm;P INSERTADO</x:v>
      </x:c>
      <x:c r="I435" s="19" t="str">
        <x:v>Conjunto comercial ifm</x:v>
      </x:c>
      <x:c r="J435" s="19" t="str">
        <x:v>Cantidades por conjunto; no sumar como total de máquina.</x:v>
      </x:c>
    </x:row>
    <x:row r="436" ht="30" customHeight="1">
      <x:c r="A436" s="17" t="str">
        <x:v>TT10_C05_PC_01</x:v>
      </x:c>
      <x:c r="B436" s="17" t="str">
        <x:v>Conjunto general y montaje</x:v>
      </x:c>
      <x:c r="C436" s="18" t="n">
        <x:v>441</x:v>
      </x:c>
      <x:c r="D436" s="17" t="str">
        <x:v>TT10_R6M_IE5338_P_RETIRADO</x:v>
      </x:c>
      <x:c r="E436" s="18" t="n">
        <x:v>1</x:v>
      </x:c>
      <x:c r="F436" s="18" t="n">
        <x:v>1</x:v>
      </x:c>
      <x:c r="G436" s="17" t="str">
        <x:v>Compra</x:v>
      </x:c>
      <x:c r="H436" s="17" t="str">
        <x:v>ifmIE5338,M8x1L40,SN3mm;P RETIRADO</x:v>
      </x:c>
      <x:c r="I436" s="17" t="str">
        <x:v>Conjunto comercial ifm</x:v>
      </x:c>
      <x:c r="J436" s="17" t="str">
        <x:v>Cantidades por conjunto; no sumar como total de máquina.</x:v>
      </x:c>
    </x:row>
    <x:row r="437" ht="30" customHeight="1">
      <x:c r="A437" s="19" t="str">
        <x:v>TT10_C05_PC_01</x:v>
      </x:c>
      <x:c r="B437" s="19" t="str">
        <x:v>Conjunto general y montaje</x:v>
      </x:c>
      <x:c r="C437" s="20" t="n">
        <x:v>442</x:v>
      </x:c>
      <x:c r="D437" s="19" t="str">
        <x:v>TT10_R6M_MAYR_32</x:v>
      </x:c>
      <x:c r="E437" s="20" t="n">
        <x:v>1</x:v>
      </x:c>
      <x:c r="F437" s="20" t="n">
        <x:v>1</x:v>
      </x:c>
      <x:c r="G437" s="19" t="str">
        <x:v>Compra</x:v>
      </x:c>
      <x:c r="H437" s="19" t="str">
        <x:v>mayr32/891.101.0/24/30/6885/1 JS9;64Nm; rotor metálico; liberación manual</x:v>
      </x:c>
      <x:c r="I437" s="19" t="str">
        <x:v>Conjunto comercial mayr</x:v>
      </x:c>
      <x:c r="J437" s="19" t="str">
        <x:v>Cantidades por conjunto; no sumar como total de máquina.</x:v>
      </x:c>
    </x:row>
    <x:row r="438" ht="30" customHeight="1">
      <x:c r="A438" s="17" t="str">
        <x:v>TT10_C05_PC_01</x:v>
      </x:c>
      <x:c r="B438" s="17" t="str">
        <x:v>Conjunto general y montaje</x:v>
      </x:c>
      <x:c r="C438" s="18" t="n">
        <x:v>443</x:v>
      </x:c>
      <x:c r="D438" s="17" t="str">
        <x:v>TT10_R6M_PEDESTAL_FRENO</x:v>
      </x:c>
      <x:c r="E438" s="18" t="n">
        <x:v>1</x:v>
      </x:c>
      <x:c r="F438" s="18" t="n">
        <x:v>1</x:v>
      </x:c>
      <x:c r="G438" s="17" t="str">
        <x:v>Fabricación</x:v>
      </x:c>
      <x:c r="H438" s="17" t="str">
        <x:v>Travesaño108x40x10 entre caras interiores del poste existente; soldadura a3,40mm por extremo</x:v>
      </x:c>
      <x:c r="I438" s="17" t="str">
        <x:v>ASTM A36</x:v>
      </x:c>
      <x:c r="J438" s="17" t="str">
        <x:v>Cantidades por conjunto; no sumar como total de máquina.</x:v>
      </x:c>
    </x:row>
    <x:row r="439" ht="30" customHeight="1">
      <x:c r="A439" s="19" t="str">
        <x:v>TT10_C05_PC_01</x:v>
      </x:c>
      <x:c r="B439" s="19" t="str">
        <x:v>Conjunto general y montaje</x:v>
      </x:c>
      <x:c r="C439" s="20" t="n">
        <x:v>444</x:v>
      </x:c>
      <x:c r="D439" s="19" t="str">
        <x:v>TT10_R6M_PIE_SENSORES_N</x:v>
      </x:c>
      <x:c r="E439" s="20" t="n">
        <x:v>1</x:v>
      </x:c>
      <x:c r="F439" s="20" t="n">
        <x:v>1</x:v>
      </x:c>
      <x:c r="G439" s="19" t="str">
        <x:v>Fabricación</x:v>
      </x:c>
      <x:c r="H439" s="19" t="str">
        <x:v>Pie12 sobre cara superior del larguero; soldadura a3,20mm por ambas caras</x:v>
      </x:c>
      <x:c r="I439" s="19" t="str">
        <x:v>ASTM A36</x:v>
      </x:c>
      <x:c r="J439" s="19" t="str">
        <x:v>Cantidades por conjunto; no sumar como total de máquina.</x:v>
      </x:c>
    </x:row>
    <x:row r="440" ht="30" customHeight="1">
      <x:c r="A440" s="17" t="str">
        <x:v>TT10_C05_PC_01</x:v>
      </x:c>
      <x:c r="B440" s="17" t="str">
        <x:v>Conjunto general y montaje</x:v>
      </x:c>
      <x:c r="C440" s="18" t="n">
        <x:v>445</x:v>
      </x:c>
      <x:c r="D440" s="17" t="str">
        <x:v>TT10_R6M_PIE_SENSORES_P</x:v>
      </x:c>
      <x:c r="E440" s="18" t="n">
        <x:v>1</x:v>
      </x:c>
      <x:c r="F440" s="18" t="n">
        <x:v>1</x:v>
      </x:c>
      <x:c r="G440" s="17" t="str">
        <x:v>Fabricación</x:v>
      </x:c>
      <x:c r="H440" s="17" t="str">
        <x:v>Pie12 sobre cara superior del larguero; soldadura a3,20mm por ambas caras</x:v>
      </x:c>
      <x:c r="I440" s="17" t="str">
        <x:v>ASTM A36</x:v>
      </x:c>
      <x:c r="J440" s="17" t="str">
        <x:v>Cantidades por conjunto; no sumar como total de máquina.</x:v>
      </x:c>
    </x:row>
    <x:row r="441" ht="30" customHeight="1">
      <x:c r="A441" s="19" t="str">
        <x:v>TT10_C05_PC_01</x:v>
      </x:c>
      <x:c r="B441" s="19" t="str">
        <x:v>Conjunto general y montaje</x:v>
      </x:c>
      <x:c r="C441" s="20" t="n">
        <x:v>446</x:v>
      </x:c>
      <x:c r="D441" s="19" t="str">
        <x:v>TT10_R6M_PLACA_FRENO_TIMON</x:v>
      </x:c>
      <x:c r="E441" s="20" t="n">
        <x:v>1</x:v>
      </x:c>
      <x:c r="F441" s="20" t="n">
        <x:v>1</x:v>
      </x:c>
      <x:c r="G441" s="19" t="str">
        <x:v>Fabricación</x:v>
      </x:c>
      <x:c r="H441" s="19" t="str">
        <x:v>Placa12, caraX1127; centrado y3M6PCD132; sujeción a pedestal por cartelas</x:v>
      </x:c>
      <x:c r="I441" s="19" t="str">
        <x:v>ASTM A36</x:v>
      </x:c>
      <x:c r="J441" s="19" t="str">
        <x:v>Cantidades por conjunto; no sumar como total de máquina.</x:v>
      </x:c>
    </x:row>
    <x:row r="442" ht="30" customHeight="1">
      <x:c r="A442" s="17" t="str">
        <x:v>TT10_C05_PC_01</x:v>
      </x:c>
      <x:c r="B442" s="17" t="str">
        <x:v>Conjunto general y montaje</x:v>
      </x:c>
      <x:c r="C442" s="18" t="n">
        <x:v>447</x:v>
      </x:c>
      <x:c r="D442" s="17" t="str">
        <x:v>TT10_R6M_SOP_SENSOR_N_INSERTADO</x:v>
      </x:c>
      <x:c r="E442" s="18" t="n">
        <x:v>1</x:v>
      </x:c>
      <x:c r="F442" s="18" t="n">
        <x:v>1</x:v>
      </x:c>
      <x:c r="G442" s="17" t="str">
        <x:v>Fabricación</x:v>
      </x:c>
      <x:c r="H442" s="17" t="str">
        <x:v>Escuadra6;taladroØ8.5 para sensorM8;frente de detección a1mm del blanco</x:v>
      </x:c>
      <x:c r="I442" s="17" t="str">
        <x:v>ASTM A36</x:v>
      </x:c>
      <x:c r="J442" s="17" t="str">
        <x:v>Cantidades por conjunto; no sumar como total de máquina.</x:v>
      </x:c>
    </x:row>
    <x:row r="443" ht="30" customHeight="1">
      <x:c r="A443" s="19" t="str">
        <x:v>TT10_C05_PC_01</x:v>
      </x:c>
      <x:c r="B443" s="19" t="str">
        <x:v>Conjunto general y montaje</x:v>
      </x:c>
      <x:c r="C443" s="20" t="n">
        <x:v>448</x:v>
      </x:c>
      <x:c r="D443" s="19" t="str">
        <x:v>TT10_R6M_SOP_SENSOR_N_RETIRADO</x:v>
      </x:c>
      <x:c r="E443" s="20" t="n">
        <x:v>1</x:v>
      </x:c>
      <x:c r="F443" s="20" t="n">
        <x:v>1</x:v>
      </x:c>
      <x:c r="G443" s="19" t="str">
        <x:v>Fabricación</x:v>
      </x:c>
      <x:c r="H443" s="19" t="str">
        <x:v>Escuadra6;taladroØ8.5 para sensorM8;frente de detección a1mm del blanco</x:v>
      </x:c>
      <x:c r="I443" s="19" t="str">
        <x:v>ASTM A36</x:v>
      </x:c>
      <x:c r="J443" s="19" t="str">
        <x:v>Cantidades por conjunto; no sumar como total de máquina.</x:v>
      </x:c>
    </x:row>
    <x:row r="444" ht="30" customHeight="1">
      <x:c r="A444" s="17" t="str">
        <x:v>TT10_C05_PC_01</x:v>
      </x:c>
      <x:c r="B444" s="17" t="str">
        <x:v>Conjunto general y montaje</x:v>
      </x:c>
      <x:c r="C444" s="18" t="n">
        <x:v>449</x:v>
      </x:c>
      <x:c r="D444" s="17" t="str">
        <x:v>TT10_R6M_SOP_SENSOR_P_INSERTADO</x:v>
      </x:c>
      <x:c r="E444" s="18" t="n">
        <x:v>1</x:v>
      </x:c>
      <x:c r="F444" s="18" t="n">
        <x:v>1</x:v>
      </x:c>
      <x:c r="G444" s="17" t="str">
        <x:v>Fabricación</x:v>
      </x:c>
      <x:c r="H444" s="17" t="str">
        <x:v>Escuadra6;taladroØ8.5 para sensorM8;frente de detección a1mm del blanco</x:v>
      </x:c>
      <x:c r="I444" s="17" t="str">
        <x:v>ASTM A36</x:v>
      </x:c>
      <x:c r="J444" s="17" t="str">
        <x:v>Cantidades por conjunto; no sumar como total de máquina.</x:v>
      </x:c>
    </x:row>
    <x:row r="445" ht="30" customHeight="1">
      <x:c r="A445" s="19" t="str">
        <x:v>TT10_C05_PC_01</x:v>
      </x:c>
      <x:c r="B445" s="19" t="str">
        <x:v>Conjunto general y montaje</x:v>
      </x:c>
      <x:c r="C445" s="20" t="n">
        <x:v>450</x:v>
      </x:c>
      <x:c r="D445" s="19" t="str">
        <x:v>TT10_R6M_SOP_SENSOR_P_RETIRADO</x:v>
      </x:c>
      <x:c r="E445" s="20" t="n">
        <x:v>1</x:v>
      </x:c>
      <x:c r="F445" s="20" t="n">
        <x:v>1</x:v>
      </x:c>
      <x:c r="G445" s="19" t="str">
        <x:v>Fabricación</x:v>
      </x:c>
      <x:c r="H445" s="19" t="str">
        <x:v>Escuadra6;taladroØ8.5 para sensorM8;frente de detección a1mm del blanco</x:v>
      </x:c>
      <x:c r="I445" s="19" t="str">
        <x:v>ASTM A36</x:v>
      </x:c>
      <x:c r="J445" s="19" t="str">
        <x:v>Cantidades por conjunto; no sumar como total de máquina.</x:v>
      </x:c>
    </x:row>
    <x:row r="446" ht="30" customHeight="1">
      <x:c r="A446" s="17" t="str">
        <x:v>TT10_C05_PC_01</x:v>
      </x:c>
      <x:c r="B446" s="17" t="str">
        <x:v>Conjunto general y montaje</x:v>
      </x:c>
      <x:c r="C446" s="18" t="n">
        <x:v>451</x:v>
      </x:c>
      <x:c r="D446" s="17" t="str">
        <x:v>TT10_SEN_B6_P0</x:v>
      </x:c>
      <x:c r="E446" s="18" t="n">
        <x:v>4</x:v>
      </x:c>
      <x:c r="F446" s="18" t="n">
        <x:v>4</x:v>
      </x:c>
      <x:c r="G446" s="17" t="str">
        <x:v>Compra</x:v>
      </x:c>
      <x:c r="H446" s="17" t="str">
        <x:v>Tornillo ISO4762 M6x16 8.8, cabeza D10 H6, hexágono5; rosca nominal</x:v>
      </x:c>
      <x:c r="I446" s="17" t="str">
        <x:v>Clase 8.8 / ISO 898-1</x:v>
      </x:c>
      <x:c r="J446" s="17" t="str">
        <x:v>Cantidades por conjunto; no sumar como total de máquina.</x:v>
      </x:c>
    </x:row>
    <x:row r="447" ht="30" customHeight="1">
      <x:c r="A447" s="19" t="str">
        <x:v>TT10_C05_PC_01</x:v>
      </x:c>
      <x:c r="B447" s="19" t="str">
        <x:v>Conjunto general y montaje</x:v>
      </x:c>
      <x:c r="C447" s="20" t="n">
        <x:v>452</x:v>
      </x:c>
      <x:c r="D447" s="19" t="str">
        <x:v>TT10_SEN_P_IN</x:v>
      </x:c>
      <x:c r="E447" s="20" t="n">
        <x:v>4</x:v>
      </x:c>
      <x:c r="F447" s="20" t="n">
        <x:v>4</x:v>
      </x:c>
      <x:c r="G447" s="19" t="str">
        <x:v>Compra</x:v>
      </x:c>
      <x:c r="H447" s="19" t="str">
        <x:v>IFM IE5338 M8x1 L40, Sn3, NO PNP/NPN, 10-30VDC; incluye dos contratuercas</x:v>
      </x:c>
      <x:c r="I447" s="19" t="str">
        <x:v>Conjunto comercial IFM; latón y polímeros</x:v>
      </x:c>
      <x:c r="J447" s="19" t="str">
        <x:v>Cantidades por conjunto; no sumar como total de máquina.</x:v>
      </x:c>
    </x:row>
    <x:row r="448" ht="30" customHeight="1">
      <x:c r="A448" s="17" t="str">
        <x:v>TT10_C05_PC_01</x:v>
      </x:c>
      <x:c r="B448" s="17" t="str">
        <x:v>Conjunto general y montaje</x:v>
      </x:c>
      <x:c r="C448" s="18" t="n">
        <x:v>453</x:v>
      </x:c>
      <x:c r="D448" s="17" t="str">
        <x:v>TT10_SEN_SOP_P</x:v>
      </x:c>
      <x:c r="E448" s="18" t="n">
        <x:v>2</x:v>
      </x:c>
      <x:c r="F448" s="18" t="n">
        <x:v>2</x:v>
      </x:c>
      <x:c r="G448" s="17" t="str">
        <x:v>Fabricación</x:v>
      </x:c>
      <x:c r="H448" s="17" t="str">
        <x:v>Soporte soldado desmontable: carril6x40x229 y pie4x40x16.5; dos M6x16; dos D8.5</x:v>
      </x:c>
      <x:c r="I448" s="17" t="str">
        <x:v>ASTM A36</x:v>
      </x:c>
      <x:c r="J448" s="17" t="str">
        <x:v>Cantidades por conjunto; no sumar como total de máquina.</x:v>
      </x:c>
    </x:row>
    <x:row r="449" ht="30" customHeight="1">
      <x:c r="A449" s="19" t="str">
        <x:v>TT10_C05_PC_01</x:v>
      </x:c>
      <x:c r="B449" s="19" t="str">
        <x:v>Conjunto general y montaje</x:v>
      </x:c>
      <x:c r="C449" s="20" t="n">
        <x:v>454</x:v>
      </x:c>
      <x:c r="D449" s="19" t="str">
        <x:v>TT10_TIR_N1</x:v>
      </x:c>
      <x:c r="E449" s="20" t="n">
        <x:v>1</x:v>
      </x:c>
      <x:c r="F449" s="20" t="n">
        <x:v>1</x:v>
      </x:c>
      <x:c r="G449" s="19" t="str">
        <x:v>Compra</x:v>
      </x:c>
      <x:c r="H449" s="19" t="str">
        <x:v>Tirante M20 propuesto, L380; rosca simplificada</x:v>
      </x:c>
      <x:c r="I449" s="19" t="str">
        <x:v>ASTM A36</x:v>
      </x:c>
      <x:c r="J449" s="19" t="str">
        <x:v>Cantidades por conjunto; no sumar como total de máquina.</x:v>
      </x:c>
    </x:row>
    <x:row r="450" ht="30" customHeight="1">
      <x:c r="A450" s="17" t="str">
        <x:v>TT10_C05_PC_01</x:v>
      </x:c>
      <x:c r="B450" s="17" t="str">
        <x:v>Conjunto general y montaje</x:v>
      </x:c>
      <x:c r="C450" s="18" t="n">
        <x:v>455</x:v>
      </x:c>
      <x:c r="D450" s="17" t="str">
        <x:v>TT10_TIR_N2</x:v>
      </x:c>
      <x:c r="E450" s="18" t="n">
        <x:v>1</x:v>
      </x:c>
      <x:c r="F450" s="18" t="n">
        <x:v>1</x:v>
      </x:c>
      <x:c r="G450" s="17" t="str">
        <x:v>Compra</x:v>
      </x:c>
      <x:c r="H450" s="17" t="str">
        <x:v>Tirante M20 propuesto, L380; rosca simplificada</x:v>
      </x:c>
      <x:c r="I450" s="17" t="str">
        <x:v>ASTM A36</x:v>
      </x:c>
      <x:c r="J450" s="17" t="str">
        <x:v>Cantidades por conjunto; no sumar como total de máquina.</x:v>
      </x:c>
    </x:row>
    <x:row r="451" ht="30" customHeight="1">
      <x:c r="A451" s="19" t="str">
        <x:v>TT10_C05_PC_01</x:v>
      </x:c>
      <x:c r="B451" s="19" t="str">
        <x:v>Conjunto general y montaje</x:v>
      </x:c>
      <x:c r="C451" s="20" t="n">
        <x:v>456</x:v>
      </x:c>
      <x:c r="D451" s="19" t="str">
        <x:v>TT10_TIR_N3</x:v>
      </x:c>
      <x:c r="E451" s="20" t="n">
        <x:v>1</x:v>
      </x:c>
      <x:c r="F451" s="20" t="n">
        <x:v>1</x:v>
      </x:c>
      <x:c r="G451" s="19" t="str">
        <x:v>Compra</x:v>
      </x:c>
      <x:c r="H451" s="19" t="str">
        <x:v>Tirante M20 propuesto, L380; rosca simplificada</x:v>
      </x:c>
      <x:c r="I451" s="19" t="str">
        <x:v>ASTM A36</x:v>
      </x:c>
      <x:c r="J451" s="19" t="str">
        <x:v>Cantidades por conjunto; no sumar como total de máquina.</x:v>
      </x:c>
    </x:row>
    <x:row r="452" ht="30" customHeight="1">
      <x:c r="A452" s="17" t="str">
        <x:v>TT10_C05_PC_01</x:v>
      </x:c>
      <x:c r="B452" s="17" t="str">
        <x:v>Conjunto general y montaje</x:v>
      </x:c>
      <x:c r="C452" s="18" t="n">
        <x:v>457</x:v>
      </x:c>
      <x:c r="D452" s="17" t="str">
        <x:v>TT10_TIR_N4</x:v>
      </x:c>
      <x:c r="E452" s="18" t="n">
        <x:v>1</x:v>
      </x:c>
      <x:c r="F452" s="18" t="n">
        <x:v>1</x:v>
      </x:c>
      <x:c r="G452" s="17" t="str">
        <x:v>Compra</x:v>
      </x:c>
      <x:c r="H452" s="17" t="str">
        <x:v>Tirante M20 propuesto, L380; rosca simplificada</x:v>
      </x:c>
      <x:c r="I452" s="17" t="str">
        <x:v>ASTM A36</x:v>
      </x:c>
      <x:c r="J452" s="17" t="str">
        <x:v>Cantidades por conjunto; no sumar como total de máquina.</x:v>
      </x:c>
    </x:row>
    <x:row r="453" ht="30" customHeight="1">
      <x:c r="A453" s="19" t="str">
        <x:v>TT10_C05_PC_01</x:v>
      </x:c>
      <x:c r="B453" s="19" t="str">
        <x:v>Conjunto general y montaje</x:v>
      </x:c>
      <x:c r="C453" s="20" t="n">
        <x:v>458</x:v>
      </x:c>
      <x:c r="D453" s="19" t="str">
        <x:v>TT10_TIR_P1</x:v>
      </x:c>
      <x:c r="E453" s="20" t="n">
        <x:v>1</x:v>
      </x:c>
      <x:c r="F453" s="20" t="n">
        <x:v>1</x:v>
      </x:c>
      <x:c r="G453" s="19" t="str">
        <x:v>Fabricación</x:v>
      </x:c>
      <x:c r="H453" s="19" t="str">
        <x:v>Tirante M20 propuesto, L380; rosca simplificada</x:v>
      </x:c>
      <x:c r="I453" s="19" t="str">
        <x:v>ASTM A36</x:v>
      </x:c>
      <x:c r="J453" s="19" t="str">
        <x:v>Cantidades por conjunto; no sumar como total de máquina.</x:v>
      </x:c>
    </x:row>
    <x:row r="454" ht="30" customHeight="1">
      <x:c r="A454" s="17" t="str">
        <x:v>TT10_C05_PC_01</x:v>
      </x:c>
      <x:c r="B454" s="17" t="str">
        <x:v>Conjunto general y montaje</x:v>
      </x:c>
      <x:c r="C454" s="18" t="n">
        <x:v>459</x:v>
      </x:c>
      <x:c r="D454" s="17" t="str">
        <x:v>TT10_TIR_P2</x:v>
      </x:c>
      <x:c r="E454" s="18" t="n">
        <x:v>1</x:v>
      </x:c>
      <x:c r="F454" s="18" t="n">
        <x:v>1</x:v>
      </x:c>
      <x:c r="G454" s="17" t="str">
        <x:v>Fabricación</x:v>
      </x:c>
      <x:c r="H454" s="17" t="str">
        <x:v>Tirante M20 propuesto, L380; rosca simplificada</x:v>
      </x:c>
      <x:c r="I454" s="17" t="str">
        <x:v>ASTM A36</x:v>
      </x:c>
      <x:c r="J454" s="17" t="str">
        <x:v>Cantidades por conjunto; no sumar como total de máquina.</x:v>
      </x:c>
    </x:row>
    <x:row r="455" ht="30" customHeight="1">
      <x:c r="A455" s="19" t="str">
        <x:v>TT10_C05_PC_01</x:v>
      </x:c>
      <x:c r="B455" s="19" t="str">
        <x:v>Conjunto general y montaje</x:v>
      </x:c>
      <x:c r="C455" s="20" t="n">
        <x:v>460</x:v>
      </x:c>
      <x:c r="D455" s="19" t="str">
        <x:v>TT10_TIR_P3</x:v>
      </x:c>
      <x:c r="E455" s="20" t="n">
        <x:v>1</x:v>
      </x:c>
      <x:c r="F455" s="20" t="n">
        <x:v>1</x:v>
      </x:c>
      <x:c r="G455" s="19" t="str">
        <x:v>Fabricación</x:v>
      </x:c>
      <x:c r="H455" s="19" t="str">
        <x:v>Tirante M20 propuesto, L380; rosca simplificada</x:v>
      </x:c>
      <x:c r="I455" s="19" t="str">
        <x:v>ASTM A36</x:v>
      </x:c>
      <x:c r="J455" s="19" t="str">
        <x:v>Cantidades por conjunto; no sumar como total de máquina.</x:v>
      </x:c>
    </x:row>
    <x:row r="456" ht="30" customHeight="1">
      <x:c r="A456" s="17" t="str">
        <x:v>TT10_C05_PC_01</x:v>
      </x:c>
      <x:c r="B456" s="17" t="str">
        <x:v>Conjunto general y montaje</x:v>
      </x:c>
      <x:c r="C456" s="18" t="n">
        <x:v>461</x:v>
      </x:c>
      <x:c r="D456" s="17" t="str">
        <x:v>TT10_TIR_P4</x:v>
      </x:c>
      <x:c r="E456" s="18" t="n">
        <x:v>1</x:v>
      </x:c>
      <x:c r="F456" s="18" t="n">
        <x:v>1</x:v>
      </x:c>
      <x:c r="G456" s="17" t="str">
        <x:v>Fabricación</x:v>
      </x:c>
      <x:c r="H456" s="17" t="str">
        <x:v>Tirante M20 propuesto, L380; rosca simplificada</x:v>
      </x:c>
      <x:c r="I456" s="17" t="str">
        <x:v>ASTM A36</x:v>
      </x:c>
      <x:c r="J456" s="17" t="str">
        <x:v>Cantidades por conjunto; no sumar como total de máquina.</x:v>
      </x:c>
    </x:row>
    <x:row r="457" ht="30" customHeight="1">
      <x:c r="A457" s="19" t="str">
        <x:v>TT10_C05_PC_01</x:v>
      </x:c>
      <x:c r="B457" s="19" t="str">
        <x:v>Conjunto general y montaje</x:v>
      </x:c>
      <x:c r="C457" s="20" t="n">
        <x:v>462</x:v>
      </x:c>
      <x:c r="D457" s="19" t="str">
        <x:v>TT10_TM_ARANDELA16</x:v>
      </x:c>
      <x:c r="E457" s="20" t="n">
        <x:v>1</x:v>
      </x:c>
      <x:c r="F457" s="20" t="n">
        <x:v>1</x:v>
      </x:c>
      <x:c r="G457" s="19" t="str">
        <x:v>Compra</x:v>
      </x:c>
      <x:c r="H457" s="19" t="str">
        <x:v>Arandela de retención D44/d17/t4</x:v>
      </x:c>
      <x:c r="I457" s="19" t="str">
        <x:v>Arandela endurecida 300 HV / ISO 7089</x:v>
      </x:c>
      <x:c r="J457" s="19" t="str">
        <x:v>Cantidades por conjunto; no sumar como total de máquina.</x:v>
      </x:c>
    </x:row>
    <x:row r="458" ht="30" customHeight="1">
      <x:c r="A458" s="17" t="str">
        <x:v>TT10_C05_PC_01</x:v>
      </x:c>
      <x:c r="B458" s="17" t="str">
        <x:v>Conjunto general y montaje</x:v>
      </x:c>
      <x:c r="C458" s="18" t="n">
        <x:v>463</x:v>
      </x:c>
      <x:c r="D458" s="17" t="str">
        <x:v>TT10_TM_B12_0</x:v>
      </x:c>
      <x:c r="E458" s="18" t="n">
        <x:v>1</x:v>
      </x:c>
      <x:c r="F458" s="18" t="n">
        <x:v>1</x:v>
      </x:c>
      <x:c r="G458" s="17" t="str">
        <x:v>Compra</x:v>
      </x:c>
      <x:c r="H458" s="17" t="str">
        <x:v>Tornillo M12x40 8.8, s18, rosca nominal; enganche20.5mm en placa</x:v>
      </x:c>
      <x:c r="I458" s="17" t="str">
        <x:v>Clase 8.8 / ISO 898-1</x:v>
      </x:c>
      <x:c r="J458" s="17" t="str">
        <x:v>Cantidades por conjunto; no sumar como total de máquina.</x:v>
      </x:c>
    </x:row>
    <x:row r="459" ht="30" customHeight="1">
      <x:c r="A459" s="19" t="str">
        <x:v>TT10_C05_PC_01</x:v>
      </x:c>
      <x:c r="B459" s="19" t="str">
        <x:v>Conjunto general y montaje</x:v>
      </x:c>
      <x:c r="C459" s="20" t="n">
        <x:v>464</x:v>
      </x:c>
      <x:c r="D459" s="19" t="str">
        <x:v>TT10_TM_B12_1</x:v>
      </x:c>
      <x:c r="E459" s="20" t="n">
        <x:v>1</x:v>
      </x:c>
      <x:c r="F459" s="20" t="n">
        <x:v>1</x:v>
      </x:c>
      <x:c r="G459" s="19" t="str">
        <x:v>Compra</x:v>
      </x:c>
      <x:c r="H459" s="19" t="str">
        <x:v>Tornillo M12x40 8.8, s18, rosca nominal; enganche20.5mm en placa</x:v>
      </x:c>
      <x:c r="I459" s="19" t="str">
        <x:v>Clase 8.8 / ISO 898-1</x:v>
      </x:c>
      <x:c r="J459" s="19" t="str">
        <x:v>Cantidades por conjunto; no sumar como total de máquina.</x:v>
      </x:c>
    </x:row>
    <x:row r="460" ht="30" customHeight="1">
      <x:c r="A460" s="17" t="str">
        <x:v>TT10_C05_PC_01</x:v>
      </x:c>
      <x:c r="B460" s="17" t="str">
        <x:v>Conjunto general y montaje</x:v>
      </x:c>
      <x:c r="C460" s="18" t="n">
        <x:v>465</x:v>
      </x:c>
      <x:c r="D460" s="17" t="str">
        <x:v>TT10_TM_B12_2</x:v>
      </x:c>
      <x:c r="E460" s="18" t="n">
        <x:v>1</x:v>
      </x:c>
      <x:c r="F460" s="18" t="n">
        <x:v>1</x:v>
      </x:c>
      <x:c r="G460" s="17" t="str">
        <x:v>Compra</x:v>
      </x:c>
      <x:c r="H460" s="17" t="str">
        <x:v>Tornillo M12x40 8.8, s18, rosca nominal; enganche20.5mm en placa</x:v>
      </x:c>
      <x:c r="I460" s="17" t="str">
        <x:v>Clase 8.8 / ISO 898-1</x:v>
      </x:c>
      <x:c r="J460" s="17" t="str">
        <x:v>Cantidades por conjunto; no sumar como total de máquina.</x:v>
      </x:c>
    </x:row>
    <x:row r="461" ht="30" customHeight="1">
      <x:c r="A461" s="19" t="str">
        <x:v>TT10_C05_PC_01</x:v>
      </x:c>
      <x:c r="B461" s="19" t="str">
        <x:v>Conjunto general y montaje</x:v>
      </x:c>
      <x:c r="C461" s="20" t="n">
        <x:v>466</x:v>
      </x:c>
      <x:c r="D461" s="19" t="str">
        <x:v>TT10_TM_B12_3</x:v>
      </x:c>
      <x:c r="E461" s="20" t="n">
        <x:v>1</x:v>
      </x:c>
      <x:c r="F461" s="20" t="n">
        <x:v>1</x:v>
      </x:c>
      <x:c r="G461" s="19" t="str">
        <x:v>Compra</x:v>
      </x:c>
      <x:c r="H461" s="19" t="str">
        <x:v>Tornillo M12x40 8.8, s18, rosca nominal; enganche20.5mm en placa</x:v>
      </x:c>
      <x:c r="I461" s="19" t="str">
        <x:v>Clase 8.8 / ISO 898-1</x:v>
      </x:c>
      <x:c r="J461" s="19" t="str">
        <x:v>Cantidades por conjunto; no sumar como total de máquina.</x:v>
      </x:c>
    </x:row>
    <x:row r="462" ht="30" customHeight="1">
      <x:c r="A462" s="17" t="str">
        <x:v>TT10_C05_PC_01</x:v>
      </x:c>
      <x:c r="B462" s="17" t="str">
        <x:v>Conjunto general y montaje</x:v>
      </x:c>
      <x:c r="C462" s="18" t="n">
        <x:v>467</x:v>
      </x:c>
      <x:c r="D462" s="17" t="str">
        <x:v>TT10_TM_CHAVETA</x:v>
      </x:c>
      <x:c r="E462" s="18" t="n">
        <x:v>1</x:v>
      </x:c>
      <x:c r="F462" s="18" t="n">
        <x:v>1</x:v>
      </x:c>
      <x:c r="G462" s="17" t="str">
        <x:v>Compra</x:v>
      </x:c>
      <x:c r="H462" s="17" t="str">
        <x:v>Chaveta paralela8x7x40, extremos R4, formaA; acero C45E</x:v>
      </x:c>
      <x:c r="I462" s="17" t="str">
        <x:v>AISI 4140 bonificado</x:v>
      </x:c>
      <x:c r="J462" s="17" t="str">
        <x:v>Cantidades por conjunto; no sumar como total de máquina.</x:v>
      </x:c>
    </x:row>
    <x:row r="463" ht="30" customHeight="1">
      <x:c r="A463" s="19" t="str">
        <x:v>TT10_C05_PC_01</x:v>
      </x:c>
      <x:c r="B463" s="19" t="str">
        <x:v>Conjunto general y montaje</x:v>
      </x:c>
      <x:c r="C463" s="20" t="n">
        <x:v>468</x:v>
      </x:c>
      <x:c r="D463" s="19" t="str">
        <x:v>TT10_TM_CUBO</x:v>
      </x:c>
      <x:c r="E463" s="20" t="n">
        <x:v>1</x:v>
      </x:c>
      <x:c r="F463" s="20" t="n">
        <x:v>1</x:v>
      </x:c>
      <x:c r="G463" s="19" t="str">
        <x:v>Fabricación</x:v>
      </x:c>
      <x:c r="H463" s="19" t="str">
        <x:v>Cubo D80/D30 H7 L45; chavetero8 JS9, profundidad3.3 sobre radio nominal</x:v>
      </x:c>
      <x:c r="I463" s="19" t="str">
        <x:v>AISI 4140 bonificado</x:v>
      </x:c>
      <x:c r="J463" s="19" t="str">
        <x:v>Cantidades por conjunto; no sumar como total de máquina.</x:v>
      </x:c>
    </x:row>
    <x:row r="464" ht="30" customHeight="1">
      <x:c r="A464" s="17" t="str">
        <x:v>TT10_C05_PC_01</x:v>
      </x:c>
      <x:c r="B464" s="17" t="str">
        <x:v>Conjunto general y montaje</x:v>
      </x:c>
      <x:c r="C464" s="18" t="n">
        <x:v>469</x:v>
      </x:c>
      <x:c r="D464" s="17" t="str">
        <x:v>TT10_TM_EJE_PUNO</x:v>
      </x:c>
      <x:c r="E464" s="18" t="n">
        <x:v>1</x:v>
      </x:c>
      <x:c r="F464" s="18" t="n">
        <x:v>1</x:v>
      </x:c>
      <x:c r="G464" s="17" t="str">
        <x:v>Compra</x:v>
      </x:c>
      <x:c r="H464" s="17" t="str">
        <x:v>Perno escalonado: M8, hombro14, pistaD10 h9 L87.3 y cabeza16; pistaRa≤0.8</x:v>
      </x:c>
      <x:c r="I464" s="17" t="str">
        <x:v>Clase 10.9 / ISO 898-1</x:v>
      </x:c>
      <x:c r="J464" s="17" t="str">
        <x:v>Cantidades por conjunto; no sumar como total de máquina.</x:v>
      </x:c>
    </x:row>
    <x:row r="465" ht="30" customHeight="1">
      <x:c r="A465" s="19" t="str">
        <x:v>TT10_C05_PC_01</x:v>
      </x:c>
      <x:c r="B465" s="19" t="str">
        <x:v>Conjunto general y montaje</x:v>
      </x:c>
      <x:c r="C465" s="20" t="n">
        <x:v>470</x:v>
      </x:c>
      <x:c r="D465" s="19" t="str">
        <x:v>TT10_TM_PUNO</x:v>
      </x:c>
      <x:c r="E465" s="20" t="n">
        <x:v>1</x:v>
      </x:c>
      <x:c r="F465" s="20" t="n">
        <x:v>1</x:v>
      </x:c>
      <x:c r="G465" s="19" t="str">
        <x:v>Fabricación</x:v>
      </x:c>
      <x:c r="H465" s="19" t="str">
        <x:v>Empuñadura giratoria POM D32/d10.4 L85</x:v>
      </x:c>
      <x:c r="I465" s="19" t="str">
        <x:v>POM-C; ficha de proveedor requerida</x:v>
      </x:c>
      <x:c r="J465" s="19" t="str">
        <x:v>Cantidades por conjunto; no sumar como total de máquina.</x:v>
      </x:c>
    </x:row>
    <x:row r="466" ht="30" customHeight="1">
      <x:c r="A466" s="17" t="str">
        <x:v>TT10_C05_PC_01</x:v>
      </x:c>
      <x:c r="B466" s="17" t="str">
        <x:v>Conjunto general y montaje</x:v>
      </x:c>
      <x:c r="C466" s="18" t="n">
        <x:v>471</x:v>
      </x:c>
      <x:c r="D466" s="17" t="str">
        <x:v>TT10_TM_PUNO_N8</x:v>
      </x:c>
      <x:c r="E466" s="18" t="n">
        <x:v>1</x:v>
      </x:c>
      <x:c r="F466" s="18" t="n">
        <x:v>1</x:v>
      </x:c>
      <x:c r="G466" s="17" t="str">
        <x:v>Compra</x:v>
      </x:c>
      <x:c r="H466" s="17" t="str">
        <x:v>Tuerca autoblocante metálica M8 h8 s13; geometría nominal</x:v>
      </x:c>
      <x:c r="I466" s="17" t="str">
        <x:v>Tuerca clase 8 / ISO 898-2</x:v>
      </x:c>
      <x:c r="J466" s="17" t="str">
        <x:v>Cantidades por conjunto; no sumar como total de máquina.</x:v>
      </x:c>
    </x:row>
    <x:row r="467" ht="30" customHeight="1">
      <x:c r="A467" s="19" t="str">
        <x:v>TT10_C05_PC_01</x:v>
      </x:c>
      <x:c r="B467" s="19" t="str">
        <x:v>Conjunto general y montaje</x:v>
      </x:c>
      <x:c r="C467" s="20" t="n">
        <x:v>472</x:v>
      </x:c>
      <x:c r="D467" s="19" t="str">
        <x:v>TT10_TM_PUNO_W0</x:v>
      </x:c>
      <x:c r="E467" s="20" t="n">
        <x:v>1</x:v>
      </x:c>
      <x:c r="F467" s="20" t="n">
        <x:v>1</x:v>
      </x:c>
      <x:c r="G467" s="19" t="str">
        <x:v>Compra</x:v>
      </x:c>
      <x:c r="H467" s="19" t="str">
        <x:v>Arandela lisa D20/d10.5/t1 para empuñadura</x:v>
      </x:c>
      <x:c r="I467" s="19" t="str">
        <x:v>Arandela endurecida 300 HV / ISO 7089</x:v>
      </x:c>
      <x:c r="J467" s="19" t="str">
        <x:v>Cantidades por conjunto; no sumar como total de máquina.</x:v>
      </x:c>
    </x:row>
    <x:row r="468" ht="30" customHeight="1">
      <x:c r="A468" s="17" t="str">
        <x:v>TT10_C05_PC_01</x:v>
      </x:c>
      <x:c r="B468" s="17" t="str">
        <x:v>Conjunto general y montaje</x:v>
      </x:c>
      <x:c r="C468" s="18" t="n">
        <x:v>473</x:v>
      </x:c>
      <x:c r="D468" s="17" t="str">
        <x:v>TT10_TM_PUNO_W1</x:v>
      </x:c>
      <x:c r="E468" s="18" t="n">
        <x:v>1</x:v>
      </x:c>
      <x:c r="F468" s="18" t="n">
        <x:v>1</x:v>
      </x:c>
      <x:c r="G468" s="17" t="str">
        <x:v>Compra</x:v>
      </x:c>
      <x:c r="H468" s="17" t="str">
        <x:v>Arandela lisa D20/d10.5/t1 para empuñadura</x:v>
      </x:c>
      <x:c r="I468" s="17" t="str">
        <x:v>Arandela endurecida 300 HV / ISO 7089</x:v>
      </x:c>
      <x:c r="J468" s="17" t="str">
        <x:v>Cantidades por conjunto; no sumar como total de máquina.</x:v>
      </x:c>
    </x:row>
    <x:row r="469" ht="30" customHeight="1">
      <x:c r="A469" s="19" t="str">
        <x:v>TT10_C05_PC_01</x:v>
      </x:c>
      <x:c r="B469" s="19" t="str">
        <x:v>Conjunto general y montaje</x:v>
      </x:c>
      <x:c r="C469" s="20" t="n">
        <x:v>474</x:v>
      </x:c>
      <x:c r="D469" s="19" t="str">
        <x:v>TT10_TM_PUNO_W8</x:v>
      </x:c>
      <x:c r="E469" s="20" t="n">
        <x:v>1</x:v>
      </x:c>
      <x:c r="F469" s="20" t="n">
        <x:v>1</x:v>
      </x:c>
      <x:c r="G469" s="19" t="str">
        <x:v>Compra</x:v>
      </x:c>
      <x:c r="H469" s="19" t="str">
        <x:v>Arandela M8 D16/d8.4/t1.6</x:v>
      </x:c>
      <x:c r="I469" s="19" t="str">
        <x:v>Arandela endurecida 300 HV / ISO 7089</x:v>
      </x:c>
      <x:c r="J469" s="19" t="str">
        <x:v>Cantidades por conjunto; no sumar como total de máquina.</x:v>
      </x:c>
    </x:row>
    <x:row r="470" ht="30" customHeight="1">
      <x:c r="A470" s="17" t="str">
        <x:v>TT10_C05_PC_01</x:v>
      </x:c>
      <x:c r="B470" s="17" t="str">
        <x:v>Conjunto general y montaje</x:v>
      </x:c>
      <x:c r="C470" s="18" t="n">
        <x:v>475</x:v>
      </x:c>
      <x:c r="D470" s="17" t="str">
        <x:v>TT10_TM_SY30_0</x:v>
      </x:c>
      <x:c r="E470" s="18" t="n">
        <x:v>3</x:v>
      </x:c>
      <x:c r="F470" s="18" t="n">
        <x:v>3</x:v>
      </x:c>
      <x:c r="G470" s="17" t="str">
        <x:v>Compra</x:v>
      </x:c>
      <x:c r="H470" s="17" t="str">
        <x:v>SKF SY30TF, d30, H42.9, base152x40, pasos117.5; interfaces nominales</x:v>
      </x:c>
      <x:c r="I470" s="17" t="str">
        <x:v>Conjunto comprado; acero/ fundición según OEM</x:v>
      </x:c>
      <x:c r="J470" s="17" t="str">
        <x:v>Cantidades por conjunto; no sumar como total de máquina.</x:v>
      </x:c>
    </x:row>
    <x:row r="471" ht="30" customHeight="1">
      <x:c r="A471" s="19" t="str">
        <x:v>TT10_C05_PC_01</x:v>
      </x:c>
      <x:c r="B471" s="19" t="str">
        <x:v>Conjunto general y montaje</x:v>
      </x:c>
      <x:c r="C471" s="20" t="n">
        <x:v>476</x:v>
      </x:c>
      <x:c r="D471" s="19" t="str">
        <x:v>TT10_TM_SY30_1</x:v>
      </x:c>
      <x:c r="E471" s="20" t="n">
        <x:v>1</x:v>
      </x:c>
      <x:c r="F471" s="20" t="n">
        <x:v>1</x:v>
      </x:c>
      <x:c r="G471" s="19" t="str">
        <x:v>Compra</x:v>
      </x:c>
      <x:c r="H471" s="19" t="str">
        <x:v>SKF SY30TF, d30, H42.9, base152x40, pasos117.5; interfaces nominales</x:v>
      </x:c>
      <x:c r="I471" s="19" t="str">
        <x:v>Conjunto comprado; acero/ fundición según OEM</x:v>
      </x:c>
      <x:c r="J471" s="19" t="str">
        <x:v>Cantidades por conjunto; no sumar como total de máquina.</x:v>
      </x:c>
    </x:row>
    <x:row r="472" ht="30" customHeight="1">
      <x:c r="A472" s="17" t="str">
        <x:v>TT10_C05_PC_01</x:v>
      </x:c>
      <x:c r="B472" s="17" t="str">
        <x:v>Conjunto general y montaje</x:v>
      </x:c>
      <x:c r="C472" s="18" t="n">
        <x:v>477</x:v>
      </x:c>
      <x:c r="D472" s="17" t="str">
        <x:v>TT10_TM_TORNILLO16</x:v>
      </x:c>
      <x:c r="E472" s="18" t="n">
        <x:v>1</x:v>
      </x:c>
      <x:c r="F472" s="18" t="n">
        <x:v>1</x:v>
      </x:c>
      <x:c r="G472" s="17" t="str">
        <x:v>Compra</x:v>
      </x:c>
      <x:c r="H472" s="17" t="str">
        <x:v>Tornillo M16x35 clase8.8, s24; retiene axialmente rueda y cubo</x:v>
      </x:c>
      <x:c r="I472" s="17" t="str">
        <x:v>Clase 8.8 / ISO 898-1</x:v>
      </x:c>
      <x:c r="J472" s="17" t="str">
        <x:v>Cantidades por conjunto; no sumar como total de máquina.</x:v>
      </x:c>
    </x:row>
    <x:row r="473" ht="30" customHeight="1">
      <x:c r="A473" s="19" t="str">
        <x:v>TT10_C05_PC_01</x:v>
      </x:c>
      <x:c r="B473" s="19" t="str">
        <x:v>Conjunto general y montaje</x:v>
      </x:c>
      <x:c r="C473" s="20" t="n">
        <x:v>478</x:v>
      </x:c>
      <x:c r="D473" s="19" t="str">
        <x:v>TT10_TM_VOLANTE</x:v>
      </x:c>
      <x:c r="E473" s="20" t="n">
        <x:v>1</x:v>
      </x:c>
      <x:c r="F473" s="20" t="n">
        <x:v>1</x:v>
      </x:c>
      <x:c r="G473" s="19" t="str">
        <x:v>Fabricación</x:v>
      </x:c>
      <x:c r="H473" s="19" t="str">
        <x:v>Volante D500 t12, cuatro radios; D8.5 para empuñadura; soldado al cubo</x:v>
      </x:c>
      <x:c r="I473" s="19" t="str">
        <x:v>ASTM A36</x:v>
      </x:c>
      <x:c r="J473" s="19" t="str">
        <x:v>Cantidades por conjunto; no sumar como total de máquina.</x:v>
      </x:c>
    </x:row>
    <x:row r="474" ht="30" customHeight="1">
      <x:c r="A474" s="17" t="str">
        <x:v>TT10_C05_PC_01</x:v>
      </x:c>
      <x:c r="B474" s="17" t="str">
        <x:v>Conjunto general y montaje</x:v>
      </x:c>
      <x:c r="C474" s="18" t="n">
        <x:v>479</x:v>
      </x:c>
      <x:c r="D474" s="17" t="str">
        <x:v>TT10_TM_W12_0</x:v>
      </x:c>
      <x:c r="E474" s="18" t="n">
        <x:v>1</x:v>
      </x:c>
      <x:c r="F474" s="18" t="n">
        <x:v>1</x:v>
      </x:c>
      <x:c r="G474" s="17" t="str">
        <x:v>Compra</x:v>
      </x:c>
      <x:c r="H474" s="17" t="str">
        <x:v>Arandela M12 D24/d13/t2.5</x:v>
      </x:c>
      <x:c r="I474" s="17" t="str">
        <x:v>Arandela endurecida 300 HV / ISO 7089</x:v>
      </x:c>
      <x:c r="J474" s="17" t="str">
        <x:v>Cantidades por conjunto; no sumar como total de máquina.</x:v>
      </x:c>
    </x:row>
    <x:row r="475" ht="30" customHeight="1">
      <x:c r="A475" s="19" t="str">
        <x:v>TT10_C05_PC_01</x:v>
      </x:c>
      <x:c r="B475" s="19" t="str">
        <x:v>Conjunto general y montaje</x:v>
      </x:c>
      <x:c r="C475" s="20" t="n">
        <x:v>480</x:v>
      </x:c>
      <x:c r="D475" s="19" t="str">
        <x:v>TT10_TM_W12_1</x:v>
      </x:c>
      <x:c r="E475" s="20" t="n">
        <x:v>1</x:v>
      </x:c>
      <x:c r="F475" s="20" t="n">
        <x:v>1</x:v>
      </x:c>
      <x:c r="G475" s="19" t="str">
        <x:v>Compra</x:v>
      </x:c>
      <x:c r="H475" s="19" t="str">
        <x:v>Arandela M12 D24/d13/t2.5</x:v>
      </x:c>
      <x:c r="I475" s="19" t="str">
        <x:v>Arandela endurecida 300 HV / ISO 7089</x:v>
      </x:c>
      <x:c r="J475" s="19" t="str">
        <x:v>Cantidades por conjunto; no sumar como total de máquina.</x:v>
      </x:c>
    </x:row>
    <x:row r="476" ht="30" customHeight="1">
      <x:c r="A476" s="17" t="str">
        <x:v>TT10_C05_PC_01</x:v>
      </x:c>
      <x:c r="B476" s="17" t="str">
        <x:v>Conjunto general y montaje</x:v>
      </x:c>
      <x:c r="C476" s="18" t="n">
        <x:v>481</x:v>
      </x:c>
      <x:c r="D476" s="17" t="str">
        <x:v>TT10_TM_W12_2</x:v>
      </x:c>
      <x:c r="E476" s="18" t="n">
        <x:v>1</x:v>
      </x:c>
      <x:c r="F476" s="18" t="n">
        <x:v>1</x:v>
      </x:c>
      <x:c r="G476" s="17" t="str">
        <x:v>Compra</x:v>
      </x:c>
      <x:c r="H476" s="17" t="str">
        <x:v>Arandela M12 D24/d13/t2.5</x:v>
      </x:c>
      <x:c r="I476" s="17" t="str">
        <x:v>Arandela endurecida 300 HV / ISO 7089</x:v>
      </x:c>
      <x:c r="J476" s="17" t="str">
        <x:v>Cantidades por conjunto; no sumar como total de máquina.</x:v>
      </x:c>
    </x:row>
    <x:row r="477" ht="30" customHeight="1">
      <x:c r="A477" s="19" t="str">
        <x:v>TT10_C05_PC_01</x:v>
      </x:c>
      <x:c r="B477" s="19" t="str">
        <x:v>Conjunto general y montaje</x:v>
      </x:c>
      <x:c r="C477" s="20" t="n">
        <x:v>482</x:v>
      </x:c>
      <x:c r="D477" s="19" t="str">
        <x:v>TT10_TM_W12_3</x:v>
      </x:c>
      <x:c r="E477" s="20" t="n">
        <x:v>1</x:v>
      </x:c>
      <x:c r="F477" s="20" t="n">
        <x:v>1</x:v>
      </x:c>
      <x:c r="G477" s="19" t="str">
        <x:v>Compra</x:v>
      </x:c>
      <x:c r="H477" s="19" t="str">
        <x:v>Arandela M12 D24/d13/t2.5</x:v>
      </x:c>
      <x:c r="I477" s="19" t="str">
        <x:v>Arandela endurecida 300 HV / ISO 7089</x:v>
      </x:c>
      <x:c r="J477" s="19" t="str">
        <x:v>Cantidades por conjunto; no sumar como total de máquina.</x:v>
      </x:c>
    </x:row>
    <x:row r="478" ht="30" customHeight="1">
      <x:c r="A478" s="17" t="str">
        <x:v>TT10_C05_PC_01</x:v>
      </x:c>
      <x:c r="B478" s="17" t="str">
        <x:v>Conjunto general y montaje</x:v>
      </x:c>
      <x:c r="C478" s="18" t="n">
        <x:v>483</x:v>
      </x:c>
      <x:c r="D478" s="17" t="str">
        <x:v>TT10_TNF_N1</x:v>
      </x:c>
      <x:c r="E478" s="18" t="n">
        <x:v>1</x:v>
      </x:c>
      <x:c r="F478" s="18" t="n">
        <x:v>1</x:v>
      </x:c>
      <x:c r="G478" s="17" t="str">
        <x:v>Compra</x:v>
      </x:c>
      <x:c r="H478" s="17" t="str">
        <x:v>SKF TNF48; reserva dimensional axial A2=380</x:v>
      </x:c>
      <x:c r="I478" s="17" t="str">
        <x:v>Conjunto comprado; acero/ fundición según OEM</x:v>
      </x:c>
      <x:c r="J478" s="17" t="str">
        <x:v>Cantidades por conjunto; no sumar como total de máquina.</x:v>
      </x:c>
    </x:row>
    <x:row r="479" ht="30" customHeight="1">
      <x:c r="A479" s="19" t="str">
        <x:v>TT10_C05_PC_01</x:v>
      </x:c>
      <x:c r="B479" s="19" t="str">
        <x:v>Conjunto general y montaje</x:v>
      </x:c>
      <x:c r="C479" s="20" t="n">
        <x:v>484</x:v>
      </x:c>
      <x:c r="D479" s="19" t="str">
        <x:v>TT10_TNF_N2</x:v>
      </x:c>
      <x:c r="E479" s="20" t="n">
        <x:v>1</x:v>
      </x:c>
      <x:c r="F479" s="20" t="n">
        <x:v>1</x:v>
      </x:c>
      <x:c r="G479" s="19" t="str">
        <x:v>Compra</x:v>
      </x:c>
      <x:c r="H479" s="19" t="str">
        <x:v>SKF TNF48; reserva dimensional axial A2=380</x:v>
      </x:c>
      <x:c r="I479" s="19" t="str">
        <x:v>Conjunto comprado; acero/ fundición según OEM</x:v>
      </x:c>
      <x:c r="J479" s="19" t="str">
        <x:v>Cantidades por conjunto; no sumar como total de máquina.</x:v>
      </x:c>
    </x:row>
    <x:row r="480" ht="30" customHeight="1">
      <x:c r="A480" s="17" t="str">
        <x:v>TT10_C05_PC_01</x:v>
      </x:c>
      <x:c r="B480" s="17" t="str">
        <x:v>Conjunto general y montaje</x:v>
      </x:c>
      <x:c r="C480" s="18" t="n">
        <x:v>485</x:v>
      </x:c>
      <x:c r="D480" s="17" t="str">
        <x:v>TT10_TNF_P1</x:v>
      </x:c>
      <x:c r="E480" s="18" t="n">
        <x:v>1</x:v>
      </x:c>
      <x:c r="F480" s="18" t="n">
        <x:v>1</x:v>
      </x:c>
      <x:c r="G480" s="17" t="str">
        <x:v>Compra</x:v>
      </x:c>
      <x:c r="H480" s="17" t="str">
        <x:v>SKF TNF48; reserva dimensional axial A2=380</x:v>
      </x:c>
      <x:c r="I480" s="17" t="str">
        <x:v>Conjunto comprado; acero/ fundición según OEM</x:v>
      </x:c>
      <x:c r="J480" s="17" t="str">
        <x:v>Cantidades por conjunto; no sumar como total de máquina.</x:v>
      </x:c>
    </x:row>
    <x:row r="481" ht="30" customHeight="1">
      <x:c r="A481" s="19" t="str">
        <x:v>TT10_C05_PC_01</x:v>
      </x:c>
      <x:c r="B481" s="19" t="str">
        <x:v>Conjunto general y montaje</x:v>
      </x:c>
      <x:c r="C481" s="20" t="n">
        <x:v>486</x:v>
      </x:c>
      <x:c r="D481" s="19" t="str">
        <x:v>TT10_TNF_P2</x:v>
      </x:c>
      <x:c r="E481" s="20" t="n">
        <x:v>1</x:v>
      </x:c>
      <x:c r="F481" s="20" t="n">
        <x:v>1</x:v>
      </x:c>
      <x:c r="G481" s="19" t="str">
        <x:v>Compra</x:v>
      </x:c>
      <x:c r="H481" s="19" t="str">
        <x:v>SKF TNF48; reserva dimensional axial A2=380</x:v>
      </x:c>
      <x:c r="I481" s="19" t="str">
        <x:v>Conjunto comprado; acero/ fundición según OEM</x:v>
      </x:c>
      <x:c r="J481" s="19" t="str">
        <x:v>Cantidades por conjunto; no sumar como total de máquina.</x:v>
      </x:c>
    </x:row>
    <x:row r="482" ht="30" customHeight="1">
      <x:c r="A482" s="17" t="str">
        <x:v>TT10_C05_PC_01</x:v>
      </x:c>
      <x:c r="B482" s="17" t="str">
        <x:v>Conjunto general y montaje</x:v>
      </x:c>
      <x:c r="C482" s="18" t="n">
        <x:v>487</x:v>
      </x:c>
      <x:c r="D482" s="17" t="str">
        <x:v>TT10_TOPE70_N_INFD</x:v>
      </x:c>
      <x:c r="E482" s="18" t="n">
        <x:v>1</x:v>
      </x:c>
      <x:c r="F482" s="18" t="n">
        <x:v>1</x:v>
      </x:c>
      <x:c r="G482" s="17" t="str">
        <x:v>Fabricación</x:v>
      </x:c>
      <x:c r="H482" s="17" t="str">
        <x:v>Cartela horizontal20: transmite componente transversal del tope70</x:v>
      </x:c>
      <x:c r="I482" s="17" t="str">
        <x:v>ASTM A36</x:v>
      </x:c>
      <x:c r="J482" s="17" t="str">
        <x:v>Cantidades por conjunto; no sumar como total de máquina.</x:v>
      </x:c>
    </x:row>
    <x:row r="483" ht="30" customHeight="1">
      <x:c r="A483" s="19" t="str">
        <x:v>TT10_C05_PC_01</x:v>
      </x:c>
      <x:c r="B483" s="19" t="str">
        <x:v>Conjunto general y montaje</x:v>
      </x:c>
      <x:c r="C483" s="20" t="n">
        <x:v>488</x:v>
      </x:c>
      <x:c r="D483" s="19" t="str">
        <x:v>TT10_TOPE70_N_INFI</x:v>
      </x:c>
      <x:c r="E483" s="20" t="n">
        <x:v>1</x:v>
      </x:c>
      <x:c r="F483" s="20" t="n">
        <x:v>1</x:v>
      </x:c>
      <x:c r="G483" s="19" t="str">
        <x:v>Fabricación</x:v>
      </x:c>
      <x:c r="H483" s="19" t="str">
        <x:v>Cartela horizontal20: transmite componente transversal del tope70</x:v>
      </x:c>
      <x:c r="I483" s="19" t="str">
        <x:v>ASTM A36</x:v>
      </x:c>
      <x:c r="J483" s="19" t="str">
        <x:v>Cantidades por conjunto; no sumar como total de máquina.</x:v>
      </x:c>
    </x:row>
    <x:row r="484" ht="30" customHeight="1">
      <x:c r="A484" s="17" t="str">
        <x:v>TT10_C05_PC_01</x:v>
      </x:c>
      <x:c r="B484" s="17" t="str">
        <x:v>Conjunto general y montaje</x:v>
      </x:c>
      <x:c r="C484" s="18" t="n">
        <x:v>489</x:v>
      </x:c>
      <x:c r="D484" s="17" t="str">
        <x:v>TT10_TOPE70_N_SUPD</x:v>
      </x:c>
      <x:c r="E484" s="18" t="n">
        <x:v>1</x:v>
      </x:c>
      <x:c r="F484" s="18" t="n">
        <x:v>1</x:v>
      </x:c>
      <x:c r="G484" s="17" t="str">
        <x:v>Fabricación</x:v>
      </x:c>
      <x:c r="H484" s="17" t="str">
        <x:v>Cartela horizontal20: transmite componente transversal del tope70</x:v>
      </x:c>
      <x:c r="I484" s="17" t="str">
        <x:v>ASTM A36</x:v>
      </x:c>
      <x:c r="J484" s="17" t="str">
        <x:v>Cantidades por conjunto; no sumar como total de máquina.</x:v>
      </x:c>
    </x:row>
    <x:row r="485" ht="30" customHeight="1">
      <x:c r="A485" s="19" t="str">
        <x:v>TT10_C05_PC_01</x:v>
      </x:c>
      <x:c r="B485" s="19" t="str">
        <x:v>Conjunto general y montaje</x:v>
      </x:c>
      <x:c r="C485" s="20" t="n">
        <x:v>490</x:v>
      </x:c>
      <x:c r="D485" s="19" t="str">
        <x:v>TT10_TOPE70_N_SUPI</x:v>
      </x:c>
      <x:c r="E485" s="20" t="n">
        <x:v>1</x:v>
      </x:c>
      <x:c r="F485" s="20" t="n">
        <x:v>1</x:v>
      </x:c>
      <x:c r="G485" s="19" t="str">
        <x:v>Fabricación</x:v>
      </x:c>
      <x:c r="H485" s="19" t="str">
        <x:v>Cartela horizontal20: transmite componente transversal del tope70</x:v>
      </x:c>
      <x:c r="I485" s="19" t="str">
        <x:v>ASTM A36</x:v>
      </x:c>
      <x:c r="J485" s="19" t="str">
        <x:v>Cantidades por conjunto; no sumar como total de máquina.</x:v>
      </x:c>
    </x:row>
    <x:row r="486" ht="30" customHeight="1">
      <x:c r="A486" s="17" t="str">
        <x:v>TT10_C05_PC_01</x:v>
      </x:c>
      <x:c r="B486" s="17" t="str">
        <x:v>Conjunto general y montaje</x:v>
      </x:c>
      <x:c r="C486" s="18" t="n">
        <x:v>491</x:v>
      </x:c>
      <x:c r="D486" s="17" t="str">
        <x:v>TT10_TOPE70_N_V1</x:v>
      </x:c>
      <x:c r="E486" s="18" t="n">
        <x:v>1</x:v>
      </x:c>
      <x:c r="F486" s="18" t="n">
        <x:v>1</x:v>
      </x:c>
      <x:c r="G486" s="17" t="str">
        <x:v>Fabricación</x:v>
      </x:c>
      <x:c r="H486" s="17" t="str">
        <x:v>Cartela vertical20 de tope70; apoyo al bloque y cara de columna</x:v>
      </x:c>
      <x:c r="I486" s="17" t="str">
        <x:v>ASTM A36</x:v>
      </x:c>
      <x:c r="J486" s="17" t="str">
        <x:v>Cantidades por conjunto; no sumar como total de máquina.</x:v>
      </x:c>
    </x:row>
    <x:row r="487" ht="30" customHeight="1">
      <x:c r="A487" s="19" t="str">
        <x:v>TT10_C05_PC_01</x:v>
      </x:c>
      <x:c r="B487" s="19" t="str">
        <x:v>Conjunto general y montaje</x:v>
      </x:c>
      <x:c r="C487" s="20" t="n">
        <x:v>492</x:v>
      </x:c>
      <x:c r="D487" s="19" t="str">
        <x:v>TT10_TOPE70_N_V2</x:v>
      </x:c>
      <x:c r="E487" s="20" t="n">
        <x:v>1</x:v>
      </x:c>
      <x:c r="F487" s="20" t="n">
        <x:v>1</x:v>
      </x:c>
      <x:c r="G487" s="19" t="str">
        <x:v>Fabricación</x:v>
      </x:c>
      <x:c r="H487" s="19" t="str">
        <x:v>Cartela vertical20 de tope70; apoyo al bloque y cara de columna</x:v>
      </x:c>
      <x:c r="I487" s="19" t="str">
        <x:v>ASTM A36</x:v>
      </x:c>
      <x:c r="J487" s="19" t="str">
        <x:v>Cantidades por conjunto; no sumar como total de máquina.</x:v>
      </x:c>
    </x:row>
    <x:row r="488" ht="30" customHeight="1">
      <x:c r="A488" s="17" t="str">
        <x:v>TT10_C05_PC_01</x:v>
      </x:c>
      <x:c r="B488" s="17" t="str">
        <x:v>Conjunto general y montaje</x:v>
      </x:c>
      <x:c r="C488" s="18" t="n">
        <x:v>493</x:v>
      </x:c>
      <x:c r="D488" s="17" t="str">
        <x:v>TT10_TOPE70_P_INFD</x:v>
      </x:c>
      <x:c r="E488" s="18" t="n">
        <x:v>1</x:v>
      </x:c>
      <x:c r="F488" s="18" t="n">
        <x:v>1</x:v>
      </x:c>
      <x:c r="G488" s="17" t="str">
        <x:v>Fabricación</x:v>
      </x:c>
      <x:c r="H488" s="17" t="str">
        <x:v>Cartela horizontal20: transmite componente transversal del tope70</x:v>
      </x:c>
      <x:c r="I488" s="17" t="str">
        <x:v>ASTM A36</x:v>
      </x:c>
      <x:c r="J488" s="17" t="str">
        <x:v>Cantidades por conjunto; no sumar como total de máquina.</x:v>
      </x:c>
    </x:row>
    <x:row r="489" ht="30" customHeight="1">
      <x:c r="A489" s="19" t="str">
        <x:v>TT10_C05_PC_01</x:v>
      </x:c>
      <x:c r="B489" s="19" t="str">
        <x:v>Conjunto general y montaje</x:v>
      </x:c>
      <x:c r="C489" s="20" t="n">
        <x:v>494</x:v>
      </x:c>
      <x:c r="D489" s="19" t="str">
        <x:v>TT10_TOPE70_P_INFI</x:v>
      </x:c>
      <x:c r="E489" s="20" t="n">
        <x:v>1</x:v>
      </x:c>
      <x:c r="F489" s="20" t="n">
        <x:v>1</x:v>
      </x:c>
      <x:c r="G489" s="19" t="str">
        <x:v>Fabricación</x:v>
      </x:c>
      <x:c r="H489" s="19" t="str">
        <x:v>Cartela horizontal20: transmite componente transversal del tope70</x:v>
      </x:c>
      <x:c r="I489" s="19" t="str">
        <x:v>ASTM A36</x:v>
      </x:c>
      <x:c r="J489" s="19" t="str">
        <x:v>Cantidades por conjunto; no sumar como total de máquina.</x:v>
      </x:c>
    </x:row>
    <x:row r="490" ht="30" customHeight="1">
      <x:c r="A490" s="17" t="str">
        <x:v>TT10_C05_PC_01</x:v>
      </x:c>
      <x:c r="B490" s="17" t="str">
        <x:v>Conjunto general y montaje</x:v>
      </x:c>
      <x:c r="C490" s="18" t="n">
        <x:v>495</x:v>
      </x:c>
      <x:c r="D490" s="17" t="str">
        <x:v>TT10_TOPE70_P_SUPD</x:v>
      </x:c>
      <x:c r="E490" s="18" t="n">
        <x:v>1</x:v>
      </x:c>
      <x:c r="F490" s="18" t="n">
        <x:v>1</x:v>
      </x:c>
      <x:c r="G490" s="17" t="str">
        <x:v>Fabricación</x:v>
      </x:c>
      <x:c r="H490" s="17" t="str">
        <x:v>Cartela horizontal20: transmite componente transversal del tope70</x:v>
      </x:c>
      <x:c r="I490" s="17" t="str">
        <x:v>ASTM A36</x:v>
      </x:c>
      <x:c r="J490" s="17" t="str">
        <x:v>Cantidades por conjunto; no sumar como total de máquina.</x:v>
      </x:c>
    </x:row>
    <x:row r="491" ht="30" customHeight="1">
      <x:c r="A491" s="19" t="str">
        <x:v>TT10_C05_PC_01</x:v>
      </x:c>
      <x:c r="B491" s="19" t="str">
        <x:v>Conjunto general y montaje</x:v>
      </x:c>
      <x:c r="C491" s="20" t="n">
        <x:v>496</x:v>
      </x:c>
      <x:c r="D491" s="19" t="str">
        <x:v>TT10_TOPE70_P_SUPI</x:v>
      </x:c>
      <x:c r="E491" s="20" t="n">
        <x:v>1</x:v>
      </x:c>
      <x:c r="F491" s="20" t="n">
        <x:v>1</x:v>
      </x:c>
      <x:c r="G491" s="19" t="str">
        <x:v>Fabricación</x:v>
      </x:c>
      <x:c r="H491" s="19" t="str">
        <x:v>Cartela horizontal20: transmite componente transversal del tope70</x:v>
      </x:c>
      <x:c r="I491" s="19" t="str">
        <x:v>ASTM A36</x:v>
      </x:c>
      <x:c r="J491" s="19" t="str">
        <x:v>Cantidades por conjunto; no sumar como total de máquina.</x:v>
      </x:c>
    </x:row>
    <x:row r="492" ht="30" customHeight="1">
      <x:c r="A492" s="17" t="str">
        <x:v>TT10_C05_PC_01</x:v>
      </x:c>
      <x:c r="B492" s="17" t="str">
        <x:v>Conjunto general y montaje</x:v>
      </x:c>
      <x:c r="C492" s="18" t="n">
        <x:v>497</x:v>
      </x:c>
      <x:c r="D492" s="17" t="str">
        <x:v>TT10_TOPE70_P_V1</x:v>
      </x:c>
      <x:c r="E492" s="18" t="n">
        <x:v>1</x:v>
      </x:c>
      <x:c r="F492" s="18" t="n">
        <x:v>1</x:v>
      </x:c>
      <x:c r="G492" s="17" t="str">
        <x:v>Fabricación</x:v>
      </x:c>
      <x:c r="H492" s="17" t="str">
        <x:v>Cartela vertical20 de tope70; apoyo al bloque y cara de columna</x:v>
      </x:c>
      <x:c r="I492" s="17" t="str">
        <x:v>ASTM A36</x:v>
      </x:c>
      <x:c r="J492" s="17" t="str">
        <x:v>Cantidades por conjunto; no sumar como total de máquina.</x:v>
      </x:c>
    </x:row>
    <x:row r="493" ht="30" customHeight="1">
      <x:c r="A493" s="19" t="str">
        <x:v>TT10_C05_PC_01</x:v>
      </x:c>
      <x:c r="B493" s="19" t="str">
        <x:v>Conjunto general y montaje</x:v>
      </x:c>
      <x:c r="C493" s="20" t="n">
        <x:v>498</x:v>
      </x:c>
      <x:c r="D493" s="19" t="str">
        <x:v>TT10_TOPE70_P_V2</x:v>
      </x:c>
      <x:c r="E493" s="20" t="n">
        <x:v>1</x:v>
      </x:c>
      <x:c r="F493" s="20" t="n">
        <x:v>1</x:v>
      </x:c>
      <x:c r="G493" s="19" t="str">
        <x:v>Fabricación</x:v>
      </x:c>
      <x:c r="H493" s="19" t="str">
        <x:v>Cartela vertical20 de tope70; apoyo al bloque y cara de columna</x:v>
      </x:c>
      <x:c r="I493" s="19" t="str">
        <x:v>ASTM A36</x:v>
      </x:c>
      <x:c r="J493" s="19" t="str">
        <x:v>Cantidades por conjunto; no sumar como total de máquina.</x:v>
      </x:c>
    </x:row>
    <x:row r="494" ht="30" customHeight="1">
      <x:c r="A494" s="17" t="str">
        <x:v>TT10_C05_PC_01</x:v>
      </x:c>
      <x:c r="B494" s="17" t="str">
        <x:v>Conjunto general y montaje</x:v>
      </x:c>
      <x:c r="C494" s="18" t="n">
        <x:v>499</x:v>
      </x:c>
      <x:c r="D494" s="17" t="str">
        <x:v>TT10_W20_P1I</x:v>
      </x:c>
      <x:c r="E494" s="18" t="n">
        <x:v>16</x:v>
      </x:c>
      <x:c r="F494" s="18" t="n">
        <x:v>16</x:v>
      </x:c>
      <x:c r="G494" s="17" t="str">
        <x:v>Compra</x:v>
      </x:c>
      <x:c r="H494" s="17" t="str">
        <x:v>Arandela D37 D21 t3</x:v>
      </x:c>
      <x:c r="I494" s="17" t="str">
        <x:v>Arandela endurecida 300 HV / ISO 7089</x:v>
      </x:c>
      <x:c r="J494" s="17" t="str">
        <x:v>Cantidades por conjunto; no sumar como total de máquina.</x:v>
      </x:c>
    </x:row>
    <x:row r="495" ht="30" customHeight="1">
      <x:c r="A495" s="19" t="str">
        <x:v>TT10_C05_PC_01</x:v>
      </x:c>
      <x:c r="B495" s="19" t="str">
        <x:v>Conjunto general y montaje</x:v>
      </x:c>
      <x:c r="C495" s="20" t="n">
        <x:v>500</x:v>
      </x:c>
      <x:c r="D495" s="19" t="str">
        <x:v>TT10_W30_AP_P02227.5</x:v>
      </x:c>
      <x:c r="E495" s="20" t="n">
        <x:v>32</x:v>
      </x:c>
      <x:c r="F495" s="20" t="n">
        <x:v>32</x:v>
      </x:c>
      <x:c r="G495" s="19" t="str">
        <x:v>Compra</x:v>
      </x:c>
      <x:c r="H495" s="19" t="str">
        <x:v>Arandela ISO7089 M30 300HV, D56 d31 t4</x:v>
      </x:c>
      <x:c r="I495" s="19" t="str">
        <x:v>Arandela endurecida 300 HV / ISO 7089</x:v>
      </x:c>
      <x:c r="J495" s="19" t="str">
        <x:v>Cantidades por conjunto; no sumar como total de máquina.</x:v>
      </x:c>
    </x:row>
    <x:row r="496" ht="30" customHeight="1">
      <x:c r="A496" s="17" t="str">
        <x:v>TT10_C05_PC_02</x:v>
      </x:c>
      <x:c r="B496" s="17" t="str">
        <x:v>Bastidor fijo ensamblado</x:v>
      </x:c>
      <x:c r="C496" s="18" t="n">
        <x:v>145</x:v>
      </x:c>
      <x:c r="D496" s="17" t="str">
        <x:v>TT10_CART_N_INF</x:v>
      </x:c>
      <x:c r="E496" s="18" t="n">
        <x:v>1</x:v>
      </x:c>
      <x:c r="F496" s="18" t="n">
        <x:v>1</x:v>
      </x:c>
      <x:c r="G496" s="17" t="str">
        <x:v>Fabricación</x:v>
      </x:c>
      <x:c r="H496" s="17" t="str">
        <x:v>Cartela horizontal20 entre puente y placa de nodo</x:v>
      </x:c>
      <x:c r="I496" s="17" t="str">
        <x:v>ASTM A36</x:v>
      </x:c>
      <x:c r="J496" s="17" t="str">
        <x:v>Cantidades por conjunto; no sumar como total de máquina.</x:v>
      </x:c>
    </x:row>
    <x:row r="497" ht="30" customHeight="1">
      <x:c r="A497" s="19" t="str">
        <x:v>TT10_C05_PC_02</x:v>
      </x:c>
      <x:c r="B497" s="19" t="str">
        <x:v>Bastidor fijo ensamblado</x:v>
      </x:c>
      <x:c r="C497" s="20" t="n">
        <x:v>146</x:v>
      </x:c>
      <x:c r="D497" s="19" t="str">
        <x:v>TT10_CART_N_SUP</x:v>
      </x:c>
      <x:c r="E497" s="20" t="n">
        <x:v>1</x:v>
      </x:c>
      <x:c r="F497" s="20" t="n">
        <x:v>1</x:v>
      </x:c>
      <x:c r="G497" s="19" t="str">
        <x:v>Fabricación</x:v>
      </x:c>
      <x:c r="H497" s="19" t="str">
        <x:v>Cartela horizontal20 entre puente y placa de nodo</x:v>
      </x:c>
      <x:c r="I497" s="19" t="str">
        <x:v>ASTM A36</x:v>
      </x:c>
      <x:c r="J497" s="19" t="str">
        <x:v>Cantidades por conjunto; no sumar como total de máquina.</x:v>
      </x:c>
    </x:row>
    <x:row r="498" ht="30" customHeight="1">
      <x:c r="A498" s="17" t="str">
        <x:v>TT10_C05_PC_02</x:v>
      </x:c>
      <x:c r="B498" s="17" t="str">
        <x:v>Bastidor fijo ensamblado</x:v>
      </x:c>
      <x:c r="C498" s="18" t="n">
        <x:v>147</x:v>
      </x:c>
      <x:c r="D498" s="17" t="str">
        <x:v>TT10_CART_P_INF</x:v>
      </x:c>
      <x:c r="E498" s="18" t="n">
        <x:v>1</x:v>
      </x:c>
      <x:c r="F498" s="18" t="n">
        <x:v>1</x:v>
      </x:c>
      <x:c r="G498" s="17" t="str">
        <x:v>Fabricación</x:v>
      </x:c>
      <x:c r="H498" s="17" t="str">
        <x:v>Cartela horizontal20 entre puente y placa de nodo</x:v>
      </x:c>
      <x:c r="I498" s="17" t="str">
        <x:v>ASTM A36</x:v>
      </x:c>
      <x:c r="J498" s="17" t="str">
        <x:v>Cantidades por conjunto; no sumar como total de máquina.</x:v>
      </x:c>
    </x:row>
    <x:row r="499" ht="30" customHeight="1">
      <x:c r="A499" s="19" t="str">
        <x:v>TT10_C05_PC_02</x:v>
      </x:c>
      <x:c r="B499" s="19" t="str">
        <x:v>Bastidor fijo ensamblado</x:v>
      </x:c>
      <x:c r="C499" s="20" t="n">
        <x:v>148</x:v>
      </x:c>
      <x:c r="D499" s="19" t="str">
        <x:v>TT10_CART_P_SUP</x:v>
      </x:c>
      <x:c r="E499" s="20" t="n">
        <x:v>1</x:v>
      </x:c>
      <x:c r="F499" s="20" t="n">
        <x:v>1</x:v>
      </x:c>
      <x:c r="G499" s="19" t="str">
        <x:v>Fabricación</x:v>
      </x:c>
      <x:c r="H499" s="19" t="str">
        <x:v>Cartela horizontal20 entre puente y placa de nodo</x:v>
      </x:c>
      <x:c r="I499" s="19" t="str">
        <x:v>ASTM A36</x:v>
      </x:c>
      <x:c r="J499" s="19" t="str">
        <x:v>Cantidades por conjunto; no sumar como total de máquina.</x:v>
      </x:c>
    </x:row>
    <x:row r="500" ht="30" customHeight="1">
      <x:c r="A500" s="17" t="str">
        <x:v>TT10_C05_PC_02</x:v>
      </x:c>
      <x:c r="B500" s="17" t="str">
        <x:v>Bastidor fijo ensamblado</x:v>
      </x:c>
      <x:c r="C500" s="18" t="n">
        <x:v>218</x:v>
      </x:c>
      <x:c r="D500" s="17" t="str">
        <x:v>TT10_F416</x:v>
      </x:c>
      <x:c r="E500" s="18" t="n">
        <x:v>1</x:v>
      </x:c>
      <x:c r="F500" s="18" t="n">
        <x:v>1</x:v>
      </x:c>
      <x:c r="G500" s="17" t="str">
        <x:v>Fabricación</x:v>
      </x:c>
      <x:c r="H500" s="17" t="str">
        <x:v>Placa base 600 x 500 x 50; 8 agujeros Ø40, centros X ±220, Y ±150 y ±50</x:v>
      </x:c>
      <x:c r="I500" s="17" t="str">
        <x:v>Strenx700E t50; Rp0.2min700MPa</x:v>
      </x:c>
      <x:c r="J500" s="17" t="str">
        <x:v>Cantidades por conjunto; no sumar como total de máquina.</x:v>
      </x:c>
    </x:row>
    <x:row r="501" ht="30" customHeight="1">
      <x:c r="A501" s="19" t="str">
        <x:v>TT10_C05_PC_02</x:v>
      </x:c>
      <x:c r="B501" s="19" t="str">
        <x:v>Bastidor fijo ensamblado</x:v>
      </x:c>
      <x:c r="C501" s="20" t="n">
        <x:v>219</x:v>
      </x:c>
      <x:c r="D501" s="19" t="str">
        <x:v>TT10_F426</x:v>
      </x:c>
      <x:c r="E501" s="20" t="n">
        <x:v>1</x:v>
      </x:c>
      <x:c r="F501" s="20" t="n">
        <x:v>1</x:v>
      </x:c>
      <x:c r="G501" s="19" t="str">
        <x:v>Fabricación</x:v>
      </x:c>
      <x:c r="H501" s="19" t="str">
        <x:v>Tope inclinado: cara inferior mecanizada para asiento horizontal</x:v>
      </x:c>
      <x:c r="I501" s="19" t="str">
        <x:v>ASTM A36</x:v>
      </x:c>
      <x:c r="J501" s="19" t="str">
        <x:v>Cantidades por conjunto; no sumar como total de máquina.</x:v>
      </x:c>
    </x:row>
    <x:row r="502" ht="30" customHeight="1">
      <x:c r="A502" s="17" t="str">
        <x:v>TT10_C05_PC_02</x:v>
      </x:c>
      <x:c r="B502" s="17" t="str">
        <x:v>Bastidor fijo ensamblado</x:v>
      </x:c>
      <x:c r="C502" s="18" t="n">
        <x:v>220</x:v>
      </x:c>
      <x:c r="D502" s="17" t="str">
        <x:v>TT10_F431</x:v>
      </x:c>
      <x:c r="E502" s="18" t="n">
        <x:v>1</x:v>
      </x:c>
      <x:c r="F502" s="18" t="n">
        <x:v>1</x:v>
      </x:c>
      <x:c r="G502" s="17" t="str">
        <x:v>Fabricación</x:v>
      </x:c>
      <x:c r="H502" s="17" t="str">
        <x:v>Pieza TT10_F431</x:v>
      </x:c>
      <x:c r="I502" s="17" t="str">
        <x:v>ASTM A36</x:v>
      </x:c>
      <x:c r="J502" s="17" t="str">
        <x:v>Cantidades por conjunto; no sumar como total de máquina.</x:v>
      </x:c>
    </x:row>
    <x:row r="503" ht="30" customHeight="1">
      <x:c r="A503" s="19" t="str">
        <x:v>TT10_C05_PC_02</x:v>
      </x:c>
      <x:c r="B503" s="19" t="str">
        <x:v>Bastidor fijo ensamblado</x:v>
      </x:c>
      <x:c r="C503" s="20" t="n">
        <x:v>221</x:v>
      </x:c>
      <x:c r="D503" s="19" t="str">
        <x:v>TT10_F441</x:v>
      </x:c>
      <x:c r="E503" s="20" t="n">
        <x:v>1</x:v>
      </x:c>
      <x:c r="F503" s="20" t="n">
        <x:v>1</x:v>
      </x:c>
      <x:c r="G503" s="19" t="str">
        <x:v>Fabricación</x:v>
      </x:c>
      <x:c r="H503" s="19" t="str">
        <x:v>Placa80 con cuatro roscas M30 ciegas60, paso540x140; pernos desde arriba</x:v>
      </x:c>
      <x:c r="I503" s="19" t="str">
        <x:v>ASTM A36</x:v>
      </x:c>
      <x:c r="J503" s="19" t="str">
        <x:v>Cantidades por conjunto; no sumar como total de máquina.</x:v>
      </x:c>
    </x:row>
    <x:row r="504" ht="30" customHeight="1">
      <x:c r="A504" s="17" t="str">
        <x:v>TT10_C05_PC_02</x:v>
      </x:c>
      <x:c r="B504" s="17" t="str">
        <x:v>Bastidor fijo ensamblado</x:v>
      </x:c>
      <x:c r="C504" s="18" t="n">
        <x:v>222</x:v>
      </x:c>
      <x:c r="D504" s="17" t="str">
        <x:v>TT10_F446</x:v>
      </x:c>
      <x:c r="E504" s="18" t="n">
        <x:v>1</x:v>
      </x:c>
      <x:c r="F504" s="18" t="n">
        <x:v>1</x:v>
      </x:c>
      <x:c r="G504" s="17" t="str">
        <x:v>Fabricación</x:v>
      </x:c>
      <x:c r="H504" s="17" t="str">
        <x:v>Placa80 con cuatro roscas M30 ciegas60, paso540x140; pernos desde arriba</x:v>
      </x:c>
      <x:c r="I504" s="17" t="str">
        <x:v>ASTM A36</x:v>
      </x:c>
      <x:c r="J504" s="17" t="str">
        <x:v>Cantidades por conjunto; no sumar como total de máquina.</x:v>
      </x:c>
    </x:row>
    <x:row r="505" ht="30" customHeight="1">
      <x:c r="A505" s="19" t="str">
        <x:v>TT10_C05_PC_02</x:v>
      </x:c>
      <x:c r="B505" s="19" t="str">
        <x:v>Bastidor fijo ensamblado</x:v>
      </x:c>
      <x:c r="C505" s="20" t="n">
        <x:v>224</x:v>
      </x:c>
      <x:c r="D505" s="19" t="str">
        <x:v>TT10_F456</x:v>
      </x:c>
      <x:c r="E505" s="20" t="n">
        <x:v>1</x:v>
      </x:c>
      <x:c r="F505" s="20" t="n">
        <x:v>1</x:v>
      </x:c>
      <x:c r="G505" s="19" t="str">
        <x:v>Compra</x:v>
      </x:c>
      <x:c r="H505" s="19" t="str">
        <x:v>SKF SNL3048: dimensiones de interfaz según catálogo; fundición simplificada</x:v>
      </x:c>
      <x:c r="I505" s="19" t="str">
        <x:v>Conjunto comprado; acero/ fundición según OEM</x:v>
      </x:c>
      <x:c r="J505" s="19" t="str">
        <x:v>Cantidades por conjunto; no sumar como total de máquina.</x:v>
      </x:c>
    </x:row>
    <x:row r="506" ht="30" customHeight="1">
      <x:c r="A506" s="17" t="str">
        <x:v>TT10_C05_PC_02</x:v>
      </x:c>
      <x:c r="B506" s="17" t="str">
        <x:v>Bastidor fijo ensamblado</x:v>
      </x:c>
      <x:c r="C506" s="18" t="n">
        <x:v>225</x:v>
      </x:c>
      <x:c r="D506" s="17" t="str">
        <x:v>TT10_F471</x:v>
      </x:c>
      <x:c r="E506" s="18" t="n">
        <x:v>1</x:v>
      </x:c>
      <x:c r="F506" s="18" t="n">
        <x:v>1</x:v>
      </x:c>
      <x:c r="G506" s="17" t="str">
        <x:v>Fabricación</x:v>
      </x:c>
      <x:c r="H506" s="17" t="str">
        <x:v>Perfil tubular 350 x 200 x 12; L 6300</x:v>
      </x:c>
      <x:c r="I506" s="17" t="str">
        <x:v>S275J0H / EN 10219-1</x:v>
      </x:c>
      <x:c r="J506" s="17" t="str">
        <x:v>Cantidades por conjunto; no sumar como total de máquina.</x:v>
      </x:c>
    </x:row>
    <x:row r="507" ht="30" customHeight="1">
      <x:c r="A507" s="19" t="str">
        <x:v>TT10_C05_PC_02</x:v>
      </x:c>
      <x:c r="B507" s="19" t="str">
        <x:v>Bastidor fijo ensamblado</x:v>
      </x:c>
      <x:c r="C507" s="20" t="n">
        <x:v>226</x:v>
      </x:c>
      <x:c r="D507" s="19" t="str">
        <x:v>TT10_F476</x:v>
      </x:c>
      <x:c r="E507" s="20" t="n">
        <x:v>1</x:v>
      </x:c>
      <x:c r="F507" s="20" t="n">
        <x:v>1</x:v>
      </x:c>
      <x:c r="G507" s="19" t="str">
        <x:v>Fabricación</x:v>
      </x:c>
      <x:c r="H507" s="19" t="str">
        <x:v>Perfil tubular 350 x 200 x 12; L 6300</x:v>
      </x:c>
      <x:c r="I507" s="19" t="str">
        <x:v>S275J0H / EN 10219-1</x:v>
      </x:c>
      <x:c r="J507" s="19" t="str">
        <x:v>Cantidades por conjunto; no sumar como total de máquina.</x:v>
      </x:c>
    </x:row>
    <x:row r="508" ht="30" customHeight="1">
      <x:c r="A508" s="17" t="str">
        <x:v>TT10_C05_PC_02</x:v>
      </x:c>
      <x:c r="B508" s="17" t="str">
        <x:v>Bastidor fijo ensamblado</x:v>
      </x:c>
      <x:c r="C508" s="18" t="n">
        <x:v>227</x:v>
      </x:c>
      <x:c r="D508" s="17" t="str">
        <x:v>TT10_F481</x:v>
      </x:c>
      <x:c r="E508" s="18" t="n">
        <x:v>1</x:v>
      </x:c>
      <x:c r="F508" s="18" t="n">
        <x:v>1</x:v>
      </x:c>
      <x:c r="G508" s="17" t="str">
        <x:v>Fabricación</x:v>
      </x:c>
      <x:c r="H508" s="17" t="str">
        <x:v>Pieza TT10_F481</x:v>
      </x:c>
      <x:c r="I508" s="17" t="str">
        <x:v>ASTM A36</x:v>
      </x:c>
      <x:c r="J508" s="17" t="str">
        <x:v>Cantidades por conjunto; no sumar como total de máquina.</x:v>
      </x:c>
    </x:row>
    <x:row r="509" ht="30" customHeight="1">
      <x:c r="A509" s="19" t="str">
        <x:v>TT10_C05_PC_02</x:v>
      </x:c>
      <x:c r="B509" s="19" t="str">
        <x:v>Bastidor fijo ensamblado</x:v>
      </x:c>
      <x:c r="C509" s="20" t="n">
        <x:v>228</x:v>
      </x:c>
      <x:c r="D509" s="19" t="str">
        <x:v>TT10_F486</x:v>
      </x:c>
      <x:c r="E509" s="20" t="n">
        <x:v>1</x:v>
      </x:c>
      <x:c r="F509" s="20" t="n">
        <x:v>1</x:v>
      </x:c>
      <x:c r="G509" s="19" t="str">
        <x:v>Fabricación</x:v>
      </x:c>
      <x:c r="H509" s="19" t="str">
        <x:v>Oreja fija 400 x 250 x 40; agujero Ø65 H8; Strenx 700E</x:v>
      </x:c>
      <x:c r="I509" s="19" t="str">
        <x:v>Strenx700E t40; Rp0.2min700MPa</x:v>
      </x:c>
      <x:c r="J509" s="19" t="str">
        <x:v>Cantidades por conjunto; no sumar como total de máquina.</x:v>
      </x:c>
    </x:row>
    <x:row r="510" ht="30" customHeight="1">
      <x:c r="A510" s="17" t="str">
        <x:v>TT10_C05_PC_02</x:v>
      </x:c>
      <x:c r="B510" s="17" t="str">
        <x:v>Bastidor fijo ensamblado</x:v>
      </x:c>
      <x:c r="C510" s="18" t="n">
        <x:v>230</x:v>
      </x:c>
      <x:c r="D510" s="17" t="str">
        <x:v>TT10_F501</x:v>
      </x:c>
      <x:c r="E510" s="18" t="n">
        <x:v>1</x:v>
      </x:c>
      <x:c r="F510" s="18" t="n">
        <x:v>1</x:v>
      </x:c>
      <x:c r="G510" s="17" t="str">
        <x:v>Fabricación</x:v>
      </x:c>
      <x:c r="H510" s="17" t="str">
        <x:v>Oreja fija 400 x 250 x 40; agujero Ø65 H8; Strenx 700E</x:v>
      </x:c>
      <x:c r="I510" s="17" t="str">
        <x:v>Strenx700E t40; Rp0.2min700MPa</x:v>
      </x:c>
      <x:c r="J510" s="17" t="str">
        <x:v>Cantidades por conjunto; no sumar como total de máquina.</x:v>
      </x:c>
    </x:row>
    <x:row r="511" ht="30" customHeight="1">
      <x:c r="A511" s="19" t="str">
        <x:v>TT10_C05_PC_02</x:v>
      </x:c>
      <x:c r="B511" s="19" t="str">
        <x:v>Bastidor fijo ensamblado</x:v>
      </x:c>
      <x:c r="C511" s="20" t="n">
        <x:v>231</x:v>
      </x:c>
      <x:c r="D511" s="19" t="str">
        <x:v>TT10_F506</x:v>
      </x:c>
      <x:c r="E511" s="20" t="n">
        <x:v>1</x:v>
      </x:c>
      <x:c r="F511" s="20" t="n">
        <x:v>1</x:v>
      </x:c>
      <x:c r="G511" s="19" t="str">
        <x:v>Fabricación</x:v>
      </x:c>
      <x:c r="H511" s="19" t="str">
        <x:v>Poste independiente cajón 300 x 200 x 2395, t20; 2 diafragmas 260 x 160 x 20</x:v>
      </x:c>
      <x:c r="I511" s="19" t="str">
        <x:v>Strenx700E t20; Rp0.2min700MPa</x:v>
      </x:c>
      <x:c r="J511" s="19" t="str">
        <x:v>Cantidades por conjunto; no sumar como total de máquina.</x:v>
      </x:c>
    </x:row>
    <x:row r="512" ht="30" customHeight="1">
      <x:c r="A512" s="17" t="str">
        <x:v>TT10_C05_PC_02</x:v>
      </x:c>
      <x:c r="B512" s="17" t="str">
        <x:v>Bastidor fijo ensamblado</x:v>
      </x:c>
      <x:c r="C512" s="18" t="n">
        <x:v>232</x:v>
      </x:c>
      <x:c r="D512" s="17" t="str">
        <x:v>TT10_F511</x:v>
      </x:c>
      <x:c r="E512" s="18" t="n">
        <x:v>1</x:v>
      </x:c>
      <x:c r="F512" s="18" t="n">
        <x:v>1</x:v>
      </x:c>
      <x:c r="G512" s="17" t="str">
        <x:v>Fabricación</x:v>
      </x:c>
      <x:c r="H512" s="17" t="str">
        <x:v>Pieza TT10_F511</x:v>
      </x:c>
      <x:c r="I512" s="17" t="str">
        <x:v>ASTM A36</x:v>
      </x:c>
      <x:c r="J512" s="17" t="str">
        <x:v>Cantidades por conjunto; no sumar como total de máquina.</x:v>
      </x:c>
    </x:row>
    <x:row r="513" ht="30" customHeight="1">
      <x:c r="A513" s="19" t="str">
        <x:v>TT10_C05_PC_02</x:v>
      </x:c>
      <x:c r="B513" s="19" t="str">
        <x:v>Bastidor fijo ensamblado</x:v>
      </x:c>
      <x:c r="C513" s="20" t="n">
        <x:v>233</x:v>
      </x:c>
      <x:c r="D513" s="19" t="str">
        <x:v>TT10_F516</x:v>
      </x:c>
      <x:c r="E513" s="20" t="n">
        <x:v>1</x:v>
      </x:c>
      <x:c r="F513" s="20" t="n">
        <x:v>1</x:v>
      </x:c>
      <x:c r="G513" s="19" t="str">
        <x:v>Fabricación</x:v>
      </x:c>
      <x:c r="H513" s="19" t="str">
        <x:v>Pieza TT10_F516</x:v>
      </x:c>
      <x:c r="I513" s="19" t="str">
        <x:v>ASTM A36</x:v>
      </x:c>
      <x:c r="J513" s="19" t="str">
        <x:v>Cantidades por conjunto; no sumar como total de máquina.</x:v>
      </x:c>
    </x:row>
    <x:row r="514" ht="30" customHeight="1">
      <x:c r="A514" s="17" t="str">
        <x:v>TT10_C05_PC_02</x:v>
      </x:c>
      <x:c r="B514" s="17" t="str">
        <x:v>Bastidor fijo ensamblado</x:v>
      </x:c>
      <x:c r="C514" s="18" t="n">
        <x:v>235</x:v>
      </x:c>
      <x:c r="D514" s="17" t="str">
        <x:v>TT10_F526</x:v>
      </x:c>
      <x:c r="E514" s="18" t="n">
        <x:v>1</x:v>
      </x:c>
      <x:c r="F514" s="18" t="n">
        <x:v>1</x:v>
      </x:c>
      <x:c r="G514" s="17" t="str">
        <x:v>Fabricación</x:v>
      </x:c>
      <x:c r="H514" s="17" t="str">
        <x:v>Perfil tubular 350 x 300 x 12; L 4800</x:v>
      </x:c>
      <x:c r="I514" s="17" t="str">
        <x:v>S275J0H / EN 10219-1</x:v>
      </x:c>
      <x:c r="J514" s="17" t="str">
        <x:v>Cantidades por conjunto; no sumar como total de máquina.</x:v>
      </x:c>
    </x:row>
    <x:row r="515" ht="30" customHeight="1">
      <x:c r="A515" s="19" t="str">
        <x:v>TT10_C05_PC_02</x:v>
      </x:c>
      <x:c r="B515" s="19" t="str">
        <x:v>Bastidor fijo ensamblado</x:v>
      </x:c>
      <x:c r="C515" s="20" t="n">
        <x:v>236</x:v>
      </x:c>
      <x:c r="D515" s="19" t="str">
        <x:v>TT10_F531</x:v>
      </x:c>
      <x:c r="E515" s="20" t="n">
        <x:v>1</x:v>
      </x:c>
      <x:c r="F515" s="20" t="n">
        <x:v>1</x:v>
      </x:c>
      <x:c r="G515" s="19" t="str">
        <x:v>Fabricación</x:v>
      </x:c>
      <x:c r="H515" s="19" t="str">
        <x:v>Perfil tubular 350 x 300 x 12; L 4800</x:v>
      </x:c>
      <x:c r="I515" s="19" t="str">
        <x:v>S275J0H / EN 10219-1</x:v>
      </x:c>
      <x:c r="J515" s="19" t="str">
        <x:v>Cantidades por conjunto; no sumar como total de máquina.</x:v>
      </x:c>
    </x:row>
    <x:row r="516" ht="30" customHeight="1">
      <x:c r="A516" s="17" t="str">
        <x:v>TT10_C05_PC_02</x:v>
      </x:c>
      <x:c r="B516" s="17" t="str">
        <x:v>Bastidor fijo ensamblado</x:v>
      </x:c>
      <x:c r="C516" s="18" t="n">
        <x:v>237</x:v>
      </x:c>
      <x:c r="D516" s="17" t="str">
        <x:v>TT10_F536</x:v>
      </x:c>
      <x:c r="E516" s="18" t="n">
        <x:v>1</x:v>
      </x:c>
      <x:c r="F516" s="18" t="n">
        <x:v>1</x:v>
      </x:c>
      <x:c r="G516" s="17" t="str">
        <x:v>Fabricación</x:v>
      </x:c>
      <x:c r="H516" s="17" t="str">
        <x:v>Soporte tope terminado en cara interior de columna</x:v>
      </x:c>
      <x:c r="I516" s="17" t="str">
        <x:v>ASTM A36</x:v>
      </x:c>
      <x:c r="J516" s="17" t="str">
        <x:v>Cantidades por conjunto; no sumar como total de máquina.</x:v>
      </x:c>
    </x:row>
    <x:row r="517" ht="30" customHeight="1">
      <x:c r="A517" s="19" t="str">
        <x:v>TT10_C05_PC_02</x:v>
      </x:c>
      <x:c r="B517" s="19" t="str">
        <x:v>Bastidor fijo ensamblado</x:v>
      </x:c>
      <x:c r="C517" s="20" t="n">
        <x:v>238</x:v>
      </x:c>
      <x:c r="D517" s="19" t="str">
        <x:v>TT10_F541</x:v>
      </x:c>
      <x:c r="E517" s="20" t="n">
        <x:v>1</x:v>
      </x:c>
      <x:c r="F517" s="20" t="n">
        <x:v>1</x:v>
      </x:c>
      <x:c r="G517" s="19" t="str">
        <x:v>Fabricación</x:v>
      </x:c>
      <x:c r="H517" s="19" t="str">
        <x:v>Diagonal CHS168.3x10 con cortes de asiento; sin penetrar columnas ni placas</x:v>
      </x:c>
      <x:c r="I517" s="19" t="str">
        <x:v>S275J0H / EN 10219-1</x:v>
      </x:c>
      <x:c r="J517" s="19" t="str">
        <x:v>Cantidades por conjunto; no sumar como total de máquina.</x:v>
      </x:c>
    </x:row>
    <x:row r="518" ht="30" customHeight="1">
      <x:c r="A518" s="17" t="str">
        <x:v>TT10_C05_PC_02</x:v>
      </x:c>
      <x:c r="B518" s="17" t="str">
        <x:v>Bastidor fijo ensamblado</x:v>
      </x:c>
      <x:c r="C518" s="18" t="n">
        <x:v>239</x:v>
      </x:c>
      <x:c r="D518" s="17" t="str">
        <x:v>TT10_F546</x:v>
      </x:c>
      <x:c r="E518" s="18" t="n">
        <x:v>1</x:v>
      </x:c>
      <x:c r="F518" s="18" t="n">
        <x:v>1</x:v>
      </x:c>
      <x:c r="G518" s="17" t="str">
        <x:v>Fabricación</x:v>
      </x:c>
      <x:c r="H518" s="17" t="str">
        <x:v>Puente RHS200x150x10 L1005; fuera del plano de las diagonales</x:v>
      </x:c>
      <x:c r="I518" s="17" t="str">
        <x:v>S275J0H / EN 10219-1</x:v>
      </x:c>
      <x:c r="J518" s="17" t="str">
        <x:v>Cantidades por conjunto; no sumar como total de máquina.</x:v>
      </x:c>
    </x:row>
    <x:row r="519" ht="30" customHeight="1">
      <x:c r="A519" s="19" t="str">
        <x:v>TT10_C05_PC_02</x:v>
      </x:c>
      <x:c r="B519" s="19" t="str">
        <x:v>Bastidor fijo ensamblado</x:v>
      </x:c>
      <x:c r="C519" s="20" t="n">
        <x:v>240</x:v>
      </x:c>
      <x:c r="D519" s="19" t="str">
        <x:v>TT10_F551</x:v>
      </x:c>
      <x:c r="E519" s="20" t="n">
        <x:v>1</x:v>
      </x:c>
      <x:c r="F519" s="20" t="n">
        <x:v>1</x:v>
      </x:c>
      <x:c r="G519" s="19" t="str">
        <x:v>Compra</x:v>
      </x:c>
      <x:c r="H519" s="19" t="str">
        <x:v>SKF SNL3048: dimensiones de interfaz según catálogo; fundición simplificada</x:v>
      </x:c>
      <x:c r="I519" s="19" t="str">
        <x:v>Conjunto comprado; acero/ fundición según OEM</x:v>
      </x:c>
      <x:c r="J519" s="19" t="str">
        <x:v>Cantidades por conjunto; no sumar como total de máquina.</x:v>
      </x:c>
    </x:row>
    <x:row r="520" ht="30" customHeight="1">
      <x:c r="A520" s="17" t="str">
        <x:v>TT10_C05_PC_02</x:v>
      </x:c>
      <x:c r="B520" s="17" t="str">
        <x:v>Bastidor fijo ensamblado</x:v>
      </x:c>
      <x:c r="C520" s="18" t="n">
        <x:v>241</x:v>
      </x:c>
      <x:c r="D520" s="17" t="str">
        <x:v>TT10_F556</x:v>
      </x:c>
      <x:c r="E520" s="18" t="n">
        <x:v>1</x:v>
      </x:c>
      <x:c r="F520" s="18" t="n">
        <x:v>1</x:v>
      </x:c>
      <x:c r="G520" s="17" t="str">
        <x:v>Fabricación</x:v>
      </x:c>
      <x:c r="H520" s="17" t="str">
        <x:v>Soporte tope terminado en cara interior de columna</x:v>
      </x:c>
      <x:c r="I520" s="17" t="str">
        <x:v>ASTM A36</x:v>
      </x:c>
      <x:c r="J520" s="17" t="str">
        <x:v>Cantidades por conjunto; no sumar como total de máquina.</x:v>
      </x:c>
    </x:row>
    <x:row r="521" ht="30" customHeight="1">
      <x:c r="A521" s="19" t="str">
        <x:v>TT10_C05_PC_02</x:v>
      </x:c>
      <x:c r="B521" s="19" t="str">
        <x:v>Bastidor fijo ensamblado</x:v>
      </x:c>
      <x:c r="C521" s="20" t="n">
        <x:v>242</x:v>
      </x:c>
      <x:c r="D521" s="19" t="str">
        <x:v>TT10_F561</x:v>
      </x:c>
      <x:c r="E521" s="20" t="n">
        <x:v>1</x:v>
      </x:c>
      <x:c r="F521" s="20" t="n">
        <x:v>1</x:v>
      </x:c>
      <x:c r="G521" s="19" t="str">
        <x:v>Fabricación</x:v>
      </x:c>
      <x:c r="H521" s="19" t="str">
        <x:v>Pieza TT10_F561</x:v>
      </x:c>
      <x:c r="I521" s="19" t="str">
        <x:v>ASTM A36</x:v>
      </x:c>
      <x:c r="J521" s="19" t="str">
        <x:v>Cantidades por conjunto; no sumar como total de máquina.</x:v>
      </x:c>
    </x:row>
    <x:row r="522" ht="30" customHeight="1">
      <x:c r="A522" s="17" t="str">
        <x:v>TT10_C05_PC_02</x:v>
      </x:c>
      <x:c r="B522" s="17" t="str">
        <x:v>Bastidor fijo ensamblado</x:v>
      </x:c>
      <x:c r="C522" s="18" t="n">
        <x:v>243</x:v>
      </x:c>
      <x:c r="D522" s="17" t="str">
        <x:v>TT10_F566</x:v>
      </x:c>
      <x:c r="E522" s="18" t="n">
        <x:v>1</x:v>
      </x:c>
      <x:c r="F522" s="18" t="n">
        <x:v>1</x:v>
      </x:c>
      <x:c r="G522" s="17" t="str">
        <x:v>Fabricación</x:v>
      </x:c>
      <x:c r="H522" s="17" t="str">
        <x:v>Pieza TT10_F566</x:v>
      </x:c>
      <x:c r="I522" s="17" t="str">
        <x:v>ASTM A36</x:v>
      </x:c>
      <x:c r="J522" s="17" t="str">
        <x:v>Cantidades por conjunto; no sumar como total de máquina.</x:v>
      </x:c>
    </x:row>
    <x:row r="523" ht="30" customHeight="1">
      <x:c r="A523" s="19" t="str">
        <x:v>TT10_C05_PC_02</x:v>
      </x:c>
      <x:c r="B523" s="19" t="str">
        <x:v>Bastidor fijo ensamblado</x:v>
      </x:c>
      <x:c r="C523" s="20" t="n">
        <x:v>244</x:v>
      </x:c>
      <x:c r="D523" s="19" t="str">
        <x:v>TT10_F571</x:v>
      </x:c>
      <x:c r="E523" s="20" t="n">
        <x:v>1</x:v>
      </x:c>
      <x:c r="F523" s="20" t="n">
        <x:v>1</x:v>
      </x:c>
      <x:c r="G523" s="19" t="str">
        <x:v>Fabricación</x:v>
      </x:c>
      <x:c r="H523" s="19" t="str">
        <x:v>Pieza TT10_F571</x:v>
      </x:c>
      <x:c r="I523" s="19" t="str">
        <x:v>ASTM A36</x:v>
      </x:c>
      <x:c r="J523" s="19" t="str">
        <x:v>Cantidades por conjunto; no sumar como total de máquina.</x:v>
      </x:c>
    </x:row>
    <x:row r="524" ht="30" customHeight="1">
      <x:c r="A524" s="17" t="str">
        <x:v>TT10_C05_PC_02</x:v>
      </x:c>
      <x:c r="B524" s="17" t="str">
        <x:v>Bastidor fijo ensamblado</x:v>
      </x:c>
      <x:c r="C524" s="18" t="n">
        <x:v>245</x:v>
      </x:c>
      <x:c r="D524" s="17" t="str">
        <x:v>TT10_F576</x:v>
      </x:c>
      <x:c r="E524" s="18" t="n">
        <x:v>1</x:v>
      </x:c>
      <x:c r="F524" s="18" t="n">
        <x:v>1</x:v>
      </x:c>
      <x:c r="G524" s="17" t="str">
        <x:v>Fabricación</x:v>
      </x:c>
      <x:c r="H524" s="17" t="str">
        <x:v>Oreja fija 400 x 250 x 40; agujero Ø65 H8; Strenx 700E</x:v>
      </x:c>
      <x:c r="I524" s="17" t="str">
        <x:v>Strenx700E t40; Rp0.2min700MPa</x:v>
      </x:c>
      <x:c r="J524" s="17" t="str">
        <x:v>Cantidades por conjunto; no sumar como total de máquina.</x:v>
      </x:c>
    </x:row>
    <x:row r="525" ht="30" customHeight="1">
      <x:c r="A525" s="19" t="str">
        <x:v>TT10_C05_PC_02</x:v>
      </x:c>
      <x:c r="B525" s="19" t="str">
        <x:v>Bastidor fijo ensamblado</x:v>
      </x:c>
      <x:c r="C525" s="20" t="n">
        <x:v>246</x:v>
      </x:c>
      <x:c r="D525" s="19" t="str">
        <x:v>TT10_F581</x:v>
      </x:c>
      <x:c r="E525" s="20" t="n">
        <x:v>1</x:v>
      </x:c>
      <x:c r="F525" s="20" t="n">
        <x:v>1</x:v>
      </x:c>
      <x:c r="G525" s="19" t="str">
        <x:v>Fabricación</x:v>
      </x:c>
      <x:c r="H525" s="19" t="str">
        <x:v>Diagonal CHS168.3x10 con cortes de asiento; sin penetrar columnas ni placas</x:v>
      </x:c>
      <x:c r="I525" s="19" t="str">
        <x:v>S275J0H / EN 10219-1</x:v>
      </x:c>
      <x:c r="J525" s="19" t="str">
        <x:v>Cantidades por conjunto; no sumar como total de máquina.</x:v>
      </x:c>
    </x:row>
    <x:row r="526" ht="30" customHeight="1">
      <x:c r="A526" s="17" t="str">
        <x:v>TT10_C05_PC_02</x:v>
      </x:c>
      <x:c r="B526" s="17" t="str">
        <x:v>Bastidor fijo ensamblado</x:v>
      </x:c>
      <x:c r="C526" s="18" t="n">
        <x:v>247</x:v>
      </x:c>
      <x:c r="D526" s="17" t="str">
        <x:v>TT10_F586</x:v>
      </x:c>
      <x:c r="E526" s="18" t="n">
        <x:v>1</x:v>
      </x:c>
      <x:c r="F526" s="18" t="n">
        <x:v>1</x:v>
      </x:c>
      <x:c r="G526" s="17" t="str">
        <x:v>Fabricación</x:v>
      </x:c>
      <x:c r="H526" s="17" t="str">
        <x:v>Oreja fija 400 x 250 x 40; agujero Ø65 H8; Strenx 700E</x:v>
      </x:c>
      <x:c r="I526" s="17" t="str">
        <x:v>Strenx700E t40; Rp0.2min700MPa</x:v>
      </x:c>
      <x:c r="J526" s="17" t="str">
        <x:v>Cantidades por conjunto; no sumar como total de máquina.</x:v>
      </x:c>
    </x:row>
    <x:row r="527" ht="30" customHeight="1">
      <x:c r="A527" s="19" t="str">
        <x:v>TT10_C05_PC_02</x:v>
      </x:c>
      <x:c r="B527" s="19" t="str">
        <x:v>Bastidor fijo ensamblado</x:v>
      </x:c>
      <x:c r="C527" s="20" t="n">
        <x:v>248</x:v>
      </x:c>
      <x:c r="D527" s="19" t="str">
        <x:v>TT10_F591</x:v>
      </x:c>
      <x:c r="E527" s="20" t="n">
        <x:v>1</x:v>
      </x:c>
      <x:c r="F527" s="20" t="n">
        <x:v>1</x:v>
      </x:c>
      <x:c r="G527" s="19" t="str">
        <x:v>Fabricación</x:v>
      </x:c>
      <x:c r="H527" s="19" t="str">
        <x:v>Placa base 600 x 500 x 50; 8 agujeros Ø40, centros X ±220, Y ±150 y ±50</x:v>
      </x:c>
      <x:c r="I527" s="19" t="str">
        <x:v>Strenx700E t50; Rp0.2min700MPa</x:v>
      </x:c>
      <x:c r="J527" s="19" t="str">
        <x:v>Cantidades por conjunto; no sumar como total de máquina.</x:v>
      </x:c>
    </x:row>
    <x:row r="528" ht="30" customHeight="1">
      <x:c r="A528" s="17" t="str">
        <x:v>TT10_C05_PC_02</x:v>
      </x:c>
      <x:c r="B528" s="17" t="str">
        <x:v>Bastidor fijo ensamblado</x:v>
      </x:c>
      <x:c r="C528" s="18" t="n">
        <x:v>249</x:v>
      </x:c>
      <x:c r="D528" s="17" t="str">
        <x:v>TT10_F596</x:v>
      </x:c>
      <x:c r="E528" s="18" t="n">
        <x:v>1</x:v>
      </x:c>
      <x:c r="F528" s="18" t="n">
        <x:v>1</x:v>
      </x:c>
      <x:c r="G528" s="17" t="str">
        <x:v>Fabricación</x:v>
      </x:c>
      <x:c r="H528" s="17" t="str">
        <x:v>Tope inclinado: cara inferior mecanizada para asiento horizontal</x:v>
      </x:c>
      <x:c r="I528" s="17" t="str">
        <x:v>ASTM A36</x:v>
      </x:c>
      <x:c r="J528" s="17" t="str">
        <x:v>Cantidades por conjunto; no sumar como total de máquina.</x:v>
      </x:c>
    </x:row>
    <x:row r="529" ht="30" customHeight="1">
      <x:c r="A529" s="19" t="str">
        <x:v>TT10_C05_PC_02</x:v>
      </x:c>
      <x:c r="B529" s="19" t="str">
        <x:v>Bastidor fijo ensamblado</x:v>
      </x:c>
      <x:c r="C529" s="20" t="n">
        <x:v>250</x:v>
      </x:c>
      <x:c r="D529" s="19" t="str">
        <x:v>TT10_F601</x:v>
      </x:c>
      <x:c r="E529" s="20" t="n">
        <x:v>1</x:v>
      </x:c>
      <x:c r="F529" s="20" t="n">
        <x:v>1</x:v>
      </x:c>
      <x:c r="G529" s="19" t="str">
        <x:v>Fabricación</x:v>
      </x:c>
      <x:c r="H529" s="19" t="str">
        <x:v>Diagonal CHS168.3x10 con cortes de asiento; sin penetrar columnas ni placas</x:v>
      </x:c>
      <x:c r="I529" s="19" t="str">
        <x:v>S275J0H / EN 10219-1</x:v>
      </x:c>
      <x:c r="J529" s="19" t="str">
        <x:v>Cantidades por conjunto; no sumar como total de máquina.</x:v>
      </x:c>
    </x:row>
    <x:row r="530" ht="30" customHeight="1">
      <x:c r="A530" s="17" t="str">
        <x:v>TT10_C05_PC_02</x:v>
      </x:c>
      <x:c r="B530" s="17" t="str">
        <x:v>Bastidor fijo ensamblado</x:v>
      </x:c>
      <x:c r="C530" s="18" t="n">
        <x:v>251</x:v>
      </x:c>
      <x:c r="D530" s="17" t="str">
        <x:v>TT10_F606</x:v>
      </x:c>
      <x:c r="E530" s="18" t="n">
        <x:v>1</x:v>
      </x:c>
      <x:c r="F530" s="18" t="n">
        <x:v>1</x:v>
      </x:c>
      <x:c r="G530" s="17" t="str">
        <x:v>Fabricación</x:v>
      </x:c>
      <x:c r="H530" s="17" t="str">
        <x:v>Diagonal CHS168.3x10 con cortes de asiento; sin penetrar columnas ni placas</x:v>
      </x:c>
      <x:c r="I530" s="17" t="str">
        <x:v>S275J0H / EN 10219-1</x:v>
      </x:c>
      <x:c r="J530" s="17" t="str">
        <x:v>Cantidades por conjunto; no sumar como total de máquina.</x:v>
      </x:c>
    </x:row>
    <x:row r="531" ht="30" customHeight="1">
      <x:c r="A531" s="19" t="str">
        <x:v>TT10_C05_PC_02</x:v>
      </x:c>
      <x:c r="B531" s="19" t="str">
        <x:v>Bastidor fijo ensamblado</x:v>
      </x:c>
      <x:c r="C531" s="20" t="n">
        <x:v>252</x:v>
      </x:c>
      <x:c r="D531" s="19" t="str">
        <x:v>TT10_F611</x:v>
      </x:c>
      <x:c r="E531" s="20" t="n">
        <x:v>1</x:v>
      </x:c>
      <x:c r="F531" s="20" t="n">
        <x:v>1</x:v>
      </x:c>
      <x:c r="G531" s="19" t="str">
        <x:v>Fabricación</x:v>
      </x:c>
      <x:c r="H531" s="19" t="str">
        <x:v>Poste independiente cajón 300 x 200 x 2395, t20; 2 diafragmas 260 x 160 x 20</x:v>
      </x:c>
      <x:c r="I531" s="19" t="str">
        <x:v>Strenx700E t20; Rp0.2min700MPa</x:v>
      </x:c>
      <x:c r="J531" s="19" t="str">
        <x:v>Cantidades por conjunto; no sumar como total de máquina.</x:v>
      </x:c>
    </x:row>
    <x:row r="532" ht="30" customHeight="1">
      <x:c r="A532" s="17" t="str">
        <x:v>TT10_C05_PC_02</x:v>
      </x:c>
      <x:c r="B532" s="17" t="str">
        <x:v>Bastidor fijo ensamblado</x:v>
      </x:c>
      <x:c r="C532" s="18" t="n">
        <x:v>254</x:v>
      </x:c>
      <x:c r="D532" s="17" t="str">
        <x:v>TT10_F621</x:v>
      </x:c>
      <x:c r="E532" s="18" t="n">
        <x:v>1</x:v>
      </x:c>
      <x:c r="F532" s="18" t="n">
        <x:v>1</x:v>
      </x:c>
      <x:c r="G532" s="17" t="str">
        <x:v>Fabricación</x:v>
      </x:c>
      <x:c r="H532" s="17" t="str">
        <x:v>Puente RHS200x150x10 L1005; fuera del plano de las diagonales</x:v>
      </x:c>
      <x:c r="I532" s="17" t="str">
        <x:v>S275J0H / EN 10219-1</x:v>
      </x:c>
      <x:c r="J532" s="17" t="str">
        <x:v>Cantidades por conjunto; no sumar como total de máquina.</x:v>
      </x:c>
    </x:row>
    <x:row r="533" ht="30" customHeight="1">
      <x:c r="A533" s="19" t="str">
        <x:v>TT10_C05_PC_02</x:v>
      </x:c>
      <x:c r="B533" s="19" t="str">
        <x:v>Bastidor fijo ensamblado</x:v>
      </x:c>
      <x:c r="C533" s="20" t="n">
        <x:v>255</x:v>
      </x:c>
      <x:c r="D533" s="19" t="str">
        <x:v>TT10_F626</x:v>
      </x:c>
      <x:c r="E533" s="20" t="n">
        <x:v>1</x:v>
      </x:c>
      <x:c r="F533" s="20" t="n">
        <x:v>1</x:v>
      </x:c>
      <x:c r="G533" s="19" t="str">
        <x:v>Fabricación</x:v>
      </x:c>
      <x:c r="H533" s="19" t="str">
        <x:v>Pieza TT10_F626</x:v>
      </x:c>
      <x:c r="I533" s="19" t="str">
        <x:v>ASTM A36</x:v>
      </x:c>
      <x:c r="J533" s="19" t="str">
        <x:v>Cantidades por conjunto; no sumar como total de máquina.</x:v>
      </x:c>
    </x:row>
    <x:row r="534" ht="30" customHeight="1">
      <x:c r="A534" s="17" t="str">
        <x:v>TT10_C05_PC_02</x:v>
      </x:c>
      <x:c r="B534" s="17" t="str">
        <x:v>Bastidor fijo ensamblado</x:v>
      </x:c>
      <x:c r="C534" s="18" t="n">
        <x:v>256</x:v>
      </x:c>
      <x:c r="D534" s="17" t="str">
        <x:v>TT10_F631</x:v>
      </x:c>
      <x:c r="E534" s="18" t="n">
        <x:v>1</x:v>
      </x:c>
      <x:c r="F534" s="18" t="n">
        <x:v>1</x:v>
      </x:c>
      <x:c r="G534" s="17" t="str">
        <x:v>Fabricación</x:v>
      </x:c>
      <x:c r="H534" s="17" t="str">
        <x:v>Pieza TT10_F631</x:v>
      </x:c>
      <x:c r="I534" s="17" t="str">
        <x:v>ASTM A36</x:v>
      </x:c>
      <x:c r="J534" s="17" t="str">
        <x:v>Cantidades por conjunto; no sumar como total de máquina.</x:v>
      </x:c>
    </x:row>
    <x:row r="535" ht="30" customHeight="1">
      <x:c r="A535" s="19" t="str">
        <x:v>TT10_C05_PC_02</x:v>
      </x:c>
      <x:c r="B535" s="19" t="str">
        <x:v>Bastidor fijo ensamblado</x:v>
      </x:c>
      <x:c r="C535" s="20" t="n">
        <x:v>257</x:v>
      </x:c>
      <x:c r="D535" s="19" t="str">
        <x:v>TT10_F636</x:v>
      </x:c>
      <x:c r="E535" s="20" t="n">
        <x:v>1</x:v>
      </x:c>
      <x:c r="F535" s="20" t="n">
        <x:v>1</x:v>
      </x:c>
      <x:c r="G535" s="19" t="str">
        <x:v>Fabricación</x:v>
      </x:c>
      <x:c r="H535" s="19" t="str">
        <x:v>Columna principal recortada para placa80 y altura de centro SKF220</x:v>
      </x:c>
      <x:c r="I535" s="19" t="str">
        <x:v>S355J2; certificado 3.1 requerido</x:v>
      </x:c>
      <x:c r="J535" s="19" t="str">
        <x:v>Cantidades por conjunto; no sumar como total de máquina.</x:v>
      </x:c>
    </x:row>
    <x:row r="536" ht="30" customHeight="1">
      <x:c r="A536" s="17" t="str">
        <x:v>TT10_C05_PC_02</x:v>
      </x:c>
      <x:c r="B536" s="17" t="str">
        <x:v>Bastidor fijo ensamblado</x:v>
      </x:c>
      <x:c r="C536" s="18" t="n">
        <x:v>258</x:v>
      </x:c>
      <x:c r="D536" s="17" t="str">
        <x:v>TT10_F641</x:v>
      </x:c>
      <x:c r="E536" s="18" t="n">
        <x:v>1</x:v>
      </x:c>
      <x:c r="F536" s="18" t="n">
        <x:v>1</x:v>
      </x:c>
      <x:c r="G536" s="17" t="str">
        <x:v>Fabricación</x:v>
      </x:c>
      <x:c r="H536" s="17" t="str">
        <x:v>Columna principal recortada para placa80 y altura de centro SKF220</x:v>
      </x:c>
      <x:c r="I536" s="17" t="str">
        <x:v>S355J2; certificado 3.1 requerido</x:v>
      </x:c>
      <x:c r="J536" s="17" t="str">
        <x:v>Cantidades por conjunto; no sumar como total de máquina.</x:v>
      </x:c>
    </x:row>
    <x:row r="537" ht="30" customHeight="1">
      <x:c r="A537" s="19" t="str">
        <x:v>TT10_C05_PC_02</x:v>
      </x:c>
      <x:c r="B537" s="19" t="str">
        <x:v>Bastidor fijo ensamblado</x:v>
      </x:c>
      <x:c r="C537" s="20" t="n">
        <x:v>262</x:v>
      </x:c>
      <x:c r="D537" s="19" t="str">
        <x:v>TT10_GUIA_N</x:v>
      </x:c>
      <x:c r="E537" s="20" t="n">
        <x:v>1</x:v>
      </x:c>
      <x:c r="F537" s="20" t="n">
        <x:v>1</x:v>
      </x:c>
      <x:c r="G537" s="19" t="str">
        <x:v>Fabricación</x:v>
      </x:c>
      <x:c r="H537" s="19" t="str">
        <x:v>Guía con alojamiento Ø69 H7; casquillo69/65.5; fuera del camino resistente</x:v>
      </x:c>
      <x:c r="I537" s="19" t="str">
        <x:v>ASTM A36</x:v>
      </x:c>
      <x:c r="J537" s="19" t="str">
        <x:v>Cantidades por conjunto; no sumar como total de máquina.</x:v>
      </x:c>
    </x:row>
    <x:row r="538" ht="30" customHeight="1">
      <x:c r="A538" s="17" t="str">
        <x:v>TT10_C05_PC_02</x:v>
      </x:c>
      <x:c r="B538" s="17" t="str">
        <x:v>Bastidor fijo ensamblado</x:v>
      </x:c>
      <x:c r="C538" s="18" t="n">
        <x:v>263</x:v>
      </x:c>
      <x:c r="D538" s="17" t="str">
        <x:v>TT10_GUIA_P</x:v>
      </x:c>
      <x:c r="E538" s="18" t="n">
        <x:v>1</x:v>
      </x:c>
      <x:c r="F538" s="18" t="n">
        <x:v>1</x:v>
      </x:c>
      <x:c r="G538" s="17" t="str">
        <x:v>Fabricación</x:v>
      </x:c>
      <x:c r="H538" s="17" t="str">
        <x:v>Guía con alojamiento Ø69 H7; casquillo69/65.5; fuera del camino resistente</x:v>
      </x:c>
      <x:c r="I538" s="17" t="str">
        <x:v>ASTM A36</x:v>
      </x:c>
      <x:c r="J538" s="17" t="str">
        <x:v>Cantidades por conjunto; no sumar como total de máquina.</x:v>
      </x:c>
    </x:row>
    <x:row r="539" ht="30" customHeight="1">
      <x:c r="A539" s="19" t="str">
        <x:v>TT10_C05_PC_02</x:v>
      </x:c>
      <x:c r="B539" s="19" t="str">
        <x:v>Bastidor fijo ensamblado</x:v>
      </x:c>
      <x:c r="C539" s="20" t="n">
        <x:v>388</x:v>
      </x:c>
      <x:c r="D539" s="19" t="str">
        <x:v>TT10_NODO_N</x:v>
      </x:c>
      <x:c r="E539" s="20" t="n">
        <x:v>1</x:v>
      </x:c>
      <x:c r="F539" s="20" t="n">
        <x:v>1</x:v>
      </x:c>
      <x:c r="G539" s="19" t="str">
        <x:v>Fabricación</x:v>
      </x:c>
      <x:c r="H539" s="19" t="str">
        <x:v>Placa de nodo20: unión entre puente desplazado y columna principal</x:v>
      </x:c>
      <x:c r="I539" s="19" t="str">
        <x:v>ASTM A36</x:v>
      </x:c>
      <x:c r="J539" s="19" t="str">
        <x:v>Cantidades por conjunto; no sumar como total de máquina.</x:v>
      </x:c>
    </x:row>
    <x:row r="540" ht="30" customHeight="1">
      <x:c r="A540" s="17" t="str">
        <x:v>TT10_C05_PC_02</x:v>
      </x:c>
      <x:c r="B540" s="17" t="str">
        <x:v>Bastidor fijo ensamblado</x:v>
      </x:c>
      <x:c r="C540" s="18" t="n">
        <x:v>389</x:v>
      </x:c>
      <x:c r="D540" s="17" t="str">
        <x:v>TT10_NODO_P</x:v>
      </x:c>
      <x:c r="E540" s="18" t="n">
        <x:v>1</x:v>
      </x:c>
      <x:c r="F540" s="18" t="n">
        <x:v>1</x:v>
      </x:c>
      <x:c r="G540" s="17" t="str">
        <x:v>Fabricación</x:v>
      </x:c>
      <x:c r="H540" s="17" t="str">
        <x:v>Placa de nodo20: unión entre puente desplazado y columna principal</x:v>
      </x:c>
      <x:c r="I540" s="17" t="str">
        <x:v>ASTM A36</x:v>
      </x:c>
      <x:c r="J540" s="17" t="str">
        <x:v>Cantidades por conjunto; no sumar como total de máquina.</x:v>
      </x:c>
    </x:row>
    <x:row r="541" ht="30" customHeight="1">
      <x:c r="A541" s="19" t="str">
        <x:v>TT10_C05_PC_02</x:v>
      </x:c>
      <x:c r="B541" s="19" t="str">
        <x:v>Bastidor fijo ensamblado</x:v>
      </x:c>
      <x:c r="C541" s="20" t="n">
        <x:v>430</x:v>
      </x:c>
      <x:c r="D541" s="19" t="str">
        <x:v>TT10_PUENTE_N</x:v>
      </x:c>
      <x:c r="E541" s="20" t="n">
        <x:v>1</x:v>
      </x:c>
      <x:c r="F541" s="20" t="n">
        <x:v>1</x:v>
      </x:c>
      <x:c r="G541" s="19" t="str">
        <x:v>Fabricación</x:v>
      </x:c>
      <x:c r="H541" s="19" t="str">
        <x:v>Puente guía A36 525 x 125 x 25; recorte 225 x 10 junto al poste</x:v>
      </x:c>
      <x:c r="I541" s="19" t="str">
        <x:v>ASTM A36 t25</x:v>
      </x:c>
      <x:c r="J541" s="19" t="str">
        <x:v>Cantidades por conjunto; no sumar como total de máquina.</x:v>
      </x:c>
    </x:row>
    <x:row r="542" ht="30" customHeight="1">
      <x:c r="A542" s="17" t="str">
        <x:v>TT10_C05_PC_02</x:v>
      </x:c>
      <x:c r="B542" s="17" t="str">
        <x:v>Bastidor fijo ensamblado</x:v>
      </x:c>
      <x:c r="C542" s="18" t="n">
        <x:v>431</x:v>
      </x:c>
      <x:c r="D542" s="17" t="str">
        <x:v>TT10_PUENTE_P</x:v>
      </x:c>
      <x:c r="E542" s="18" t="n">
        <x:v>1</x:v>
      </x:c>
      <x:c r="F542" s="18" t="n">
        <x:v>1</x:v>
      </x:c>
      <x:c r="G542" s="17" t="str">
        <x:v>Fabricación</x:v>
      </x:c>
      <x:c r="H542" s="17" t="str">
        <x:v>Puente guía A36 525 x 125 x 25; recorte 225 x 10 junto al poste</x:v>
      </x:c>
      <x:c r="I542" s="17" t="str">
        <x:v>ASTM A36 t25</x:v>
      </x:c>
      <x:c r="J542" s="17" t="str">
        <x:v>Cantidades por conjunto; no sumar como total de máquina.</x:v>
      </x:c>
    </x:row>
    <x:row r="543" ht="30" customHeight="1">
      <x:c r="A543" s="19" t="str">
        <x:v>TT10_C05_PC_02</x:v>
      </x:c>
      <x:c r="B543" s="19" t="str">
        <x:v>Bastidor fijo ensamblado</x:v>
      </x:c>
      <x:c r="C543" s="20" t="n">
        <x:v>458</x:v>
      </x:c>
      <x:c r="D543" s="19" t="str">
        <x:v>TT10_TIR_P1</x:v>
      </x:c>
      <x:c r="E543" s="20" t="n">
        <x:v>1</x:v>
      </x:c>
      <x:c r="F543" s="20" t="n">
        <x:v>1</x:v>
      </x:c>
      <x:c r="G543" s="19" t="str">
        <x:v>Fabricación</x:v>
      </x:c>
      <x:c r="H543" s="19" t="str">
        <x:v>Tirante M20 propuesto, L380; rosca simplificada</x:v>
      </x:c>
      <x:c r="I543" s="19" t="str">
        <x:v>ASTM A36</x:v>
      </x:c>
      <x:c r="J543" s="19" t="str">
        <x:v>Cantidades por conjunto; no sumar como total de máquina.</x:v>
      </x:c>
    </x:row>
    <x:row r="544" ht="30" customHeight="1">
      <x:c r="A544" s="17" t="str">
        <x:v>TT10_C05_PC_02</x:v>
      </x:c>
      <x:c r="B544" s="17" t="str">
        <x:v>Bastidor fijo ensamblado</x:v>
      </x:c>
      <x:c r="C544" s="18" t="n">
        <x:v>459</x:v>
      </x:c>
      <x:c r="D544" s="17" t="str">
        <x:v>TT10_TIR_P2</x:v>
      </x:c>
      <x:c r="E544" s="18" t="n">
        <x:v>1</x:v>
      </x:c>
      <x:c r="F544" s="18" t="n">
        <x:v>1</x:v>
      </x:c>
      <x:c r="G544" s="17" t="str">
        <x:v>Fabricación</x:v>
      </x:c>
      <x:c r="H544" s="17" t="str">
        <x:v>Tirante M20 propuesto, L380; rosca simplificada</x:v>
      </x:c>
      <x:c r="I544" s="17" t="str">
        <x:v>ASTM A36</x:v>
      </x:c>
      <x:c r="J544" s="17" t="str">
        <x:v>Cantidades por conjunto; no sumar como total de máquina.</x:v>
      </x:c>
    </x:row>
    <x:row r="545" ht="30" customHeight="1">
      <x:c r="A545" s="19" t="str">
        <x:v>TT10_C05_PC_02</x:v>
      </x:c>
      <x:c r="B545" s="19" t="str">
        <x:v>Bastidor fijo ensamblado</x:v>
      </x:c>
      <x:c r="C545" s="20" t="n">
        <x:v>460</x:v>
      </x:c>
      <x:c r="D545" s="19" t="str">
        <x:v>TT10_TIR_P3</x:v>
      </x:c>
      <x:c r="E545" s="20" t="n">
        <x:v>1</x:v>
      </x:c>
      <x:c r="F545" s="20" t="n">
        <x:v>1</x:v>
      </x:c>
      <x:c r="G545" s="19" t="str">
        <x:v>Fabricación</x:v>
      </x:c>
      <x:c r="H545" s="19" t="str">
        <x:v>Tirante M20 propuesto, L380; rosca simplificada</x:v>
      </x:c>
      <x:c r="I545" s="19" t="str">
        <x:v>ASTM A36</x:v>
      </x:c>
      <x:c r="J545" s="19" t="str">
        <x:v>Cantidades por conjunto; no sumar como total de máquina.</x:v>
      </x:c>
    </x:row>
    <x:row r="546" ht="30" customHeight="1">
      <x:c r="A546" s="17" t="str">
        <x:v>TT10_C05_PC_02</x:v>
      </x:c>
      <x:c r="B546" s="17" t="str">
        <x:v>Bastidor fijo ensamblado</x:v>
      </x:c>
      <x:c r="C546" s="18" t="n">
        <x:v>461</x:v>
      </x:c>
      <x:c r="D546" s="17" t="str">
        <x:v>TT10_TIR_P4</x:v>
      </x:c>
      <x:c r="E546" s="18" t="n">
        <x:v>1</x:v>
      </x:c>
      <x:c r="F546" s="18" t="n">
        <x:v>1</x:v>
      </x:c>
      <x:c r="G546" s="17" t="str">
        <x:v>Fabricación</x:v>
      </x:c>
      <x:c r="H546" s="17" t="str">
        <x:v>Tirante M20 propuesto, L380; rosca simplificada</x:v>
      </x:c>
      <x:c r="I546" s="17" t="str">
        <x:v>ASTM A36</x:v>
      </x:c>
      <x:c r="J546" s="17" t="str">
        <x:v>Cantidades por conjunto; no sumar como total de máquina.</x:v>
      </x:c>
    </x:row>
    <x:row r="547" ht="30" customHeight="1">
      <x:c r="A547" s="19" t="str">
        <x:v>TT10_C05_PC_02</x:v>
      </x:c>
      <x:c r="B547" s="19" t="str">
        <x:v>Bastidor fijo ensamblado</x:v>
      </x:c>
      <x:c r="C547" s="20" t="n">
        <x:v>487</x:v>
      </x:c>
      <x:c r="D547" s="19" t="str">
        <x:v>TT10_TOPE70_N_INFD</x:v>
      </x:c>
      <x:c r="E547" s="20" t="n">
        <x:v>1</x:v>
      </x:c>
      <x:c r="F547" s="20" t="n">
        <x:v>1</x:v>
      </x:c>
      <x:c r="G547" s="19" t="str">
        <x:v>Fabricación</x:v>
      </x:c>
      <x:c r="H547" s="19" t="str">
        <x:v>Cartela horizontal20: transmite componente transversal del tope70</x:v>
      </x:c>
      <x:c r="I547" s="19" t="str">
        <x:v>ASTM A36</x:v>
      </x:c>
      <x:c r="J547" s="19" t="str">
        <x:v>Cantidades por conjunto; no sumar como total de máquina.</x:v>
      </x:c>
    </x:row>
    <x:row r="548" ht="30" customHeight="1">
      <x:c r="A548" s="17" t="str">
        <x:v>TT10_C05_PC_02</x:v>
      </x:c>
      <x:c r="B548" s="17" t="str">
        <x:v>Bastidor fijo ensamblado</x:v>
      </x:c>
      <x:c r="C548" s="18" t="n">
        <x:v>488</x:v>
      </x:c>
      <x:c r="D548" s="17" t="str">
        <x:v>TT10_TOPE70_N_INFI</x:v>
      </x:c>
      <x:c r="E548" s="18" t="n">
        <x:v>1</x:v>
      </x:c>
      <x:c r="F548" s="18" t="n">
        <x:v>1</x:v>
      </x:c>
      <x:c r="G548" s="17" t="str">
        <x:v>Fabricación</x:v>
      </x:c>
      <x:c r="H548" s="17" t="str">
        <x:v>Cartela horizontal20: transmite componente transversal del tope70</x:v>
      </x:c>
      <x:c r="I548" s="17" t="str">
        <x:v>ASTM A36</x:v>
      </x:c>
      <x:c r="J548" s="17" t="str">
        <x:v>Cantidades por conjunto; no sumar como total de máquina.</x:v>
      </x:c>
    </x:row>
    <x:row r="549" ht="30" customHeight="1">
      <x:c r="A549" s="19" t="str">
        <x:v>TT10_C05_PC_02</x:v>
      </x:c>
      <x:c r="B549" s="19" t="str">
        <x:v>Bastidor fijo ensamblado</x:v>
      </x:c>
      <x:c r="C549" s="20" t="n">
        <x:v>489</x:v>
      </x:c>
      <x:c r="D549" s="19" t="str">
        <x:v>TT10_TOPE70_N_SUPD</x:v>
      </x:c>
      <x:c r="E549" s="20" t="n">
        <x:v>1</x:v>
      </x:c>
      <x:c r="F549" s="20" t="n">
        <x:v>1</x:v>
      </x:c>
      <x:c r="G549" s="19" t="str">
        <x:v>Fabricación</x:v>
      </x:c>
      <x:c r="H549" s="19" t="str">
        <x:v>Cartela horizontal20: transmite componente transversal del tope70</x:v>
      </x:c>
      <x:c r="I549" s="19" t="str">
        <x:v>ASTM A36</x:v>
      </x:c>
      <x:c r="J549" s="19" t="str">
        <x:v>Cantidades por conjunto; no sumar como total de máquina.</x:v>
      </x:c>
    </x:row>
    <x:row r="550" ht="30" customHeight="1">
      <x:c r="A550" s="17" t="str">
        <x:v>TT10_C05_PC_02</x:v>
      </x:c>
      <x:c r="B550" s="17" t="str">
        <x:v>Bastidor fijo ensamblado</x:v>
      </x:c>
      <x:c r="C550" s="18" t="n">
        <x:v>490</x:v>
      </x:c>
      <x:c r="D550" s="17" t="str">
        <x:v>TT10_TOPE70_N_SUPI</x:v>
      </x:c>
      <x:c r="E550" s="18" t="n">
        <x:v>1</x:v>
      </x:c>
      <x:c r="F550" s="18" t="n">
        <x:v>1</x:v>
      </x:c>
      <x:c r="G550" s="17" t="str">
        <x:v>Fabricación</x:v>
      </x:c>
      <x:c r="H550" s="17" t="str">
        <x:v>Cartela horizontal20: transmite componente transversal del tope70</x:v>
      </x:c>
      <x:c r="I550" s="17" t="str">
        <x:v>ASTM A36</x:v>
      </x:c>
      <x:c r="J550" s="17" t="str">
        <x:v>Cantidades por conjunto; no sumar como total de máquina.</x:v>
      </x:c>
    </x:row>
    <x:row r="551" ht="30" customHeight="1">
      <x:c r="A551" s="19" t="str">
        <x:v>TT10_C05_PC_02</x:v>
      </x:c>
      <x:c r="B551" s="19" t="str">
        <x:v>Bastidor fijo ensamblado</x:v>
      </x:c>
      <x:c r="C551" s="20" t="n">
        <x:v>491</x:v>
      </x:c>
      <x:c r="D551" s="19" t="str">
        <x:v>TT10_TOPE70_N_V1</x:v>
      </x:c>
      <x:c r="E551" s="20" t="n">
        <x:v>1</x:v>
      </x:c>
      <x:c r="F551" s="20" t="n">
        <x:v>1</x:v>
      </x:c>
      <x:c r="G551" s="19" t="str">
        <x:v>Fabricación</x:v>
      </x:c>
      <x:c r="H551" s="19" t="str">
        <x:v>Cartela vertical20 de tope70; apoyo al bloque y cara de columna</x:v>
      </x:c>
      <x:c r="I551" s="19" t="str">
        <x:v>ASTM A36</x:v>
      </x:c>
      <x:c r="J551" s="19" t="str">
        <x:v>Cantidades por conjunto; no sumar como total de máquina.</x:v>
      </x:c>
    </x:row>
    <x:row r="552" ht="30" customHeight="1">
      <x:c r="A552" s="17" t="str">
        <x:v>TT10_C05_PC_02</x:v>
      </x:c>
      <x:c r="B552" s="17" t="str">
        <x:v>Bastidor fijo ensamblado</x:v>
      </x:c>
      <x:c r="C552" s="18" t="n">
        <x:v>492</x:v>
      </x:c>
      <x:c r="D552" s="17" t="str">
        <x:v>TT10_TOPE70_N_V2</x:v>
      </x:c>
      <x:c r="E552" s="18" t="n">
        <x:v>1</x:v>
      </x:c>
      <x:c r="F552" s="18" t="n">
        <x:v>1</x:v>
      </x:c>
      <x:c r="G552" s="17" t="str">
        <x:v>Fabricación</x:v>
      </x:c>
      <x:c r="H552" s="17" t="str">
        <x:v>Cartela vertical20 de tope70; apoyo al bloque y cara de columna</x:v>
      </x:c>
      <x:c r="I552" s="17" t="str">
        <x:v>ASTM A36</x:v>
      </x:c>
      <x:c r="J552" s="17" t="str">
        <x:v>Cantidades por conjunto; no sumar como total de máquina.</x:v>
      </x:c>
    </x:row>
    <x:row r="553" ht="30" customHeight="1">
      <x:c r="A553" s="19" t="str">
        <x:v>TT10_C05_PC_02</x:v>
      </x:c>
      <x:c r="B553" s="19" t="str">
        <x:v>Bastidor fijo ensamblado</x:v>
      </x:c>
      <x:c r="C553" s="20" t="n">
        <x:v>493</x:v>
      </x:c>
      <x:c r="D553" s="19" t="str">
        <x:v>TT10_TOPE70_P_INFD</x:v>
      </x:c>
      <x:c r="E553" s="20" t="n">
        <x:v>1</x:v>
      </x:c>
      <x:c r="F553" s="20" t="n">
        <x:v>1</x:v>
      </x:c>
      <x:c r="G553" s="19" t="str">
        <x:v>Fabricación</x:v>
      </x:c>
      <x:c r="H553" s="19" t="str">
        <x:v>Cartela horizontal20: transmite componente transversal del tope70</x:v>
      </x:c>
      <x:c r="I553" s="19" t="str">
        <x:v>ASTM A36</x:v>
      </x:c>
      <x:c r="J553" s="19" t="str">
        <x:v>Cantidades por conjunto; no sumar como total de máquina.</x:v>
      </x:c>
    </x:row>
    <x:row r="554" ht="30" customHeight="1">
      <x:c r="A554" s="17" t="str">
        <x:v>TT10_C05_PC_02</x:v>
      </x:c>
      <x:c r="B554" s="17" t="str">
        <x:v>Bastidor fijo ensamblado</x:v>
      </x:c>
      <x:c r="C554" s="18" t="n">
        <x:v>494</x:v>
      </x:c>
      <x:c r="D554" s="17" t="str">
        <x:v>TT10_TOPE70_P_INFI</x:v>
      </x:c>
      <x:c r="E554" s="18" t="n">
        <x:v>1</x:v>
      </x:c>
      <x:c r="F554" s="18" t="n">
        <x:v>1</x:v>
      </x:c>
      <x:c r="G554" s="17" t="str">
        <x:v>Fabricación</x:v>
      </x:c>
      <x:c r="H554" s="17" t="str">
        <x:v>Cartela horizontal20: transmite componente transversal del tope70</x:v>
      </x:c>
      <x:c r="I554" s="17" t="str">
        <x:v>ASTM A36</x:v>
      </x:c>
      <x:c r="J554" s="17" t="str">
        <x:v>Cantidades por conjunto; no sumar como total de máquina.</x:v>
      </x:c>
    </x:row>
    <x:row r="555" ht="30" customHeight="1">
      <x:c r="A555" s="19" t="str">
        <x:v>TT10_C05_PC_02</x:v>
      </x:c>
      <x:c r="B555" s="19" t="str">
        <x:v>Bastidor fijo ensamblado</x:v>
      </x:c>
      <x:c r="C555" s="20" t="n">
        <x:v>495</x:v>
      </x:c>
      <x:c r="D555" s="19" t="str">
        <x:v>TT10_TOPE70_P_SUPD</x:v>
      </x:c>
      <x:c r="E555" s="20" t="n">
        <x:v>1</x:v>
      </x:c>
      <x:c r="F555" s="20" t="n">
        <x:v>1</x:v>
      </x:c>
      <x:c r="G555" s="19" t="str">
        <x:v>Fabricación</x:v>
      </x:c>
      <x:c r="H555" s="19" t="str">
        <x:v>Cartela horizontal20: transmite componente transversal del tope70</x:v>
      </x:c>
      <x:c r="I555" s="19" t="str">
        <x:v>ASTM A36</x:v>
      </x:c>
      <x:c r="J555" s="19" t="str">
        <x:v>Cantidades por conjunto; no sumar como total de máquina.</x:v>
      </x:c>
    </x:row>
    <x:row r="556" ht="30" customHeight="1">
      <x:c r="A556" s="17" t="str">
        <x:v>TT10_C05_PC_02</x:v>
      </x:c>
      <x:c r="B556" s="17" t="str">
        <x:v>Bastidor fijo ensamblado</x:v>
      </x:c>
      <x:c r="C556" s="18" t="n">
        <x:v>496</x:v>
      </x:c>
      <x:c r="D556" s="17" t="str">
        <x:v>TT10_TOPE70_P_SUPI</x:v>
      </x:c>
      <x:c r="E556" s="18" t="n">
        <x:v>1</x:v>
      </x:c>
      <x:c r="F556" s="18" t="n">
        <x:v>1</x:v>
      </x:c>
      <x:c r="G556" s="17" t="str">
        <x:v>Fabricación</x:v>
      </x:c>
      <x:c r="H556" s="17" t="str">
        <x:v>Cartela horizontal20: transmite componente transversal del tope70</x:v>
      </x:c>
      <x:c r="I556" s="17" t="str">
        <x:v>ASTM A36</x:v>
      </x:c>
      <x:c r="J556" s="17" t="str">
        <x:v>Cantidades por conjunto; no sumar como total de máquina.</x:v>
      </x:c>
    </x:row>
    <x:row r="557" ht="30" customHeight="1">
      <x:c r="A557" s="19" t="str">
        <x:v>TT10_C05_PC_02</x:v>
      </x:c>
      <x:c r="B557" s="19" t="str">
        <x:v>Bastidor fijo ensamblado</x:v>
      </x:c>
      <x:c r="C557" s="20" t="n">
        <x:v>497</x:v>
      </x:c>
      <x:c r="D557" s="19" t="str">
        <x:v>TT10_TOPE70_P_V1</x:v>
      </x:c>
      <x:c r="E557" s="20" t="n">
        <x:v>1</x:v>
      </x:c>
      <x:c r="F557" s="20" t="n">
        <x:v>1</x:v>
      </x:c>
      <x:c r="G557" s="19" t="str">
        <x:v>Fabricación</x:v>
      </x:c>
      <x:c r="H557" s="19" t="str">
        <x:v>Cartela vertical20 de tope70; apoyo al bloque y cara de columna</x:v>
      </x:c>
      <x:c r="I557" s="19" t="str">
        <x:v>ASTM A36</x:v>
      </x:c>
      <x:c r="J557" s="19" t="str">
        <x:v>Cantidades por conjunto; no sumar como total de máquina.</x:v>
      </x:c>
    </x:row>
    <x:row r="558" ht="30" customHeight="1">
      <x:c r="A558" s="17" t="str">
        <x:v>TT10_C05_PC_02</x:v>
      </x:c>
      <x:c r="B558" s="17" t="str">
        <x:v>Bastidor fijo ensamblado</x:v>
      </x:c>
      <x:c r="C558" s="18" t="n">
        <x:v>498</x:v>
      </x:c>
      <x:c r="D558" s="17" t="str">
        <x:v>TT10_TOPE70_P_V2</x:v>
      </x:c>
      <x:c r="E558" s="18" t="n">
        <x:v>1</x:v>
      </x:c>
      <x:c r="F558" s="18" t="n">
        <x:v>1</x:v>
      </x:c>
      <x:c r="G558" s="17" t="str">
        <x:v>Fabricación</x:v>
      </x:c>
      <x:c r="H558" s="17" t="str">
        <x:v>Cartela vertical20 de tope70; apoyo al bloque y cara de columna</x:v>
      </x:c>
      <x:c r="I558" s="17" t="str">
        <x:v>ASTM A36</x:v>
      </x:c>
      <x:c r="J558" s="17" t="str">
        <x:v>Cantidades por conjunto; no sumar como total de máquina.</x:v>
      </x:c>
    </x:row>
    <x:row r="559" ht="30" customHeight="1">
      <x:c r="A559" s="19" t="str">
        <x:v>TT10_C05_PC_03</x:v>
      </x:c>
      <x:c r="B559" s="19" t="str">
        <x:v>Topes de giro, orejas y guías del bastidor</x:v>
      </x:c>
      <x:c r="C559" s="20" t="n">
        <x:v>4</x:v>
      </x:c>
      <x:c r="D559" s="19" t="str">
        <x:v>TT10_BUJE_PIN_N</x:v>
      </x:c>
      <x:c r="E559" s="20" t="n">
        <x:v>1</x:v>
      </x:c>
      <x:c r="F559" s="20" t="n">
        <x:v>1</x:v>
      </x:c>
      <x:c r="G559" s="19" t="str">
        <x:v>Fabricación</x:v>
      </x:c>
      <x:c r="H559" s="19" t="str">
        <x:v>Casquillo CuSn12 Ø69 s6 / Ø65.5 H9 final, L85, C0.5 interiores</x:v>
      </x:c>
      <x:c r="I559" s="19" t="str">
        <x:v>CuSn12 / EN 1982</x:v>
      </x:c>
      <x:c r="J559" s="19" t="str">
        <x:v>Cantidades por conjunto; no sumar como total de máquina.</x:v>
      </x:c>
    </x:row>
    <x:row r="560" ht="30" customHeight="1">
      <x:c r="A560" s="17" t="str">
        <x:v>TT10_C05_PC_03</x:v>
      </x:c>
      <x:c r="B560" s="17" t="str">
        <x:v>Topes de giro, orejas y guías del bastidor</x:v>
      </x:c>
      <x:c r="C560" s="18" t="n">
        <x:v>5</x:v>
      </x:c>
      <x:c r="D560" s="17" t="str">
        <x:v>TT10_BUJE_PIN_P</x:v>
      </x:c>
      <x:c r="E560" s="18" t="n">
        <x:v>1</x:v>
      </x:c>
      <x:c r="F560" s="18" t="n">
        <x:v>1</x:v>
      </x:c>
      <x:c r="G560" s="17" t="str">
        <x:v>Fabricación</x:v>
      </x:c>
      <x:c r="H560" s="17" t="str">
        <x:v>Casquillo CuSn12 Ø69 s6 / Ø65.5 H9 final, L85, C0.5 interiores</x:v>
      </x:c>
      <x:c r="I560" s="17" t="str">
        <x:v>CuSn12 / EN 1982</x:v>
      </x:c>
      <x:c r="J560" s="17" t="str">
        <x:v>Cantidades por conjunto; no sumar como total de máquina.</x:v>
      </x:c>
    </x:row>
    <x:row r="561" ht="30" customHeight="1">
      <x:c r="A561" s="19" t="str">
        <x:v>TT10_C05_PC_03</x:v>
      </x:c>
      <x:c r="B561" s="19" t="str">
        <x:v>Topes de giro, orejas y guías del bastidor</x:v>
      </x:c>
      <x:c r="C561" s="20" t="n">
        <x:v>218</x:v>
      </x:c>
      <x:c r="D561" s="19" t="str">
        <x:v>TT10_F416</x:v>
      </x:c>
      <x:c r="E561" s="20" t="n">
        <x:v>1</x:v>
      </x:c>
      <x:c r="F561" s="20" t="n">
        <x:v>1</x:v>
      </x:c>
      <x:c r="G561" s="19" t="str">
        <x:v>Fabricación</x:v>
      </x:c>
      <x:c r="H561" s="19" t="str">
        <x:v>Placa base 600 x 500 x 50; 8 agujeros Ø40, centros X ±220, Y ±150 y ±50</x:v>
      </x:c>
      <x:c r="I561" s="19" t="str">
        <x:v>Strenx700E t50; Rp0.2min700MPa</x:v>
      </x:c>
      <x:c r="J561" s="19" t="str">
        <x:v>Cantidades por conjunto; no sumar como total de máquina.</x:v>
      </x:c>
    </x:row>
    <x:row r="562" ht="30" customHeight="1">
      <x:c r="A562" s="17" t="str">
        <x:v>TT10_C05_PC_03</x:v>
      </x:c>
      <x:c r="B562" s="17" t="str">
        <x:v>Topes de giro, orejas y guías del bastidor</x:v>
      </x:c>
      <x:c r="C562" s="18" t="n">
        <x:v>219</x:v>
      </x:c>
      <x:c r="D562" s="17" t="str">
        <x:v>TT10_F426</x:v>
      </x:c>
      <x:c r="E562" s="18" t="n">
        <x:v>1</x:v>
      </x:c>
      <x:c r="F562" s="18" t="n">
        <x:v>1</x:v>
      </x:c>
      <x:c r="G562" s="17" t="str">
        <x:v>Fabricación</x:v>
      </x:c>
      <x:c r="H562" s="17" t="str">
        <x:v>Tope inclinado: cara inferior mecanizada para asiento horizontal</x:v>
      </x:c>
      <x:c r="I562" s="17" t="str">
        <x:v>ASTM A36</x:v>
      </x:c>
      <x:c r="J562" s="17" t="str">
        <x:v>Cantidades por conjunto; no sumar como total de máquina.</x:v>
      </x:c>
    </x:row>
    <x:row r="563" ht="30" customHeight="1">
      <x:c r="A563" s="19" t="str">
        <x:v>TT10_C05_PC_03</x:v>
      </x:c>
      <x:c r="B563" s="19" t="str">
        <x:v>Topes de giro, orejas y guías del bastidor</x:v>
      </x:c>
      <x:c r="C563" s="20" t="n">
        <x:v>228</x:v>
      </x:c>
      <x:c r="D563" s="19" t="str">
        <x:v>TT10_F486</x:v>
      </x:c>
      <x:c r="E563" s="20" t="n">
        <x:v>1</x:v>
      </x:c>
      <x:c r="F563" s="20" t="n">
        <x:v>1</x:v>
      </x:c>
      <x:c r="G563" s="19" t="str">
        <x:v>Fabricación</x:v>
      </x:c>
      <x:c r="H563" s="19" t="str">
        <x:v>Oreja fija 400 x 250 x 40; agujero Ø65 H8; Strenx 700E</x:v>
      </x:c>
      <x:c r="I563" s="19" t="str">
        <x:v>Strenx700E t40; Rp0.2min700MPa</x:v>
      </x:c>
      <x:c r="J563" s="19" t="str">
        <x:v>Cantidades por conjunto; no sumar como total de máquina.</x:v>
      </x:c>
    </x:row>
    <x:row r="564" ht="30" customHeight="1">
      <x:c r="A564" s="17" t="str">
        <x:v>TT10_C05_PC_03</x:v>
      </x:c>
      <x:c r="B564" s="17" t="str">
        <x:v>Topes de giro, orejas y guías del bastidor</x:v>
      </x:c>
      <x:c r="C564" s="18" t="n">
        <x:v>230</x:v>
      </x:c>
      <x:c r="D564" s="17" t="str">
        <x:v>TT10_F501</x:v>
      </x:c>
      <x:c r="E564" s="18" t="n">
        <x:v>1</x:v>
      </x:c>
      <x:c r="F564" s="18" t="n">
        <x:v>1</x:v>
      </x:c>
      <x:c r="G564" s="17" t="str">
        <x:v>Fabricación</x:v>
      </x:c>
      <x:c r="H564" s="17" t="str">
        <x:v>Oreja fija 400 x 250 x 40; agujero Ø65 H8; Strenx 700E</x:v>
      </x:c>
      <x:c r="I564" s="17" t="str">
        <x:v>Strenx700E t40; Rp0.2min700MPa</x:v>
      </x:c>
      <x:c r="J564" s="17" t="str">
        <x:v>Cantidades por conjunto; no sumar como total de máquina.</x:v>
      </x:c>
    </x:row>
    <x:row r="565" ht="30" customHeight="1">
      <x:c r="A565" s="19" t="str">
        <x:v>TT10_C05_PC_03</x:v>
      </x:c>
      <x:c r="B565" s="19" t="str">
        <x:v>Topes de giro, orejas y guías del bastidor</x:v>
      </x:c>
      <x:c r="C565" s="20" t="n">
        <x:v>235</x:v>
      </x:c>
      <x:c r="D565" s="19" t="str">
        <x:v>TT10_F526</x:v>
      </x:c>
      <x:c r="E565" s="20" t="n">
        <x:v>1</x:v>
      </x:c>
      <x:c r="F565" s="20" t="n">
        <x:v>1</x:v>
      </x:c>
      <x:c r="G565" s="19" t="str">
        <x:v>Fabricación</x:v>
      </x:c>
      <x:c r="H565" s="19" t="str">
        <x:v>Perfil tubular 350 x 300 x 12; L 4800</x:v>
      </x:c>
      <x:c r="I565" s="19" t="str">
        <x:v>S275J0H / EN 10219-1</x:v>
      </x:c>
      <x:c r="J565" s="19" t="str">
        <x:v>Cantidades por conjunto; no sumar como total de máquina.</x:v>
      </x:c>
    </x:row>
    <x:row r="566" ht="30" customHeight="1">
      <x:c r="A566" s="17" t="str">
        <x:v>TT10_C05_PC_03</x:v>
      </x:c>
      <x:c r="B566" s="17" t="str">
        <x:v>Topes de giro, orejas y guías del bastidor</x:v>
      </x:c>
      <x:c r="C566" s="18" t="n">
        <x:v>236</x:v>
      </x:c>
      <x:c r="D566" s="17" t="str">
        <x:v>TT10_F531</x:v>
      </x:c>
      <x:c r="E566" s="18" t="n">
        <x:v>1</x:v>
      </x:c>
      <x:c r="F566" s="18" t="n">
        <x:v>1</x:v>
      </x:c>
      <x:c r="G566" s="17" t="str">
        <x:v>Fabricación</x:v>
      </x:c>
      <x:c r="H566" s="17" t="str">
        <x:v>Perfil tubular 350 x 300 x 12; L 4800</x:v>
      </x:c>
      <x:c r="I566" s="17" t="str">
        <x:v>S275J0H / EN 10219-1</x:v>
      </x:c>
      <x:c r="J566" s="17" t="str">
        <x:v>Cantidades por conjunto; no sumar como total de máquina.</x:v>
      </x:c>
    </x:row>
    <x:row r="567" ht="30" customHeight="1">
      <x:c r="A567" s="19" t="str">
        <x:v>TT10_C05_PC_03</x:v>
      </x:c>
      <x:c r="B567" s="19" t="str">
        <x:v>Topes de giro, orejas y guías del bastidor</x:v>
      </x:c>
      <x:c r="C567" s="20" t="n">
        <x:v>237</x:v>
      </x:c>
      <x:c r="D567" s="19" t="str">
        <x:v>TT10_F536</x:v>
      </x:c>
      <x:c r="E567" s="20" t="n">
        <x:v>1</x:v>
      </x:c>
      <x:c r="F567" s="20" t="n">
        <x:v>1</x:v>
      </x:c>
      <x:c r="G567" s="19" t="str">
        <x:v>Fabricación</x:v>
      </x:c>
      <x:c r="H567" s="19" t="str">
        <x:v>Soporte tope terminado en cara interior de columna</x:v>
      </x:c>
      <x:c r="I567" s="19" t="str">
        <x:v>ASTM A36</x:v>
      </x:c>
      <x:c r="J567" s="19" t="str">
        <x:v>Cantidades por conjunto; no sumar como total de máquina.</x:v>
      </x:c>
    </x:row>
    <x:row r="568" ht="30" customHeight="1">
      <x:c r="A568" s="17" t="str">
        <x:v>TT10_C05_PC_03</x:v>
      </x:c>
      <x:c r="B568" s="17" t="str">
        <x:v>Topes de giro, orejas y guías del bastidor</x:v>
      </x:c>
      <x:c r="C568" s="18" t="n">
        <x:v>241</x:v>
      </x:c>
      <x:c r="D568" s="17" t="str">
        <x:v>TT10_F556</x:v>
      </x:c>
      <x:c r="E568" s="18" t="n">
        <x:v>1</x:v>
      </x:c>
      <x:c r="F568" s="18" t="n">
        <x:v>1</x:v>
      </x:c>
      <x:c r="G568" s="17" t="str">
        <x:v>Fabricación</x:v>
      </x:c>
      <x:c r="H568" s="17" t="str">
        <x:v>Soporte tope terminado en cara interior de columna</x:v>
      </x:c>
      <x:c r="I568" s="17" t="str">
        <x:v>ASTM A36</x:v>
      </x:c>
      <x:c r="J568" s="17" t="str">
        <x:v>Cantidades por conjunto; no sumar como total de máquina.</x:v>
      </x:c>
    </x:row>
    <x:row r="569" ht="30" customHeight="1">
      <x:c r="A569" s="19" t="str">
        <x:v>TT10_C05_PC_03</x:v>
      </x:c>
      <x:c r="B569" s="19" t="str">
        <x:v>Topes de giro, orejas y guías del bastidor</x:v>
      </x:c>
      <x:c r="C569" s="20" t="n">
        <x:v>245</x:v>
      </x:c>
      <x:c r="D569" s="19" t="str">
        <x:v>TT10_F576</x:v>
      </x:c>
      <x:c r="E569" s="20" t="n">
        <x:v>1</x:v>
      </x:c>
      <x:c r="F569" s="20" t="n">
        <x:v>1</x:v>
      </x:c>
      <x:c r="G569" s="19" t="str">
        <x:v>Fabricación</x:v>
      </x:c>
      <x:c r="H569" s="19" t="str">
        <x:v>Oreja fija 400 x 250 x 40; agujero Ø65 H8; Strenx 700E</x:v>
      </x:c>
      <x:c r="I569" s="19" t="str">
        <x:v>Strenx700E t40; Rp0.2min700MPa</x:v>
      </x:c>
      <x:c r="J569" s="19" t="str">
        <x:v>Cantidades por conjunto; no sumar como total de máquina.</x:v>
      </x:c>
    </x:row>
    <x:row r="570" ht="30" customHeight="1">
      <x:c r="A570" s="17" t="str">
        <x:v>TT10_C05_PC_03</x:v>
      </x:c>
      <x:c r="B570" s="17" t="str">
        <x:v>Topes de giro, orejas y guías del bastidor</x:v>
      </x:c>
      <x:c r="C570" s="18" t="n">
        <x:v>247</x:v>
      </x:c>
      <x:c r="D570" s="17" t="str">
        <x:v>TT10_F586</x:v>
      </x:c>
      <x:c r="E570" s="18" t="n">
        <x:v>1</x:v>
      </x:c>
      <x:c r="F570" s="18" t="n">
        <x:v>1</x:v>
      </x:c>
      <x:c r="G570" s="17" t="str">
        <x:v>Fabricación</x:v>
      </x:c>
      <x:c r="H570" s="17" t="str">
        <x:v>Oreja fija 400 x 250 x 40; agujero Ø65 H8; Strenx 700E</x:v>
      </x:c>
      <x:c r="I570" s="17" t="str">
        <x:v>Strenx700E t40; Rp0.2min700MPa</x:v>
      </x:c>
      <x:c r="J570" s="17" t="str">
        <x:v>Cantidades por conjunto; no sumar como total de máquina.</x:v>
      </x:c>
    </x:row>
    <x:row r="571" ht="30" customHeight="1">
      <x:c r="A571" s="19" t="str">
        <x:v>TT10_C05_PC_03</x:v>
      </x:c>
      <x:c r="B571" s="19" t="str">
        <x:v>Topes de giro, orejas y guías del bastidor</x:v>
      </x:c>
      <x:c r="C571" s="20" t="n">
        <x:v>248</x:v>
      </x:c>
      <x:c r="D571" s="19" t="str">
        <x:v>TT10_F591</x:v>
      </x:c>
      <x:c r="E571" s="20" t="n">
        <x:v>1</x:v>
      </x:c>
      <x:c r="F571" s="20" t="n">
        <x:v>1</x:v>
      </x:c>
      <x:c r="G571" s="19" t="str">
        <x:v>Fabricación</x:v>
      </x:c>
      <x:c r="H571" s="19" t="str">
        <x:v>Placa base 600 x 500 x 50; 8 agujeros Ø40, centros X ±220, Y ±150 y ±50</x:v>
      </x:c>
      <x:c r="I571" s="19" t="str">
        <x:v>Strenx700E t50; Rp0.2min700MPa</x:v>
      </x:c>
      <x:c r="J571" s="19" t="str">
        <x:v>Cantidades por conjunto; no sumar como total de máquina.</x:v>
      </x:c>
    </x:row>
    <x:row r="572" ht="30" customHeight="1">
      <x:c r="A572" s="17" t="str">
        <x:v>TT10_C05_PC_03</x:v>
      </x:c>
      <x:c r="B572" s="17" t="str">
        <x:v>Topes de giro, orejas y guías del bastidor</x:v>
      </x:c>
      <x:c r="C572" s="18" t="n">
        <x:v>249</x:v>
      </x:c>
      <x:c r="D572" s="17" t="str">
        <x:v>TT10_F596</x:v>
      </x:c>
      <x:c r="E572" s="18" t="n">
        <x:v>1</x:v>
      </x:c>
      <x:c r="F572" s="18" t="n">
        <x:v>1</x:v>
      </x:c>
      <x:c r="G572" s="17" t="str">
        <x:v>Fabricación</x:v>
      </x:c>
      <x:c r="H572" s="17" t="str">
        <x:v>Tope inclinado: cara inferior mecanizada para asiento horizontal</x:v>
      </x:c>
      <x:c r="I572" s="17" t="str">
        <x:v>ASTM A36</x:v>
      </x:c>
      <x:c r="J572" s="17" t="str">
        <x:v>Cantidades por conjunto; no sumar como total de máquina.</x:v>
      </x:c>
    </x:row>
    <x:row r="573" ht="30" customHeight="1">
      <x:c r="A573" s="19" t="str">
        <x:v>TT10_C05_PC_03</x:v>
      </x:c>
      <x:c r="B573" s="19" t="str">
        <x:v>Topes de giro, orejas y guías del bastidor</x:v>
      </x:c>
      <x:c r="C573" s="20" t="n">
        <x:v>262</x:v>
      </x:c>
      <x:c r="D573" s="19" t="str">
        <x:v>TT10_GUIA_N</x:v>
      </x:c>
      <x:c r="E573" s="20" t="n">
        <x:v>1</x:v>
      </x:c>
      <x:c r="F573" s="20" t="n">
        <x:v>1</x:v>
      </x:c>
      <x:c r="G573" s="19" t="str">
        <x:v>Fabricación</x:v>
      </x:c>
      <x:c r="H573" s="19" t="str">
        <x:v>Guía con alojamiento Ø69 H7; casquillo69/65.5; fuera del camino resistente</x:v>
      </x:c>
      <x:c r="I573" s="19" t="str">
        <x:v>ASTM A36</x:v>
      </x:c>
      <x:c r="J573" s="19" t="str">
        <x:v>Cantidades por conjunto; no sumar como total de máquina.</x:v>
      </x:c>
    </x:row>
    <x:row r="574" ht="30" customHeight="1">
      <x:c r="A574" s="17" t="str">
        <x:v>TT10_C05_PC_03</x:v>
      </x:c>
      <x:c r="B574" s="17" t="str">
        <x:v>Topes de giro, orejas y guías del bastidor</x:v>
      </x:c>
      <x:c r="C574" s="18" t="n">
        <x:v>263</x:v>
      </x:c>
      <x:c r="D574" s="17" t="str">
        <x:v>TT10_GUIA_P</x:v>
      </x:c>
      <x:c r="E574" s="18" t="n">
        <x:v>1</x:v>
      </x:c>
      <x:c r="F574" s="18" t="n">
        <x:v>1</x:v>
      </x:c>
      <x:c r="G574" s="17" t="str">
        <x:v>Fabricación</x:v>
      </x:c>
      <x:c r="H574" s="17" t="str">
        <x:v>Guía con alojamiento Ø69 H7; casquillo69/65.5; fuera del camino resistente</x:v>
      </x:c>
      <x:c r="I574" s="17" t="str">
        <x:v>ASTM A36</x:v>
      </x:c>
      <x:c r="J574" s="17" t="str">
        <x:v>Cantidades por conjunto; no sumar como total de máquina.</x:v>
      </x:c>
    </x:row>
    <x:row r="575" ht="30" customHeight="1">
      <x:c r="A575" s="19" t="str">
        <x:v>TT10_C05_PC_03</x:v>
      </x:c>
      <x:c r="B575" s="19" t="str">
        <x:v>Topes de giro, orejas y guías del bastidor</x:v>
      </x:c>
      <x:c r="C575" s="20" t="n">
        <x:v>412</x:v>
      </x:c>
      <x:c r="D575" s="19" t="str">
        <x:v>TT10_PE_PIN</x:v>
      </x:c>
      <x:c r="E575" s="20" t="n">
        <x:v>2</x:v>
      </x:c>
      <x:c r="F575" s="20" t="n">
        <x:v>2</x:v>
      </x:c>
      <x:c r="G575" s="19" t="str">
        <x:v>Fabricación</x:v>
      </x:c>
      <x:c r="H575" s="19" t="str">
        <x:v>Pasador Ø65 f7 x 330; cabeza Ø90 x 15; R3; 34CrNiMo6+QT Rp0,2 mín.800 MPa</x:v>
      </x:c>
      <x:c r="I575" s="19" t="str">
        <x:v>34CrNiMo6+QT; Rp0,2 mín.800 MPa, sección&lt;=100mm</x:v>
      </x:c>
      <x:c r="J575" s="19" t="str">
        <x:v>Cantidades por conjunto; no sumar como total de máquina.</x:v>
      </x:c>
    </x:row>
    <x:row r="576" ht="30" customHeight="1">
      <x:c r="A576" s="17" t="str">
        <x:v>TT10_C05_PC_03</x:v>
      </x:c>
      <x:c r="B576" s="17" t="str">
        <x:v>Topes de giro, orejas y guías del bastidor</x:v>
      </x:c>
      <x:c r="C576" s="18" t="n">
        <x:v>430</x:v>
      </x:c>
      <x:c r="D576" s="17" t="str">
        <x:v>TT10_PUENTE_N</x:v>
      </x:c>
      <x:c r="E576" s="18" t="n">
        <x:v>1</x:v>
      </x:c>
      <x:c r="F576" s="18" t="n">
        <x:v>1</x:v>
      </x:c>
      <x:c r="G576" s="17" t="str">
        <x:v>Fabricación</x:v>
      </x:c>
      <x:c r="H576" s="17" t="str">
        <x:v>Puente guía A36 525 x 125 x 25; recorte 225 x 10 junto al poste</x:v>
      </x:c>
      <x:c r="I576" s="17" t="str">
        <x:v>ASTM A36 t25</x:v>
      </x:c>
      <x:c r="J576" s="17" t="str">
        <x:v>Cantidades por conjunto; no sumar como total de máquina.</x:v>
      </x:c>
    </x:row>
    <x:row r="577" ht="30" customHeight="1">
      <x:c r="A577" s="19" t="str">
        <x:v>TT10_C05_PC_03</x:v>
      </x:c>
      <x:c r="B577" s="19" t="str">
        <x:v>Topes de giro, orejas y guías del bastidor</x:v>
      </x:c>
      <x:c r="C577" s="20" t="n">
        <x:v>431</x:v>
      </x:c>
      <x:c r="D577" s="19" t="str">
        <x:v>TT10_PUENTE_P</x:v>
      </x:c>
      <x:c r="E577" s="20" t="n">
        <x:v>1</x:v>
      </x:c>
      <x:c r="F577" s="20" t="n">
        <x:v>1</x:v>
      </x:c>
      <x:c r="G577" s="19" t="str">
        <x:v>Fabricación</x:v>
      </x:c>
      <x:c r="H577" s="19" t="str">
        <x:v>Puente guía A36 525 x 125 x 25; recorte 225 x 10 junto al poste</x:v>
      </x:c>
      <x:c r="I577" s="19" t="str">
        <x:v>ASTM A36 t25</x:v>
      </x:c>
      <x:c r="J577" s="19" t="str">
        <x:v>Cantidades por conjunto; no sumar como total de máquina.</x:v>
      </x:c>
    </x:row>
    <x:row r="578" ht="30" customHeight="1">
      <x:c r="A578" s="17" t="str">
        <x:v>TT10_C05_PC_03</x:v>
      </x:c>
      <x:c r="B578" s="17" t="str">
        <x:v>Topes de giro, orejas y guías del bastidor</x:v>
      </x:c>
      <x:c r="C578" s="18" t="n">
        <x:v>487</x:v>
      </x:c>
      <x:c r="D578" s="17" t="str">
        <x:v>TT10_TOPE70_N_INFD</x:v>
      </x:c>
      <x:c r="E578" s="18" t="n">
        <x:v>1</x:v>
      </x:c>
      <x:c r="F578" s="18" t="n">
        <x:v>1</x:v>
      </x:c>
      <x:c r="G578" s="17" t="str">
        <x:v>Fabricación</x:v>
      </x:c>
      <x:c r="H578" s="17" t="str">
        <x:v>Cartela horizontal20: transmite componente transversal del tope70</x:v>
      </x:c>
      <x:c r="I578" s="17" t="str">
        <x:v>ASTM A36</x:v>
      </x:c>
      <x:c r="J578" s="17" t="str">
        <x:v>Cantidades por conjunto; no sumar como total de máquina.</x:v>
      </x:c>
    </x:row>
    <x:row r="579" ht="30" customHeight="1">
      <x:c r="A579" s="19" t="str">
        <x:v>TT10_C05_PC_03</x:v>
      </x:c>
      <x:c r="B579" s="19" t="str">
        <x:v>Topes de giro, orejas y guías del bastidor</x:v>
      </x:c>
      <x:c r="C579" s="20" t="n">
        <x:v>488</x:v>
      </x:c>
      <x:c r="D579" s="19" t="str">
        <x:v>TT10_TOPE70_N_INFI</x:v>
      </x:c>
      <x:c r="E579" s="20" t="n">
        <x:v>1</x:v>
      </x:c>
      <x:c r="F579" s="20" t="n">
        <x:v>1</x:v>
      </x:c>
      <x:c r="G579" s="19" t="str">
        <x:v>Fabricación</x:v>
      </x:c>
      <x:c r="H579" s="19" t="str">
        <x:v>Cartela horizontal20: transmite componente transversal del tope70</x:v>
      </x:c>
      <x:c r="I579" s="19" t="str">
        <x:v>ASTM A36</x:v>
      </x:c>
      <x:c r="J579" s="19" t="str">
        <x:v>Cantidades por conjunto; no sumar como total de máquina.</x:v>
      </x:c>
    </x:row>
    <x:row r="580" ht="30" customHeight="1">
      <x:c r="A580" s="17" t="str">
        <x:v>TT10_C05_PC_03</x:v>
      </x:c>
      <x:c r="B580" s="17" t="str">
        <x:v>Topes de giro, orejas y guías del bastidor</x:v>
      </x:c>
      <x:c r="C580" s="18" t="n">
        <x:v>489</x:v>
      </x:c>
      <x:c r="D580" s="17" t="str">
        <x:v>TT10_TOPE70_N_SUPD</x:v>
      </x:c>
      <x:c r="E580" s="18" t="n">
        <x:v>1</x:v>
      </x:c>
      <x:c r="F580" s="18" t="n">
        <x:v>1</x:v>
      </x:c>
      <x:c r="G580" s="17" t="str">
        <x:v>Fabricación</x:v>
      </x:c>
      <x:c r="H580" s="17" t="str">
        <x:v>Cartela horizontal20: transmite componente transversal del tope70</x:v>
      </x:c>
      <x:c r="I580" s="17" t="str">
        <x:v>ASTM A36</x:v>
      </x:c>
      <x:c r="J580" s="17" t="str">
        <x:v>Cantidades por conjunto; no sumar como total de máquina.</x:v>
      </x:c>
    </x:row>
    <x:row r="581" ht="30" customHeight="1">
      <x:c r="A581" s="19" t="str">
        <x:v>TT10_C05_PC_03</x:v>
      </x:c>
      <x:c r="B581" s="19" t="str">
        <x:v>Topes de giro, orejas y guías del bastidor</x:v>
      </x:c>
      <x:c r="C581" s="20" t="n">
        <x:v>490</x:v>
      </x:c>
      <x:c r="D581" s="19" t="str">
        <x:v>TT10_TOPE70_N_SUPI</x:v>
      </x:c>
      <x:c r="E581" s="20" t="n">
        <x:v>1</x:v>
      </x:c>
      <x:c r="F581" s="20" t="n">
        <x:v>1</x:v>
      </x:c>
      <x:c r="G581" s="19" t="str">
        <x:v>Fabricación</x:v>
      </x:c>
      <x:c r="H581" s="19" t="str">
        <x:v>Cartela horizontal20: transmite componente transversal del tope70</x:v>
      </x:c>
      <x:c r="I581" s="19" t="str">
        <x:v>ASTM A36</x:v>
      </x:c>
      <x:c r="J581" s="19" t="str">
        <x:v>Cantidades por conjunto; no sumar como total de máquina.</x:v>
      </x:c>
    </x:row>
    <x:row r="582" ht="30" customHeight="1">
      <x:c r="A582" s="17" t="str">
        <x:v>TT10_C05_PC_03</x:v>
      </x:c>
      <x:c r="B582" s="17" t="str">
        <x:v>Topes de giro, orejas y guías del bastidor</x:v>
      </x:c>
      <x:c r="C582" s="18" t="n">
        <x:v>491</x:v>
      </x:c>
      <x:c r="D582" s="17" t="str">
        <x:v>TT10_TOPE70_N_V1</x:v>
      </x:c>
      <x:c r="E582" s="18" t="n">
        <x:v>1</x:v>
      </x:c>
      <x:c r="F582" s="18" t="n">
        <x:v>1</x:v>
      </x:c>
      <x:c r="G582" s="17" t="str">
        <x:v>Fabricación</x:v>
      </x:c>
      <x:c r="H582" s="17" t="str">
        <x:v>Cartela vertical20 de tope70; apoyo al bloque y cara de columna</x:v>
      </x:c>
      <x:c r="I582" s="17" t="str">
        <x:v>ASTM A36</x:v>
      </x:c>
      <x:c r="J582" s="17" t="str">
        <x:v>Cantidades por conjunto; no sumar como total de máquina.</x:v>
      </x:c>
    </x:row>
    <x:row r="583" ht="30" customHeight="1">
      <x:c r="A583" s="19" t="str">
        <x:v>TT10_C05_PC_03</x:v>
      </x:c>
      <x:c r="B583" s="19" t="str">
        <x:v>Topes de giro, orejas y guías del bastidor</x:v>
      </x:c>
      <x:c r="C583" s="20" t="n">
        <x:v>492</x:v>
      </x:c>
      <x:c r="D583" s="19" t="str">
        <x:v>TT10_TOPE70_N_V2</x:v>
      </x:c>
      <x:c r="E583" s="20" t="n">
        <x:v>1</x:v>
      </x:c>
      <x:c r="F583" s="20" t="n">
        <x:v>1</x:v>
      </x:c>
      <x:c r="G583" s="19" t="str">
        <x:v>Fabricación</x:v>
      </x:c>
      <x:c r="H583" s="19" t="str">
        <x:v>Cartela vertical20 de tope70; apoyo al bloque y cara de columna</x:v>
      </x:c>
      <x:c r="I583" s="19" t="str">
        <x:v>ASTM A36</x:v>
      </x:c>
      <x:c r="J583" s="19" t="str">
        <x:v>Cantidades por conjunto; no sumar como total de máquina.</x:v>
      </x:c>
    </x:row>
    <x:row r="584" ht="30" customHeight="1">
      <x:c r="A584" s="17" t="str">
        <x:v>TT10_C05_PC_03</x:v>
      </x:c>
      <x:c r="B584" s="17" t="str">
        <x:v>Topes de giro, orejas y guías del bastidor</x:v>
      </x:c>
      <x:c r="C584" s="18" t="n">
        <x:v>493</x:v>
      </x:c>
      <x:c r="D584" s="17" t="str">
        <x:v>TT10_TOPE70_P_INFD</x:v>
      </x:c>
      <x:c r="E584" s="18" t="n">
        <x:v>1</x:v>
      </x:c>
      <x:c r="F584" s="18" t="n">
        <x:v>1</x:v>
      </x:c>
      <x:c r="G584" s="17" t="str">
        <x:v>Fabricación</x:v>
      </x:c>
      <x:c r="H584" s="17" t="str">
        <x:v>Cartela horizontal20: transmite componente transversal del tope70</x:v>
      </x:c>
      <x:c r="I584" s="17" t="str">
        <x:v>ASTM A36</x:v>
      </x:c>
      <x:c r="J584" s="17" t="str">
        <x:v>Cantidades por conjunto; no sumar como total de máquina.</x:v>
      </x:c>
    </x:row>
    <x:row r="585" ht="30" customHeight="1">
      <x:c r="A585" s="19" t="str">
        <x:v>TT10_C05_PC_03</x:v>
      </x:c>
      <x:c r="B585" s="19" t="str">
        <x:v>Topes de giro, orejas y guías del bastidor</x:v>
      </x:c>
      <x:c r="C585" s="20" t="n">
        <x:v>494</x:v>
      </x:c>
      <x:c r="D585" s="19" t="str">
        <x:v>TT10_TOPE70_P_INFI</x:v>
      </x:c>
      <x:c r="E585" s="20" t="n">
        <x:v>1</x:v>
      </x:c>
      <x:c r="F585" s="20" t="n">
        <x:v>1</x:v>
      </x:c>
      <x:c r="G585" s="19" t="str">
        <x:v>Fabricación</x:v>
      </x:c>
      <x:c r="H585" s="19" t="str">
        <x:v>Cartela horizontal20: transmite componente transversal del tope70</x:v>
      </x:c>
      <x:c r="I585" s="19" t="str">
        <x:v>ASTM A36</x:v>
      </x:c>
      <x:c r="J585" s="19" t="str">
        <x:v>Cantidades por conjunto; no sumar como total de máquina.</x:v>
      </x:c>
    </x:row>
    <x:row r="586" ht="30" customHeight="1">
      <x:c r="A586" s="17" t="str">
        <x:v>TT10_C05_PC_03</x:v>
      </x:c>
      <x:c r="B586" s="17" t="str">
        <x:v>Topes de giro, orejas y guías del bastidor</x:v>
      </x:c>
      <x:c r="C586" s="18" t="n">
        <x:v>495</x:v>
      </x:c>
      <x:c r="D586" s="17" t="str">
        <x:v>TT10_TOPE70_P_SUPD</x:v>
      </x:c>
      <x:c r="E586" s="18" t="n">
        <x:v>1</x:v>
      </x:c>
      <x:c r="F586" s="18" t="n">
        <x:v>1</x:v>
      </x:c>
      <x:c r="G586" s="17" t="str">
        <x:v>Fabricación</x:v>
      </x:c>
      <x:c r="H586" s="17" t="str">
        <x:v>Cartela horizontal20: transmite componente transversal del tope70</x:v>
      </x:c>
      <x:c r="I586" s="17" t="str">
        <x:v>ASTM A36</x:v>
      </x:c>
      <x:c r="J586" s="17" t="str">
        <x:v>Cantidades por conjunto; no sumar como total de máquina.</x:v>
      </x:c>
    </x:row>
    <x:row r="587" ht="30" customHeight="1">
      <x:c r="A587" s="19" t="str">
        <x:v>TT10_C05_PC_03</x:v>
      </x:c>
      <x:c r="B587" s="19" t="str">
        <x:v>Topes de giro, orejas y guías del bastidor</x:v>
      </x:c>
      <x:c r="C587" s="20" t="n">
        <x:v>496</x:v>
      </x:c>
      <x:c r="D587" s="19" t="str">
        <x:v>TT10_TOPE70_P_SUPI</x:v>
      </x:c>
      <x:c r="E587" s="20" t="n">
        <x:v>1</x:v>
      </x:c>
      <x:c r="F587" s="20" t="n">
        <x:v>1</x:v>
      </x:c>
      <x:c r="G587" s="19" t="str">
        <x:v>Fabricación</x:v>
      </x:c>
      <x:c r="H587" s="19" t="str">
        <x:v>Cartela horizontal20: transmite componente transversal del tope70</x:v>
      </x:c>
      <x:c r="I587" s="19" t="str">
        <x:v>ASTM A36</x:v>
      </x:c>
      <x:c r="J587" s="19" t="str">
        <x:v>Cantidades por conjunto; no sumar como total de máquina.</x:v>
      </x:c>
    </x:row>
    <x:row r="588" ht="30" customHeight="1">
      <x:c r="A588" s="17" t="str">
        <x:v>TT10_C05_PC_03</x:v>
      </x:c>
      <x:c r="B588" s="17" t="str">
        <x:v>Topes de giro, orejas y guías del bastidor</x:v>
      </x:c>
      <x:c r="C588" s="18" t="n">
        <x:v>497</x:v>
      </x:c>
      <x:c r="D588" s="17" t="str">
        <x:v>TT10_TOPE70_P_V1</x:v>
      </x:c>
      <x:c r="E588" s="18" t="n">
        <x:v>1</x:v>
      </x:c>
      <x:c r="F588" s="18" t="n">
        <x:v>1</x:v>
      </x:c>
      <x:c r="G588" s="17" t="str">
        <x:v>Fabricación</x:v>
      </x:c>
      <x:c r="H588" s="17" t="str">
        <x:v>Cartela vertical20 de tope70; apoyo al bloque y cara de columna</x:v>
      </x:c>
      <x:c r="I588" s="17" t="str">
        <x:v>ASTM A36</x:v>
      </x:c>
      <x:c r="J588" s="17" t="str">
        <x:v>Cantidades por conjunto; no sumar como total de máquina.</x:v>
      </x:c>
    </x:row>
    <x:row r="589" ht="30" customHeight="1">
      <x:c r="A589" s="19" t="str">
        <x:v>TT10_C05_PC_03</x:v>
      </x:c>
      <x:c r="B589" s="19" t="str">
        <x:v>Topes de giro, orejas y guías del bastidor</x:v>
      </x:c>
      <x:c r="C589" s="20" t="n">
        <x:v>498</x:v>
      </x:c>
      <x:c r="D589" s="19" t="str">
        <x:v>TT10_TOPE70_P_V2</x:v>
      </x:c>
      <x:c r="E589" s="20" t="n">
        <x:v>1</x:v>
      </x:c>
      <x:c r="F589" s="20" t="n">
        <x:v>1</x:v>
      </x:c>
      <x:c r="G589" s="19" t="str">
        <x:v>Fabricación</x:v>
      </x:c>
      <x:c r="H589" s="19" t="str">
        <x:v>Cartela vertical20 de tope70; apoyo al bloque y cara de columna</x:v>
      </x:c>
      <x:c r="I589" s="19" t="str">
        <x:v>ASTM A36</x:v>
      </x:c>
      <x:c r="J589" s="19" t="str">
        <x:v>Cantidades por conjunto; no sumar como total de máquina.</x:v>
      </x:c>
    </x:row>
    <x:row r="590" ht="30" customHeight="1">
      <x:c r="A590" s="17" t="str">
        <x:v>TT10_C05_PC_04</x:v>
      </x:c>
      <x:c r="B590" s="17" t="str">
        <x:v>Tolva y bastidor móvil ensamblados</x:v>
      </x:c>
      <x:c r="C590" s="18" t="n">
        <x:v>3</x:v>
      </x:c>
      <x:c r="D590" s="17" t="str">
        <x:v>TT10_BAP_P0</x:v>
      </x:c>
      <x:c r="E590" s="18" t="n">
        <x:v>24</x:v>
      </x:c>
      <x:c r="F590" s="18" t="n">
        <x:v>32</x:v>
      </x:c>
      <x:c r="G590" s="17" t="str">
        <x:v>Compra</x:v>
      </x:c>
      <x:c r="H590" s="17" t="str">
        <x:v>Perno ISO4014 M30x140 clase8.8; rosca nominal</x:v>
      </x:c>
      <x:c r="I590" s="17" t="str">
        <x:v>Clase 8.8 / ISO 898-1</x:v>
      </x:c>
      <x:c r="J590" s="17" t="str">
        <x:v>Cantidades por conjunto; no sumar como total de máquina.</x:v>
      </x:c>
    </x:row>
    <x:row r="591" ht="30" customHeight="1">
      <x:c r="A591" s="19" t="str">
        <x:v>TT10_C05_PC_04</x:v>
      </x:c>
      <x:c r="B591" s="19" t="str">
        <x:v>Tolva y bastidor móvil ensamblados</x:v>
      </x:c>
      <x:c r="C591" s="20" t="n">
        <x:v>149</x:v>
      </x:c>
      <x:c r="D591" s="19" t="str">
        <x:v>TT10_COLLAR_N</x:v>
      </x:c>
      <x:c r="E591" s="20" t="n">
        <x:v>1</x:v>
      </x:c>
      <x:c r="F591" s="20" t="n">
        <x:v>1</x:v>
      </x:c>
      <x:c r="G591" s="19" t="str">
        <x:v>Fabricación</x:v>
      </x:c>
      <x:c r="H591" s="19" t="str">
        <x:v>Casquillo D220/d200.2 L161: transmisión de apriete y pista de sello</x:v>
      </x:c>
      <x:c r="I591" s="19" t="str">
        <x:v>C45E / EN 10083-2</x:v>
      </x:c>
      <x:c r="J591" s="19" t="str">
        <x:v>Cantidades por conjunto; no sumar como total de máquina.</x:v>
      </x:c>
    </x:row>
    <x:row r="592" ht="30" customHeight="1">
      <x:c r="A592" s="17" t="str">
        <x:v>TT10_C05_PC_04</x:v>
      </x:c>
      <x:c r="B592" s="17" t="str">
        <x:v>Tolva y bastidor móvil ensamblados</x:v>
      </x:c>
      <x:c r="C592" s="18" t="n">
        <x:v>150</x:v>
      </x:c>
      <x:c r="D592" s="17" t="str">
        <x:v>TT10_COLLAR_P</x:v>
      </x:c>
      <x:c r="E592" s="18" t="n">
        <x:v>1</x:v>
      </x:c>
      <x:c r="F592" s="18" t="n">
        <x:v>1</x:v>
      </x:c>
      <x:c r="G592" s="17" t="str">
        <x:v>Fabricación</x:v>
      </x:c>
      <x:c r="H592" s="17" t="str">
        <x:v>Casquillo D220/d200.2 L161: transmisión de apriete y pista de sello</x:v>
      </x:c>
      <x:c r="I592" s="17" t="str">
        <x:v>C45E / EN 10083-2</x:v>
      </x:c>
      <x:c r="J592" s="17" t="str">
        <x:v>Cantidades por conjunto; no sumar como total de máquina.</x:v>
      </x:c>
    </x:row>
    <x:row r="593" ht="30" customHeight="1">
      <x:c r="A593" s="19" t="str">
        <x:v>TT10_C05_PC_04</x:v>
      </x:c>
      <x:c r="B593" s="19" t="str">
        <x:v>Tolva y bastidor móvil ensamblados</x:v>
      </x:c>
      <x:c r="C593" s="20" t="n">
        <x:v>151</x:v>
      </x:c>
      <x:c r="D593" s="19" t="str">
        <x:v>TT10_D_ACOPLE_SALIDA</x:v>
      </x:c>
      <x:c r="E593" s="20" t="n">
        <x:v>1</x:v>
      </x:c>
      <x:c r="F593" s="20" t="n">
        <x:v>1</x:v>
      </x:c>
      <x:c r="G593" s="19" t="str">
        <x:v>Compra</x:v>
      </x:c>
      <x:c r="H593" s="19" t="str">
        <x:v>Acoplamiento de salida entre cubo y reductor; dibujo nominal</x:v>
      </x:c>
      <x:c r="I593" s="19" t="str">
        <x:v>Equipo comprado</x:v>
      </x:c>
      <x:c r="J593" s="19" t="str">
        <x:v>Cantidades por conjunto; no sumar como total de máquina.</x:v>
      </x:c>
    </x:row>
    <x:row r="594" ht="30" customHeight="1">
      <x:c r="A594" s="17" t="str">
        <x:v>TT10_C05_PC_04</x:v>
      </x:c>
      <x:c r="B594" s="17" t="str">
        <x:v>Tolva y bastidor móvil ensamblados</x:v>
      </x:c>
      <x:c r="C594" s="18" t="n">
        <x:v>156</x:v>
      </x:c>
      <x:c r="D594" s="17" t="str">
        <x:v>TT10_D_B16_0</x:v>
      </x:c>
      <x:c r="E594" s="18" t="n">
        <x:v>24</x:v>
      </x:c>
      <x:c r="F594" s="18" t="n">
        <x:v>32</x:v>
      </x:c>
      <x:c r="G594" s="17" t="str">
        <x:v>Compra</x:v>
      </x:c>
      <x:c r="H594" s="17" t="str">
        <x:v>Perno nominal M16x50</x:v>
      </x:c>
      <x:c r="I594" s="17" t="str">
        <x:v>Clase 10.9 / ISO 898-1</x:v>
      </x:c>
      <x:c r="J594" s="17" t="str">
        <x:v>Cantidades por conjunto; no sumar como total de máquina.</x:v>
      </x:c>
    </x:row>
    <x:row r="595" ht="30" customHeight="1">
      <x:c r="A595" s="19" t="str">
        <x:v>TT10_C05_PC_04</x:v>
      </x:c>
      <x:c r="B595" s="19" t="str">
        <x:v>Tolva y bastidor móvil ensamblados</x:v>
      </x:c>
      <x:c r="C595" s="20" t="n">
        <x:v>180</x:v>
      </x:c>
      <x:c r="D595" s="19" t="str">
        <x:v>TT10_D_CUBO_N</x:v>
      </x:c>
      <x:c r="E595" s="20" t="n">
        <x:v>1</x:v>
      </x:c>
      <x:c r="F595" s="20" t="n">
        <x:v>1</x:v>
      </x:c>
      <x:c r="G595" s="19" t="str">
        <x:v>Fabricación</x:v>
      </x:c>
      <x:c r="H595" s="19" t="str">
        <x:v>Cubo de conexión por apriete y brida de disco N</x:v>
      </x:c>
      <x:c r="I595" s="19" t="str">
        <x:v>AISI 4140 bonificado</x:v>
      </x:c>
      <x:c r="J595" s="19" t="str">
        <x:v>Cantidades por conjunto; no sumar como total de máquina.</x:v>
      </x:c>
    </x:row>
    <x:row r="596" ht="30" customHeight="1">
      <x:c r="A596" s="17" t="str">
        <x:v>TT10_C05_PC_04</x:v>
      </x:c>
      <x:c r="B596" s="17" t="str">
        <x:v>Tolva y bastidor móvil ensamblados</x:v>
      </x:c>
      <x:c r="C596" s="18" t="n">
        <x:v>181</x:v>
      </x:c>
      <x:c r="D596" s="17" t="str">
        <x:v>TT10_D_CUBO_P</x:v>
      </x:c>
      <x:c r="E596" s="18" t="n">
        <x:v>1</x:v>
      </x:c>
      <x:c r="F596" s="18" t="n">
        <x:v>1</x:v>
      </x:c>
      <x:c r="G596" s="17" t="str">
        <x:v>Fabricación</x:v>
      </x:c>
      <x:c r="H596" s="17" t="str">
        <x:v>Cubo de conexión por apriete y brida de disco P</x:v>
      </x:c>
      <x:c r="I596" s="17" t="str">
        <x:v>AISI 4140 bonificado</x:v>
      </x:c>
      <x:c r="J596" s="17" t="str">
        <x:v>Cantidades por conjunto; no sumar como total de máquina.</x:v>
      </x:c>
    </x:row>
    <x:row r="597" ht="30" customHeight="1">
      <x:c r="A597" s="19" t="str">
        <x:v>TT10_C05_PC_04</x:v>
      </x:c>
      <x:c r="B597" s="19" t="str">
        <x:v>Tolva y bastidor móvil ensamblados</x:v>
      </x:c>
      <x:c r="C597" s="20" t="n">
        <x:v>182</x:v>
      </x:c>
      <x:c r="D597" s="19" t="str">
        <x:v>TT10_D_DISCO_N</x:v>
      </x:c>
      <x:c r="E597" s="20" t="n">
        <x:v>1</x:v>
      </x:c>
      <x:c r="F597" s="20" t="n">
        <x:v>1</x:v>
      </x:c>
      <x:c r="G597" s="19" t="str">
        <x:v>Compra</x:v>
      </x:c>
      <x:c r="H597" s="19" t="str">
        <x:v>Disco de freno de salida N; diámetro nominal de dibujo</x:v>
      </x:c>
      <x:c r="I597" s="19" t="str">
        <x:v>Equipo comprado</x:v>
      </x:c>
      <x:c r="J597" s="19" t="str">
        <x:v>Cantidades por conjunto; no sumar como total de máquina.</x:v>
      </x:c>
    </x:row>
    <x:row r="598" ht="30" customHeight="1">
      <x:c r="A598" s="17" t="str">
        <x:v>TT10_C05_PC_04</x:v>
      </x:c>
      <x:c r="B598" s="17" t="str">
        <x:v>Tolva y bastidor móvil ensamblados</x:v>
      </x:c>
      <x:c r="C598" s="18" t="n">
        <x:v>183</x:v>
      </x:c>
      <x:c r="D598" s="17" t="str">
        <x:v>TT10_D_DISCO_P</x:v>
      </x:c>
      <x:c r="E598" s="18" t="n">
        <x:v>1</x:v>
      </x:c>
      <x:c r="F598" s="18" t="n">
        <x:v>1</x:v>
      </x:c>
      <x:c r="G598" s="17" t="str">
        <x:v>Compra</x:v>
      </x:c>
      <x:c r="H598" s="17" t="str">
        <x:v>Disco de freno de salida P; diámetro nominal de dibujo</x:v>
      </x:c>
      <x:c r="I598" s="17" t="str">
        <x:v>Equipo comprado</x:v>
      </x:c>
      <x:c r="J598" s="17" t="str">
        <x:v>Cantidades por conjunto; no sumar como total de máquina.</x:v>
      </x:c>
    </x:row>
    <x:row r="599" ht="30" customHeight="1">
      <x:c r="A599" s="19" t="str">
        <x:v>TT10_C05_PC_04</x:v>
      </x:c>
      <x:c r="B599" s="19" t="str">
        <x:v>Tolva y bastidor móvil ensamblados</x:v>
      </x:c>
      <x:c r="C599" s="20" t="n">
        <x:v>264</x:v>
      </x:c>
      <x:c r="D599" s="19" t="str">
        <x:v>TT10_KM40_N</x:v>
      </x:c>
      <x:c r="E599" s="20" t="n">
        <x:v>1</x:v>
      </x:c>
      <x:c r="F599" s="20" t="n">
        <x:v>1</x:v>
      </x:c>
      <x:c r="G599" s="19" t="str">
        <x:v>Compra</x:v>
      </x:c>
      <x:c r="H599" s="19" t="str">
        <x:v>SKF KM40, M200x3, D250 B29; cuatro ranuras18x8</x:v>
      </x:c>
      <x:c r="I599" s="19" t="str">
        <x:v>Conjunto comprado; acero/ fundición según OEM</x:v>
      </x:c>
      <x:c r="J599" s="19" t="str">
        <x:v>Cantidades por conjunto; no sumar como total de máquina.</x:v>
      </x:c>
    </x:row>
    <x:row r="600" ht="30" customHeight="1">
      <x:c r="A600" s="17" t="str">
        <x:v>TT10_C05_PC_04</x:v>
      </x:c>
      <x:c r="B600" s="17" t="str">
        <x:v>Tolva y bastidor móvil ensamblados</x:v>
      </x:c>
      <x:c r="C600" s="18" t="n">
        <x:v>265</x:v>
      </x:c>
      <x:c r="D600" s="17" t="str">
        <x:v>TT10_KM40_P</x:v>
      </x:c>
      <x:c r="E600" s="18" t="n">
        <x:v>1</x:v>
      </x:c>
      <x:c r="F600" s="18" t="n">
        <x:v>1</x:v>
      </x:c>
      <x:c r="G600" s="17" t="str">
        <x:v>Compra</x:v>
      </x:c>
      <x:c r="H600" s="17" t="str">
        <x:v>SKF KM40, M200x3, D250 B29; cuatro ranuras18x8</x:v>
      </x:c>
      <x:c r="I600" s="17" t="str">
        <x:v>Conjunto comprado; acero/ fundición según OEM</x:v>
      </x:c>
      <x:c r="J600" s="17" t="str">
        <x:v>Cantidades por conjunto; no sumar como total de máquina.</x:v>
      </x:c>
    </x:row>
    <x:row r="601" ht="30" customHeight="1">
      <x:c r="A601" s="19" t="str">
        <x:v>TT10_C05_PC_04</x:v>
      </x:c>
      <x:c r="B601" s="19" t="str">
        <x:v>Tolva y bastidor móvil ensamblados</x:v>
      </x:c>
      <x:c r="C601" s="20" t="n">
        <x:v>266</x:v>
      </x:c>
      <x:c r="D601" s="19" t="str">
        <x:v>TT10_LIN_0_0_B</x:v>
      </x:c>
      <x:c r="E601" s="20" t="n">
        <x:v>32</x:v>
      </x:c>
      <x:c r="F601" s="20" t="n">
        <x:v>32</x:v>
      </x:c>
      <x:c r="G601" s="19" t="str">
        <x:v>Compra</x:v>
      </x:c>
      <x:c r="H601" s="19" t="str">
        <x:v>Tornillo avellanado M16x80, cabeza90 D31, hexágono10; geometría nominal</x:v>
      </x:c>
      <x:c r="I601" s="19" t="str">
        <x:v>Clase 10.9 / ISO 898-1</x:v>
      </x:c>
      <x:c r="J601" s="19" t="str">
        <x:v>Cantidades por conjunto; no sumar como total de máquina.</x:v>
      </x:c>
    </x:row>
    <x:row r="602" ht="30" customHeight="1">
      <x:c r="A602" s="17" t="str">
        <x:v>TT10_C05_PC_04</x:v>
      </x:c>
      <x:c r="B602" s="17" t="str">
        <x:v>Tolva y bastidor móvil ensamblados</x:v>
      </x:c>
      <x:c r="C602" s="18" t="n">
        <x:v>267</x:v>
      </x:c>
      <x:c r="D602" s="17" t="str">
        <x:v>TT10_LIN_0_0_C</x:v>
      </x:c>
      <x:c r="E602" s="18" t="n">
        <x:v>32</x:v>
      </x:c>
      <x:c r="F602" s="18" t="n">
        <x:v>32</x:v>
      </x:c>
      <x:c r="G602" s="17" t="str">
        <x:v>Fabricación</x:v>
      </x:c>
      <x:c r="H602" s="17" t="str">
        <x:v>Casquillo30/18 L25 limita compresión de elastómero</x:v>
      </x:c>
      <x:c r="I602" s="17" t="str">
        <x:v>Acero C45</x:v>
      </x:c>
      <x:c r="J602" s="17" t="str">
        <x:v>Cantidades por conjunto; no sumar como total de máquina.</x:v>
      </x:c>
    </x:row>
    <x:row r="603" ht="30" customHeight="1">
      <x:c r="A603" s="19" t="str">
        <x:v>TT10_C05_PC_04</x:v>
      </x:c>
      <x:c r="B603" s="19" t="str">
        <x:v>Tolva y bastidor móvil ensamblados</x:v>
      </x:c>
      <x:c r="C603" s="20" t="n">
        <x:v>268</x:v>
      </x:c>
      <x:c r="D603" s="19" t="str">
        <x:v>TT10_LIN_0_0_N</x:v>
      </x:c>
      <x:c r="E603" s="20" t="n">
        <x:v>32</x:v>
      </x:c>
      <x:c r="F603" s="20" t="n">
        <x:v>32</x:v>
      </x:c>
      <x:c r="G603" s="19" t="str">
        <x:v>Compra</x:v>
      </x:c>
      <x:c r="H603" s="19" t="str">
        <x:v>Tuerca autoblocante metálica M16; rosca simplificada</x:v>
      </x:c>
      <x:c r="I603" s="19" t="str">
        <x:v>Tuerca clase 8 / ISO 898-2</x:v>
      </x:c>
      <x:c r="J603" s="19" t="str">
        <x:v>Cantidades por conjunto; no sumar como total de máquina.</x:v>
      </x:c>
    </x:row>
    <x:row r="604" ht="30" customHeight="1">
      <x:c r="A604" s="17" t="str">
        <x:v>TT10_C05_PC_04</x:v>
      </x:c>
      <x:c r="B604" s="17" t="str">
        <x:v>Tolva y bastidor móvil ensamblados</x:v>
      </x:c>
      <x:c r="C604" s="18" t="n">
        <x:v>269</x:v>
      </x:c>
      <x:c r="D604" s="17" t="str">
        <x:v>TT10_LIN_0_0_W</x:v>
      </x:c>
      <x:c r="E604" s="18" t="n">
        <x:v>32</x:v>
      </x:c>
      <x:c r="F604" s="18" t="n">
        <x:v>32</x:v>
      </x:c>
      <x:c r="G604" s="17" t="str">
        <x:v>Compra</x:v>
      </x:c>
      <x:c r="H604" s="17" t="str">
        <x:v>Arandela M16 200HV D30/d17/t3</x:v>
      </x:c>
      <x:c r="I604" s="17" t="str">
        <x:v>Arandela endurecida 200 HV / ISO 7089</x:v>
      </x:c>
      <x:c r="J604" s="17" t="str">
        <x:v>Cantidades por conjunto; no sumar como total de máquina.</x:v>
      </x:c>
    </x:row>
    <x:row r="605" ht="30" customHeight="1">
      <x:c r="A605" s="19" t="str">
        <x:v>TT10_C05_PC_04</x:v>
      </x:c>
      <x:c r="B605" s="19" t="str">
        <x:v>Tolva y bastidor móvil ensamblados</x:v>
      </x:c>
      <x:c r="C605" s="20" t="n">
        <x:v>305</x:v>
      </x:c>
      <x:c r="D605" s="19" t="str">
        <x:v>TT10_M006</x:v>
      </x:c>
      <x:c r="E605" s="20" t="n">
        <x:v>1</x:v>
      </x:c>
      <x:c r="F605" s="20" t="n">
        <x:v>1</x:v>
      </x:c>
      <x:c r="G605" s="19" t="str">
        <x:v>Fabricación</x:v>
      </x:c>
      <x:c r="H605" s="19" t="str">
        <x:v>Perfil tubular 200 x 150 x 10; L 2200</x:v>
      </x:c>
      <x:c r="I605" s="19" t="str">
        <x:v>S275J0H / EN 10219-1</x:v>
      </x:c>
      <x:c r="J605" s="19" t="str">
        <x:v>Cantidades por conjunto; no sumar como total de máquina.</x:v>
      </x:c>
    </x:row>
    <x:row r="606" ht="30" customHeight="1">
      <x:c r="A606" s="17" t="str">
        <x:v>TT10_C05_PC_04</x:v>
      </x:c>
      <x:c r="B606" s="17" t="str">
        <x:v>Tolva y bastidor móvil ensamblados</x:v>
      </x:c>
      <x:c r="C606" s="18" t="n">
        <x:v>306</x:v>
      </x:c>
      <x:c r="D606" s="17" t="str">
        <x:v>TT10_M011</x:v>
      </x:c>
      <x:c r="E606" s="18" t="n">
        <x:v>1</x:v>
      </x:c>
      <x:c r="F606" s="18" t="n">
        <x:v>1</x:v>
      </x:c>
      <x:c r="G606" s="17" t="str">
        <x:v>Fabricación</x:v>
      </x:c>
      <x:c r="H606" s="17" t="str">
        <x:v>Perfil tubular 200 x 150 x 10; L 2200</x:v>
      </x:c>
      <x:c r="I606" s="17" t="str">
        <x:v>S275J0H / EN 10219-1</x:v>
      </x:c>
      <x:c r="J606" s="17" t="str">
        <x:v>Cantidades por conjunto; no sumar como total de máquina.</x:v>
      </x:c>
    </x:row>
    <x:row r="607" ht="30" customHeight="1">
      <x:c r="A607" s="19" t="str">
        <x:v>TT10_C05_PC_04</x:v>
      </x:c>
      <x:c r="B607" s="19" t="str">
        <x:v>Tolva y bastidor móvil ensamblados</x:v>
      </x:c>
      <x:c r="C607" s="20" t="n">
        <x:v>307</x:v>
      </x:c>
      <x:c r="D607" s="19" t="str">
        <x:v>TT10_M016</x:v>
      </x:c>
      <x:c r="E607" s="20" t="n">
        <x:v>1</x:v>
      </x:c>
      <x:c r="F607" s="20" t="n">
        <x:v>1</x:v>
      </x:c>
      <x:c r="G607" s="19" t="str">
        <x:v>Fabricación</x:v>
      </x:c>
      <x:c r="H607" s="19" t="str">
        <x:v>Perfil tubular 150 x 100 x 8; L 4800</x:v>
      </x:c>
      <x:c r="I607" s="19" t="str">
        <x:v>S275J0H / EN 10219-1</x:v>
      </x:c>
      <x:c r="J607" s="19" t="str">
        <x:v>Cantidades por conjunto; no sumar como total de máquina.</x:v>
      </x:c>
    </x:row>
    <x:row r="608" ht="30" customHeight="1">
      <x:c r="A608" s="17" t="str">
        <x:v>TT10_C05_PC_04</x:v>
      </x:c>
      <x:c r="B608" s="17" t="str">
        <x:v>Tolva y bastidor móvil ensamblados</x:v>
      </x:c>
      <x:c r="C608" s="18" t="n">
        <x:v>308</x:v>
      </x:c>
      <x:c r="D608" s="17" t="str">
        <x:v>TT10_M021</x:v>
      </x:c>
      <x:c r="E608" s="18" t="n">
        <x:v>1</x:v>
      </x:c>
      <x:c r="F608" s="18" t="n">
        <x:v>1</x:v>
      </x:c>
      <x:c r="G608" s="17" t="str">
        <x:v>Fabricación</x:v>
      </x:c>
      <x:c r="H608" s="17" t="str">
        <x:v>Perfil tubular 200 x 150 x 10; L 2200</x:v>
      </x:c>
      <x:c r="I608" s="17" t="str">
        <x:v>S275J0H / EN 10219-1</x:v>
      </x:c>
      <x:c r="J608" s="17" t="str">
        <x:v>Cantidades por conjunto; no sumar como total de máquina.</x:v>
      </x:c>
    </x:row>
    <x:row r="609" ht="30" customHeight="1">
      <x:c r="A609" s="19" t="str">
        <x:v>TT10_C05_PC_04</x:v>
      </x:c>
      <x:c r="B609" s="19" t="str">
        <x:v>Tolva y bastidor móvil ensamblados</x:v>
      </x:c>
      <x:c r="C609" s="20" t="n">
        <x:v>309</x:v>
      </x:c>
      <x:c r="D609" s="19" t="str">
        <x:v>TT10_M026</x:v>
      </x:c>
      <x:c r="E609" s="20" t="n">
        <x:v>1</x:v>
      </x:c>
      <x:c r="F609" s="20" t="n">
        <x:v>1</x:v>
      </x:c>
      <x:c r="G609" s="19" t="str">
        <x:v>Fabricación</x:v>
      </x:c>
      <x:c r="H609" s="19" t="str">
        <x:v>Perfil tubular 150 x 100 x 8; L 3600</x:v>
      </x:c>
      <x:c r="I609" s="19" t="str">
        <x:v>S275J0H / EN 10219-1</x:v>
      </x:c>
      <x:c r="J609" s="19" t="str">
        <x:v>Cantidades por conjunto; no sumar como total de máquina.</x:v>
      </x:c>
    </x:row>
    <x:row r="610" ht="30" customHeight="1">
      <x:c r="A610" s="17" t="str">
        <x:v>TT10_C05_PC_04</x:v>
      </x:c>
      <x:c r="B610" s="17" t="str">
        <x:v>Tolva y bastidor móvil ensamblados</x:v>
      </x:c>
      <x:c r="C610" s="18" t="n">
        <x:v>310</x:v>
      </x:c>
      <x:c r="D610" s="17" t="str">
        <x:v>TT10_M031</x:v>
      </x:c>
      <x:c r="E610" s="18" t="n">
        <x:v>1</x:v>
      </x:c>
      <x:c r="F610" s="18" t="n">
        <x:v>1</x:v>
      </x:c>
      <x:c r="G610" s="17" t="str">
        <x:v>Fabricación</x:v>
      </x:c>
      <x:c r="H610" s="17" t="str">
        <x:v>Pieza TT10_M031</x:v>
      </x:c>
      <x:c r="I610" s="17" t="str">
        <x:v>ASTM A36</x:v>
      </x:c>
      <x:c r="J610" s="17" t="str">
        <x:v>Cantidades por conjunto; no sumar como total de máquina.</x:v>
      </x:c>
    </x:row>
    <x:row r="611" ht="30" customHeight="1">
      <x:c r="A611" s="19" t="str">
        <x:v>TT10_C05_PC_04</x:v>
      </x:c>
      <x:c r="B611" s="19" t="str">
        <x:v>Tolva y bastidor móvil ensamblados</x:v>
      </x:c>
      <x:c r="C611" s="20" t="n">
        <x:v>311</x:v>
      </x:c>
      <x:c r="D611" s="19" t="str">
        <x:v>TT10_M036</x:v>
      </x:c>
      <x:c r="E611" s="20" t="n">
        <x:v>1</x:v>
      </x:c>
      <x:c r="F611" s="20" t="n">
        <x:v>1</x:v>
      </x:c>
      <x:c r="G611" s="19" t="str">
        <x:v>Fabricación</x:v>
      </x:c>
      <x:c r="H611" s="19" t="str">
        <x:v>Pieza TT10_M036</x:v>
      </x:c>
      <x:c r="I611" s="19" t="str">
        <x:v>ASTM A36</x:v>
      </x:c>
      <x:c r="J611" s="19" t="str">
        <x:v>Cantidades por conjunto; no sumar como total de máquina.</x:v>
      </x:c>
    </x:row>
    <x:row r="612" ht="30" customHeight="1">
      <x:c r="A612" s="17" t="str">
        <x:v>TT10_C05_PC_04</x:v>
      </x:c>
      <x:c r="B612" s="17" t="str">
        <x:v>Tolva y bastidor móvil ensamblados</x:v>
      </x:c>
      <x:c r="C612" s="18" t="n">
        <x:v>312</x:v>
      </x:c>
      <x:c r="D612" s="17" t="str">
        <x:v>TT10_M041</x:v>
      </x:c>
      <x:c r="E612" s="18" t="n">
        <x:v>1</x:v>
      </x:c>
      <x:c r="F612" s="18" t="n">
        <x:v>1</x:v>
      </x:c>
      <x:c r="G612" s="17" t="str">
        <x:v>Fabricación</x:v>
      </x:c>
      <x:c r="H612" s="17" t="str">
        <x:v>Perfil tubular 200 x 150 x 10; L 2200</x:v>
      </x:c>
      <x:c r="I612" s="17" t="str">
        <x:v>S275J0H / EN 10219-1</x:v>
      </x:c>
      <x:c r="J612" s="17" t="str">
        <x:v>Cantidades por conjunto; no sumar como total de máquina.</x:v>
      </x:c>
    </x:row>
    <x:row r="613" ht="30" customHeight="1">
      <x:c r="A613" s="19" t="str">
        <x:v>TT10_C05_PC_04</x:v>
      </x:c>
      <x:c r="B613" s="19" t="str">
        <x:v>Tolva y bastidor móvil ensamblados</x:v>
      </x:c>
      <x:c r="C613" s="20" t="n">
        <x:v>313</x:v>
      </x:c>
      <x:c r="D613" s="19" t="str">
        <x:v>TT10_M046</x:v>
      </x:c>
      <x:c r="E613" s="20" t="n">
        <x:v>1</x:v>
      </x:c>
      <x:c r="F613" s="20" t="n">
        <x:v>1</x:v>
      </x:c>
      <x:c r="G613" s="19" t="str">
        <x:v>Fabricación</x:v>
      </x:c>
      <x:c r="H613" s="19" t="str">
        <x:v>Perfil tubular 400 x 200 x 16; L 5600</x:v>
      </x:c>
      <x:c r="I613" s="19" t="str">
        <x:v>S275J0H / EN 10219-1</x:v>
      </x:c>
      <x:c r="J613" s="19" t="str">
        <x:v>Cantidades por conjunto; no sumar como total de máquina.</x:v>
      </x:c>
    </x:row>
    <x:row r="614" ht="30" customHeight="1">
      <x:c r="A614" s="17" t="str">
        <x:v>TT10_C05_PC_04</x:v>
      </x:c>
      <x:c r="B614" s="17" t="str">
        <x:v>Tolva y bastidor móvil ensamblados</x:v>
      </x:c>
      <x:c r="C614" s="18" t="n">
        <x:v>314</x:v>
      </x:c>
      <x:c r="D614" s="17" t="str">
        <x:v>TT10_M051</x:v>
      </x:c>
      <x:c r="E614" s="18" t="n">
        <x:v>1</x:v>
      </x:c>
      <x:c r="F614" s="18" t="n">
        <x:v>1</x:v>
      </x:c>
      <x:c r="G614" s="17" t="str">
        <x:v>Fabricación</x:v>
      </x:c>
      <x:c r="H614" s="17" t="str">
        <x:v>Pieza TT10_M051</x:v>
      </x:c>
      <x:c r="I614" s="17" t="str">
        <x:v>ASTM A36</x:v>
      </x:c>
      <x:c r="J614" s="17" t="str">
        <x:v>Cantidades por conjunto; no sumar como total de máquina.</x:v>
      </x:c>
    </x:row>
    <x:row r="615" ht="30" customHeight="1">
      <x:c r="A615" s="19" t="str">
        <x:v>TT10_C05_PC_04</x:v>
      </x:c>
      <x:c r="B615" s="19" t="str">
        <x:v>Tolva y bastidor móvil ensamblados</x:v>
      </x:c>
      <x:c r="C615" s="20" t="n">
        <x:v>315</x:v>
      </x:c>
      <x:c r="D615" s="19" t="str">
        <x:v>TT10_M056</x:v>
      </x:c>
      <x:c r="E615" s="20" t="n">
        <x:v>1</x:v>
      </x:c>
      <x:c r="F615" s="20" t="n">
        <x:v>1</x:v>
      </x:c>
      <x:c r="G615" s="19" t="str">
        <x:v>Fabricación</x:v>
      </x:c>
      <x:c r="H615" s="19" t="str">
        <x:v>Cama elastomérica25 perforada para casquillos limitadores</x:v>
      </x:c>
      <x:c r="I615" s="19" t="str">
        <x:v>Elastómero; curva dinámica de compresión por definir</x:v>
      </x:c>
      <x:c r="J615" s="19" t="str">
        <x:v>Cantidades por conjunto; no sumar como total de máquina.</x:v>
      </x:c>
    </x:row>
    <x:row r="616" ht="30" customHeight="1">
      <x:c r="A616" s="17" t="str">
        <x:v>TT10_C05_PC_04</x:v>
      </x:c>
      <x:c r="B616" s="17" t="str">
        <x:v>Tolva y bastidor móvil ensamblados</x:v>
      </x:c>
      <x:c r="C616" s="18" t="n">
        <x:v>316</x:v>
      </x:c>
      <x:c r="D616" s="17" t="str">
        <x:v>TT10_M061</x:v>
      </x:c>
      <x:c r="E616" s="18" t="n">
        <x:v>1</x:v>
      </x:c>
      <x:c r="F616" s="18" t="n">
        <x:v>1</x:v>
      </x:c>
      <x:c r="G616" s="17" t="str">
        <x:v>Fabricación</x:v>
      </x:c>
      <x:c r="H616" s="17" t="str">
        <x:v>Pieza TT10_M061</x:v>
      </x:c>
      <x:c r="I616" s="17" t="str">
        <x:v>ASTM A36</x:v>
      </x:c>
      <x:c r="J616" s="17" t="str">
        <x:v>Cantidades por conjunto; no sumar como total de máquina.</x:v>
      </x:c>
    </x:row>
    <x:row r="617" ht="30" customHeight="1">
      <x:c r="A617" s="19" t="str">
        <x:v>TT10_C05_PC_04</x:v>
      </x:c>
      <x:c r="B617" s="19" t="str">
        <x:v>Tolva y bastidor móvil ensamblados</x:v>
      </x:c>
      <x:c r="C617" s="20" t="n">
        <x:v>317</x:v>
      </x:c>
      <x:c r="D617" s="19" t="str">
        <x:v>TT10_M066</x:v>
      </x:c>
      <x:c r="E617" s="20" t="n">
        <x:v>1</x:v>
      </x:c>
      <x:c r="F617" s="20" t="n">
        <x:v>1</x:v>
      </x:c>
      <x:c r="G617" s="19" t="str">
        <x:v>Fabricación</x:v>
      </x:c>
      <x:c r="H617" s="19" t="str">
        <x:v>Pieza TT10_M066</x:v>
      </x:c>
      <x:c r="I617" s="19" t="str">
        <x:v>ASTM A36</x:v>
      </x:c>
      <x:c r="J617" s="19" t="str">
        <x:v>Cantidades por conjunto; no sumar como total de máquina.</x:v>
      </x:c>
    </x:row>
    <x:row r="618" ht="30" customHeight="1">
      <x:c r="A618" s="17" t="str">
        <x:v>TT10_C05_PC_04</x:v>
      </x:c>
      <x:c r="B618" s="17" t="str">
        <x:v>Tolva y bastidor móvil ensamblados</x:v>
      </x:c>
      <x:c r="C618" s="18" t="n">
        <x:v>318</x:v>
      </x:c>
      <x:c r="D618" s="17" t="str">
        <x:v>TT10_M071</x:v>
      </x:c>
      <x:c r="E618" s="18" t="n">
        <x:v>1</x:v>
      </x:c>
      <x:c r="F618" s="18" t="n">
        <x:v>1</x:v>
      </x:c>
      <x:c r="G618" s="17" t="str">
        <x:v>Fabricación</x:v>
      </x:c>
      <x:c r="H618" s="17" t="str">
        <x:v>Pieza TT10_M071</x:v>
      </x:c>
      <x:c r="I618" s="17" t="str">
        <x:v>ASTM A36</x:v>
      </x:c>
      <x:c r="J618" s="17" t="str">
        <x:v>Cantidades por conjunto; no sumar como total de máquina.</x:v>
      </x:c>
    </x:row>
    <x:row r="619" ht="30" customHeight="1">
      <x:c r="A619" s="19" t="str">
        <x:v>TT10_C05_PC_04</x:v>
      </x:c>
      <x:c r="B619" s="19" t="str">
        <x:v>Tolva y bastidor móvil ensamblados</x:v>
      </x:c>
      <x:c r="C619" s="20" t="n">
        <x:v>319</x:v>
      </x:c>
      <x:c r="D619" s="19" t="str">
        <x:v>TT10_M076</x:v>
      </x:c>
      <x:c r="E619" s="20" t="n">
        <x:v>1</x:v>
      </x:c>
      <x:c r="F619" s="20" t="n">
        <x:v>1</x:v>
      </x:c>
      <x:c r="G619" s="19" t="str">
        <x:v>Fabricación</x:v>
      </x:c>
      <x:c r="H619" s="19" t="str">
        <x:v>Muñón forjado integral con brida550, hombro220, asiento200, R3 y retención exterior</x:v>
      </x:c>
      <x:c r="I619" s="19" t="str">
        <x:v>AISI 4140 bonificado</x:v>
      </x:c>
      <x:c r="J619" s="19" t="str">
        <x:v>Cantidades por conjunto; no sumar como total de máquina.</x:v>
      </x:c>
    </x:row>
    <x:row r="620" ht="30" customHeight="1">
      <x:c r="A620" s="17" t="str">
        <x:v>TT10_C05_PC_04</x:v>
      </x:c>
      <x:c r="B620" s="17" t="str">
        <x:v>Tolva y bastidor móvil ensamblados</x:v>
      </x:c>
      <x:c r="C620" s="18" t="n">
        <x:v>320</x:v>
      </x:c>
      <x:c r="D620" s="17" t="str">
        <x:v>TT10_M081</x:v>
      </x:c>
      <x:c r="E620" s="18" t="n">
        <x:v>1</x:v>
      </x:c>
      <x:c r="F620" s="18" t="n">
        <x:v>1</x:v>
      </x:c>
      <x:c r="G620" s="17" t="str">
        <x:v>Fabricación</x:v>
      </x:c>
      <x:c r="H620" s="17" t="str">
        <x:v>Pieza TT10_M081</x:v>
      </x:c>
      <x:c r="I620" s="17" t="str">
        <x:v>ASTM A36</x:v>
      </x:c>
      <x:c r="J620" s="17" t="str">
        <x:v>Cantidades por conjunto; no sumar como total de máquina.</x:v>
      </x:c>
    </x:row>
    <x:row r="621" ht="30" customHeight="1">
      <x:c r="A621" s="19" t="str">
        <x:v>TT10_C05_PC_04</x:v>
      </x:c>
      <x:c r="B621" s="19" t="str">
        <x:v>Tolva y bastidor móvil ensamblados</x:v>
      </x:c>
      <x:c r="C621" s="20" t="n">
        <x:v>321</x:v>
      </x:c>
      <x:c r="D621" s="19" t="str">
        <x:v>TT10_M086</x:v>
      </x:c>
      <x:c r="E621" s="20" t="n">
        <x:v>1</x:v>
      </x:c>
      <x:c r="F621" s="20" t="n">
        <x:v>1</x:v>
      </x:c>
      <x:c r="G621" s="19" t="str">
        <x:v>Fabricación</x:v>
      </x:c>
      <x:c r="H621" s="19" t="str">
        <x:v>Muñón forjado integral con brida550, hombro220, asiento200, R3 y retención exterior</x:v>
      </x:c>
      <x:c r="I621" s="19" t="str">
        <x:v>AISI 4140 bonificado</x:v>
      </x:c>
      <x:c r="J621" s="19" t="str">
        <x:v>Cantidades por conjunto; no sumar como total de máquina.</x:v>
      </x:c>
    </x:row>
    <x:row r="622" ht="30" customHeight="1">
      <x:c r="A622" s="17" t="str">
        <x:v>TT10_C05_PC_04</x:v>
      </x:c>
      <x:c r="B622" s="17" t="str">
        <x:v>Tolva y bastidor móvil ensamblados</x:v>
      </x:c>
      <x:c r="C622" s="18" t="n">
        <x:v>322</x:v>
      </x:c>
      <x:c r="D622" s="17" t="str">
        <x:v>TT10_M091</x:v>
      </x:c>
      <x:c r="E622" s="18" t="n">
        <x:v>1</x:v>
      </x:c>
      <x:c r="F622" s="18" t="n">
        <x:v>1</x:v>
      </x:c>
      <x:c r="G622" s="17" t="str">
        <x:v>Fabricación</x:v>
      </x:c>
      <x:c r="H622" s="17" t="str">
        <x:v>Pieza TT10_M091</x:v>
      </x:c>
      <x:c r="I622" s="17" t="str">
        <x:v>ASTM A36</x:v>
      </x:c>
      <x:c r="J622" s="17" t="str">
        <x:v>Cantidades por conjunto; no sumar como total de máquina.</x:v>
      </x:c>
    </x:row>
    <x:row r="623" ht="30" customHeight="1">
      <x:c r="A623" s="19" t="str">
        <x:v>TT10_C05_PC_04</x:v>
      </x:c>
      <x:c r="B623" s="19" t="str">
        <x:v>Tolva y bastidor móvil ensamblados</x:v>
      </x:c>
      <x:c r="C623" s="20" t="n">
        <x:v>323</x:v>
      </x:c>
      <x:c r="D623" s="19" t="str">
        <x:v>TT10_M096</x:v>
      </x:c>
      <x:c r="E623" s="20" t="n">
        <x:v>1</x:v>
      </x:c>
      <x:c r="F623" s="20" t="n">
        <x:v>1</x:v>
      </x:c>
      <x:c r="G623" s="19" t="str">
        <x:v>Fabricación</x:v>
      </x:c>
      <x:c r="H623" s="19" t="str">
        <x:v>Pieza TT10_M096</x:v>
      </x:c>
      <x:c r="I623" s="19" t="str">
        <x:v>ASTM A36</x:v>
      </x:c>
      <x:c r="J623" s="19" t="str">
        <x:v>Cantidades por conjunto; no sumar como total de máquina.</x:v>
      </x:c>
    </x:row>
    <x:row r="624" ht="30" customHeight="1">
      <x:c r="A624" s="17" t="str">
        <x:v>TT10_C05_PC_04</x:v>
      </x:c>
      <x:c r="B624" s="17" t="str">
        <x:v>Tolva y bastidor móvil ensamblados</x:v>
      </x:c>
      <x:c r="C624" s="18" t="n">
        <x:v>324</x:v>
      </x:c>
      <x:c r="D624" s="17" t="str">
        <x:v>TT10_M101</x:v>
      </x:c>
      <x:c r="E624" s="18" t="n">
        <x:v>1</x:v>
      </x:c>
      <x:c r="F624" s="18" t="n">
        <x:v>1</x:v>
      </x:c>
      <x:c r="G624" s="17" t="str">
        <x:v>Fabricación</x:v>
      </x:c>
      <x:c r="H624" s="17" t="str">
        <x:v>Perfil tubular 200 x 100 x 10; L 250</x:v>
      </x:c>
      <x:c r="I624" s="17" t="str">
        <x:v>S275J0H / EN 10219-1</x:v>
      </x:c>
      <x:c r="J624" s="17" t="str">
        <x:v>Cantidades por conjunto; no sumar como total de máquina.</x:v>
      </x:c>
    </x:row>
    <x:row r="625" ht="30" customHeight="1">
      <x:c r="A625" s="19" t="str">
        <x:v>TT10_C05_PC_04</x:v>
      </x:c>
      <x:c r="B625" s="19" t="str">
        <x:v>Tolva y bastidor móvil ensamblados</x:v>
      </x:c>
      <x:c r="C625" s="20" t="n">
        <x:v>325</x:v>
      </x:c>
      <x:c r="D625" s="19" t="str">
        <x:v>TT10_M106</x:v>
      </x:c>
      <x:c r="E625" s="20" t="n">
        <x:v>1</x:v>
      </x:c>
      <x:c r="F625" s="20" t="n">
        <x:v>1</x:v>
      </x:c>
      <x:c r="G625" s="19" t="str">
        <x:v>Fabricación</x:v>
      </x:c>
      <x:c r="H625" s="19" t="str">
        <x:v>Contraplaca80 con doce M30 ciegas78 PCD450, apriete desde exterior</x:v>
      </x:c>
      <x:c r="I625" s="19" t="str">
        <x:v>ASTM A36</x:v>
      </x:c>
      <x:c r="J625" s="19" t="str">
        <x:v>Cantidades por conjunto; no sumar como total de máquina.</x:v>
      </x:c>
    </x:row>
    <x:row r="626" ht="30" customHeight="1">
      <x:c r="A626" s="17" t="str">
        <x:v>TT10_C05_PC_04</x:v>
      </x:c>
      <x:c r="B626" s="17" t="str">
        <x:v>Tolva y bastidor móvil ensamblados</x:v>
      </x:c>
      <x:c r="C626" s="18" t="n">
        <x:v>326</x:v>
      </x:c>
      <x:c r="D626" s="17" t="str">
        <x:v>TT10_M111</x:v>
      </x:c>
      <x:c r="E626" s="18" t="n">
        <x:v>1</x:v>
      </x:c>
      <x:c r="F626" s="18" t="n">
        <x:v>1</x:v>
      </x:c>
      <x:c r="G626" s="17" t="str">
        <x:v>Fabricación</x:v>
      </x:c>
      <x:c r="H626" s="17" t="str">
        <x:v>Pieza TT10_M111</x:v>
      </x:c>
      <x:c r="I626" s="17" t="str">
        <x:v>ASTM A36</x:v>
      </x:c>
      <x:c r="J626" s="17" t="str">
        <x:v>Cantidades por conjunto; no sumar como total de máquina.</x:v>
      </x:c>
    </x:row>
    <x:row r="627" ht="30" customHeight="1">
      <x:c r="A627" s="19" t="str">
        <x:v>TT10_C05_PC_04</x:v>
      </x:c>
      <x:c r="B627" s="19" t="str">
        <x:v>Tolva y bastidor móvil ensamblados</x:v>
      </x:c>
      <x:c r="C627" s="20" t="n">
        <x:v>327</x:v>
      </x:c>
      <x:c r="D627" s="19" t="str">
        <x:v>TT10_M116</x:v>
      </x:c>
      <x:c r="E627" s="20" t="n">
        <x:v>1</x:v>
      </x:c>
      <x:c r="F627" s="20" t="n">
        <x:v>1</x:v>
      </x:c>
      <x:c r="G627" s="19" t="str">
        <x:v>Fabricación</x:v>
      </x:c>
      <x:c r="H627" s="19" t="str">
        <x:v>Pieza TT10_M116</x:v>
      </x:c>
      <x:c r="I627" s="19" t="str">
        <x:v>ASTM A36</x:v>
      </x:c>
      <x:c r="J627" s="19" t="str">
        <x:v>Cantidades por conjunto; no sumar como total de máquina.</x:v>
      </x:c>
    </x:row>
    <x:row r="628" ht="30" customHeight="1">
      <x:c r="A628" s="17" t="str">
        <x:v>TT10_C05_PC_04</x:v>
      </x:c>
      <x:c r="B628" s="17" t="str">
        <x:v>Tolva y bastidor móvil ensamblados</x:v>
      </x:c>
      <x:c r="C628" s="18" t="n">
        <x:v>328</x:v>
      </x:c>
      <x:c r="D628" s="17" t="str">
        <x:v>TT10_M121</x:v>
      </x:c>
      <x:c r="E628" s="18" t="n">
        <x:v>1</x:v>
      </x:c>
      <x:c r="F628" s="18" t="n">
        <x:v>1</x:v>
      </x:c>
      <x:c r="G628" s="17" t="str">
        <x:v>Fabricación</x:v>
      </x:c>
      <x:c r="H628" s="17" t="str">
        <x:v>Pieza TT10_M121</x:v>
      </x:c>
      <x:c r="I628" s="17" t="str">
        <x:v>ASTM A36</x:v>
      </x:c>
      <x:c r="J628" s="17" t="str">
        <x:v>Cantidades por conjunto; no sumar como total de máquina.</x:v>
      </x:c>
    </x:row>
    <x:row r="629" ht="30" customHeight="1">
      <x:c r="A629" s="19" t="str">
        <x:v>TT10_C05_PC_04</x:v>
      </x:c>
      <x:c r="B629" s="19" t="str">
        <x:v>Tolva y bastidor móvil ensamblados</x:v>
      </x:c>
      <x:c r="C629" s="20" t="n">
        <x:v>329</x:v>
      </x:c>
      <x:c r="D629" s="19" t="str">
        <x:v>TT10_M131</x:v>
      </x:c>
      <x:c r="E629" s="20" t="n">
        <x:v>1</x:v>
      </x:c>
      <x:c r="F629" s="20" t="n">
        <x:v>1</x:v>
      </x:c>
      <x:c r="G629" s="19" t="str">
        <x:v>Fabricación</x:v>
      </x:c>
      <x:c r="H629" s="19" t="str">
        <x:v>Cabezal cajón 200 x 200 x 1200, t40; 2 diafragmas 120 x 120 x 40</x:v>
      </x:c>
      <x:c r="I629" s="19" t="str">
        <x:v>Strenx700E t40; Rp0.2min700MPa</x:v>
      </x:c>
      <x:c r="J629" s="19" t="str">
        <x:v>Cantidades por conjunto; no sumar como total de máquina.</x:v>
      </x:c>
    </x:row>
    <x:row r="630" ht="30" customHeight="1">
      <x:c r="A630" s="17" t="str">
        <x:v>TT10_C05_PC_04</x:v>
      </x:c>
      <x:c r="B630" s="17" t="str">
        <x:v>Tolva y bastidor móvil ensamblados</x:v>
      </x:c>
      <x:c r="C630" s="18" t="n">
        <x:v>330</x:v>
      </x:c>
      <x:c r="D630" s="17" t="str">
        <x:v>TT10_M136</x:v>
      </x:c>
      <x:c r="E630" s="18" t="n">
        <x:v>1</x:v>
      </x:c>
      <x:c r="F630" s="18" t="n">
        <x:v>1</x:v>
      </x:c>
      <x:c r="G630" s="17" t="str">
        <x:v>Fabricación</x:v>
      </x:c>
      <x:c r="H630" s="17" t="str">
        <x:v>Pieza TT10_M136</x:v>
      </x:c>
      <x:c r="I630" s="17" t="str">
        <x:v>ASTM A36</x:v>
      </x:c>
      <x:c r="J630" s="17" t="str">
        <x:v>Cantidades por conjunto; no sumar como total de máquina.</x:v>
      </x:c>
    </x:row>
    <x:row r="631" ht="30" customHeight="1">
      <x:c r="A631" s="19" t="str">
        <x:v>TT10_C05_PC_04</x:v>
      </x:c>
      <x:c r="B631" s="19" t="str">
        <x:v>Tolva y bastidor móvil ensamblados</x:v>
      </x:c>
      <x:c r="C631" s="20" t="n">
        <x:v>331</x:v>
      </x:c>
      <x:c r="D631" s="19" t="str">
        <x:v>TT10_M141</x:v>
      </x:c>
      <x:c r="E631" s="20" t="n">
        <x:v>1</x:v>
      </x:c>
      <x:c r="F631" s="20" t="n">
        <x:v>1</x:v>
      </x:c>
      <x:c r="G631" s="19" t="str">
        <x:v>Fabricación</x:v>
      </x:c>
      <x:c r="H631" s="19" t="str">
        <x:v>Pieza TT10_M141</x:v>
      </x:c>
      <x:c r="I631" s="19" t="str">
        <x:v>ASTM A36</x:v>
      </x:c>
      <x:c r="J631" s="19" t="str">
        <x:v>Cantidades por conjunto; no sumar como total de máquina.</x:v>
      </x:c>
    </x:row>
    <x:row r="632" ht="30" customHeight="1">
      <x:c r="A632" s="17" t="str">
        <x:v>TT10_C05_PC_04</x:v>
      </x:c>
      <x:c r="B632" s="17" t="str">
        <x:v>Tolva y bastidor móvil ensamblados</x:v>
      </x:c>
      <x:c r="C632" s="18" t="n">
        <x:v>332</x:v>
      </x:c>
      <x:c r="D632" s="17" t="str">
        <x:v>TT10_M146</x:v>
      </x:c>
      <x:c r="E632" s="18" t="n">
        <x:v>1</x:v>
      </x:c>
      <x:c r="F632" s="18" t="n">
        <x:v>1</x:v>
      </x:c>
      <x:c r="G632" s="17" t="str">
        <x:v>Fabricación</x:v>
      </x:c>
      <x:c r="H632" s="17" t="str">
        <x:v>Pieza TT10_M146</x:v>
      </x:c>
      <x:c r="I632" s="17" t="str">
        <x:v>ASTM A36</x:v>
      </x:c>
      <x:c r="J632" s="17" t="str">
        <x:v>Cantidades por conjunto; no sumar como total de máquina.</x:v>
      </x:c>
    </x:row>
    <x:row r="633" ht="30" customHeight="1">
      <x:c r="A633" s="19" t="str">
        <x:v>TT10_C05_PC_04</x:v>
      </x:c>
      <x:c r="B633" s="19" t="str">
        <x:v>Tolva y bastidor móvil ensamblados</x:v>
      </x:c>
      <x:c r="C633" s="20" t="n">
        <x:v>333</x:v>
      </x:c>
      <x:c r="D633" s="19" t="str">
        <x:v>TT10_M151</x:v>
      </x:c>
      <x:c r="E633" s="20" t="n">
        <x:v>1</x:v>
      </x:c>
      <x:c r="F633" s="20" t="n">
        <x:v>1</x:v>
      </x:c>
      <x:c r="G633" s="19" t="str">
        <x:v>Fabricación</x:v>
      </x:c>
      <x:c r="H633" s="19" t="str">
        <x:v>Pieza TT10_M151</x:v>
      </x:c>
      <x:c r="I633" s="19" t="str">
        <x:v>ASTM A36</x:v>
      </x:c>
      <x:c r="J633" s="19" t="str">
        <x:v>Cantidades por conjunto; no sumar como total de máquina.</x:v>
      </x:c>
    </x:row>
    <x:row r="634" ht="30" customHeight="1">
      <x:c r="A634" s="17" t="str">
        <x:v>TT10_C05_PC_04</x:v>
      </x:c>
      <x:c r="B634" s="17" t="str">
        <x:v>Tolva y bastidor móvil ensamblados</x:v>
      </x:c>
      <x:c r="C634" s="18" t="n">
        <x:v>335</x:v>
      </x:c>
      <x:c r="D634" s="17" t="str">
        <x:v>TT10_M161</x:v>
      </x:c>
      <x:c r="E634" s="18" t="n">
        <x:v>1</x:v>
      </x:c>
      <x:c r="F634" s="18" t="n">
        <x:v>1</x:v>
      </x:c>
      <x:c r="G634" s="17" t="str">
        <x:v>Fabricación</x:v>
      </x:c>
      <x:c r="H634" s="17" t="str">
        <x:v>Yugo cajón 400 x 200 x 1116, t30; 2 diafragmas 340 x 140 x 30; agujero Ø202</x:v>
      </x:c>
      <x:c r="I634" s="17" t="str">
        <x:v>Strenx700E t30; Rp0.2min700MPa</x:v>
      </x:c>
      <x:c r="J634" s="17" t="str">
        <x:v>Cantidades por conjunto; no sumar como total de máquina.</x:v>
      </x:c>
    </x:row>
    <x:row r="635" ht="30" customHeight="1">
      <x:c r="A635" s="19" t="str">
        <x:v>TT10_C05_PC_04</x:v>
      </x:c>
      <x:c r="B635" s="19" t="str">
        <x:v>Tolva y bastidor móvil ensamblados</x:v>
      </x:c>
      <x:c r="C635" s="20" t="n">
        <x:v>336</x:v>
      </x:c>
      <x:c r="D635" s="19" t="str">
        <x:v>TT10_M166</x:v>
      </x:c>
      <x:c r="E635" s="20" t="n">
        <x:v>1</x:v>
      </x:c>
      <x:c r="F635" s="20" t="n">
        <x:v>1</x:v>
      </x:c>
      <x:c r="G635" s="19" t="str">
        <x:v>Fabricación</x:v>
      </x:c>
      <x:c r="H635" s="19" t="str">
        <x:v>Perfil tubular 150 x 100 x 8; L 4800</x:v>
      </x:c>
      <x:c r="I635" s="19" t="str">
        <x:v>S275J0H / EN 10219-1</x:v>
      </x:c>
      <x:c r="J635" s="19" t="str">
        <x:v>Cantidades por conjunto; no sumar como total de máquina.</x:v>
      </x:c>
    </x:row>
    <x:row r="636" ht="30" customHeight="1">
      <x:c r="A636" s="17" t="str">
        <x:v>TT10_C05_PC_04</x:v>
      </x:c>
      <x:c r="B636" s="17" t="str">
        <x:v>Tolva y bastidor móvil ensamblados</x:v>
      </x:c>
      <x:c r="C636" s="18" t="n">
        <x:v>337</x:v>
      </x:c>
      <x:c r="D636" s="17" t="str">
        <x:v>TT10_M171</x:v>
      </x:c>
      <x:c r="E636" s="18" t="n">
        <x:v>1</x:v>
      </x:c>
      <x:c r="F636" s="18" t="n">
        <x:v>1</x:v>
      </x:c>
      <x:c r="G636" s="17" t="str">
        <x:v>Fabricación</x:v>
      </x:c>
      <x:c r="H636" s="17" t="str">
        <x:v>Pieza TT10_M171</x:v>
      </x:c>
      <x:c r="I636" s="17" t="str">
        <x:v>ASTM A36</x:v>
      </x:c>
      <x:c r="J636" s="17" t="str">
        <x:v>Cantidades por conjunto; no sumar como total de máquina.</x:v>
      </x:c>
    </x:row>
    <x:row r="637" ht="30" customHeight="1">
      <x:c r="A637" s="19" t="str">
        <x:v>TT10_C05_PC_04</x:v>
      </x:c>
      <x:c r="B637" s="19" t="str">
        <x:v>Tolva y bastidor móvil ensamblados</x:v>
      </x:c>
      <x:c r="C637" s="20" t="n">
        <x:v>338</x:v>
      </x:c>
      <x:c r="D637" s="19" t="str">
        <x:v>TT10_M176</x:v>
      </x:c>
      <x:c r="E637" s="20" t="n">
        <x:v>1</x:v>
      </x:c>
      <x:c r="F637" s="20" t="n">
        <x:v>1</x:v>
      </x:c>
      <x:c r="G637" s="19" t="str">
        <x:v>Fabricación</x:v>
      </x:c>
      <x:c r="H637" s="19" t="str">
        <x:v>Fondo16 con taladros de revestimientos desmontables</x:v>
      </x:c>
      <x:c r="I637" s="19" t="str">
        <x:v>ASTM A36</x:v>
      </x:c>
      <x:c r="J637" s="19" t="str">
        <x:v>Cantidades por conjunto; no sumar como total de máquina.</x:v>
      </x:c>
    </x:row>
    <x:row r="638" ht="30" customHeight="1">
      <x:c r="A638" s="17" t="str">
        <x:v>TT10_C05_PC_04</x:v>
      </x:c>
      <x:c r="B638" s="17" t="str">
        <x:v>Tolva y bastidor móvil ensamblados</x:v>
      </x:c>
      <x:c r="C638" s="18" t="n">
        <x:v>339</x:v>
      </x:c>
      <x:c r="D638" s="17" t="str">
        <x:v>TT10_M181</x:v>
      </x:c>
      <x:c r="E638" s="18" t="n">
        <x:v>1</x:v>
      </x:c>
      <x:c r="F638" s="18" t="n">
        <x:v>1</x:v>
      </x:c>
      <x:c r="G638" s="17" t="str">
        <x:v>Fabricación</x:v>
      </x:c>
      <x:c r="H638" s="17" t="str">
        <x:v>Pieza TT10_M181</x:v>
      </x:c>
      <x:c r="I638" s="17" t="str">
        <x:v>ASTM A36</x:v>
      </x:c>
      <x:c r="J638" s="17" t="str">
        <x:v>Cantidades por conjunto; no sumar como total de máquina.</x:v>
      </x:c>
    </x:row>
    <x:row r="639" ht="30" customHeight="1">
      <x:c r="A639" s="19" t="str">
        <x:v>TT10_C05_PC_04</x:v>
      </x:c>
      <x:c r="B639" s="19" t="str">
        <x:v>Tolva y bastidor móvil ensamblados</x:v>
      </x:c>
      <x:c r="C639" s="20" t="n">
        <x:v>340</x:v>
      </x:c>
      <x:c r="D639" s="19" t="str">
        <x:v>TT10_M186</x:v>
      </x:c>
      <x:c r="E639" s="20" t="n">
        <x:v>1</x:v>
      </x:c>
      <x:c r="F639" s="20" t="n">
        <x:v>1</x:v>
      </x:c>
      <x:c r="G639" s="19" t="str">
        <x:v>Fabricación</x:v>
      </x:c>
      <x:c r="H639" s="19" t="str">
        <x:v>Perfil tubular 200 x 150 x 10; L 2200</x:v>
      </x:c>
      <x:c r="I639" s="19" t="str">
        <x:v>S275J0H / EN 10219-1</x:v>
      </x:c>
      <x:c r="J639" s="19" t="str">
        <x:v>Cantidades por conjunto; no sumar como total de máquina.</x:v>
      </x:c>
    </x:row>
    <x:row r="640" ht="30" customHeight="1">
      <x:c r="A640" s="17" t="str">
        <x:v>TT10_C05_PC_04</x:v>
      </x:c>
      <x:c r="B640" s="17" t="str">
        <x:v>Tolva y bastidor móvil ensamblados</x:v>
      </x:c>
      <x:c r="C640" s="18" t="n">
        <x:v>341</x:v>
      </x:c>
      <x:c r="D640" s="17" t="str">
        <x:v>TT10_M191</x:v>
      </x:c>
      <x:c r="E640" s="18" t="n">
        <x:v>1</x:v>
      </x:c>
      <x:c r="F640" s="18" t="n">
        <x:v>1</x:v>
      </x:c>
      <x:c r="G640" s="17" t="str">
        <x:v>Fabricación</x:v>
      </x:c>
      <x:c r="H640" s="17" t="str">
        <x:v>Pieza TT10_M191</x:v>
      </x:c>
      <x:c r="I640" s="17" t="str">
        <x:v>ASTM A36</x:v>
      </x:c>
      <x:c r="J640" s="17" t="str">
        <x:v>Cantidades por conjunto; no sumar como total de máquina.</x:v>
      </x:c>
    </x:row>
    <x:row r="641" ht="30" customHeight="1">
      <x:c r="A641" s="19" t="str">
        <x:v>TT10_C05_PC_04</x:v>
      </x:c>
      <x:c r="B641" s="19" t="str">
        <x:v>Tolva y bastidor móvil ensamblados</x:v>
      </x:c>
      <x:c r="C641" s="20" t="n">
        <x:v>342</x:v>
      </x:c>
      <x:c r="D641" s="19" t="str">
        <x:v>TT10_M196</x:v>
      </x:c>
      <x:c r="E641" s="20" t="n">
        <x:v>1</x:v>
      </x:c>
      <x:c r="F641" s="20" t="n">
        <x:v>1</x:v>
      </x:c>
      <x:c r="G641" s="19" t="str">
        <x:v>Fabricación</x:v>
      </x:c>
      <x:c r="H641" s="19" t="str">
        <x:v>Pieza TT10_M196</x:v>
      </x:c>
      <x:c r="I641" s="19" t="str">
        <x:v>ASTM A36</x:v>
      </x:c>
      <x:c r="J641" s="19" t="str">
        <x:v>Cantidades por conjunto; no sumar como total de máquina.</x:v>
      </x:c>
    </x:row>
    <x:row r="642" ht="30" customHeight="1">
      <x:c r="A642" s="17" t="str">
        <x:v>TT10_C05_PC_04</x:v>
      </x:c>
      <x:c r="B642" s="17" t="str">
        <x:v>Tolva y bastidor móvil ensamblados</x:v>
      </x:c>
      <x:c r="C642" s="18" t="n">
        <x:v>343</x:v>
      </x:c>
      <x:c r="D642" s="17" t="str">
        <x:v>TT10_M201</x:v>
      </x:c>
      <x:c r="E642" s="18" t="n">
        <x:v>1</x:v>
      </x:c>
      <x:c r="F642" s="18" t="n">
        <x:v>1</x:v>
      </x:c>
      <x:c r="G642" s="17" t="str">
        <x:v>Fabricación</x:v>
      </x:c>
      <x:c r="H642" s="17" t="str">
        <x:v>Cabezal cajón 200 x 200 x 1200, t40; 2 diafragmas 120 x 120 x 40</x:v>
      </x:c>
      <x:c r="I642" s="17" t="str">
        <x:v>Strenx700E t40; Rp0.2min700MPa</x:v>
      </x:c>
      <x:c r="J642" s="17" t="str">
        <x:v>Cantidades por conjunto; no sumar como total de máquina.</x:v>
      </x:c>
    </x:row>
    <x:row r="643" ht="30" customHeight="1">
      <x:c r="A643" s="19" t="str">
        <x:v>TT10_C05_PC_04</x:v>
      </x:c>
      <x:c r="B643" s="19" t="str">
        <x:v>Tolva y bastidor móvil ensamblados</x:v>
      </x:c>
      <x:c r="C643" s="20" t="n">
        <x:v>344</x:v>
      </x:c>
      <x:c r="D643" s="19" t="str">
        <x:v>TT10_M206</x:v>
      </x:c>
      <x:c r="E643" s="20" t="n">
        <x:v>1</x:v>
      </x:c>
      <x:c r="F643" s="20" t="n">
        <x:v>1</x:v>
      </x:c>
      <x:c r="G643" s="19" t="str">
        <x:v>Fabricación</x:v>
      </x:c>
      <x:c r="H643" s="19" t="str">
        <x:v>Pieza TT10_M206</x:v>
      </x:c>
      <x:c r="I643" s="19" t="str">
        <x:v>ASTM A36</x:v>
      </x:c>
      <x:c r="J643" s="19" t="str">
        <x:v>Cantidades por conjunto; no sumar como total de máquina.</x:v>
      </x:c>
    </x:row>
    <x:row r="644" ht="30" customHeight="1">
      <x:c r="A644" s="17" t="str">
        <x:v>TT10_C05_PC_04</x:v>
      </x:c>
      <x:c r="B644" s="17" t="str">
        <x:v>Tolva y bastidor móvil ensamblados</x:v>
      </x:c>
      <x:c r="C644" s="18" t="n">
        <x:v>345</x:v>
      </x:c>
      <x:c r="D644" s="17" t="str">
        <x:v>TT10_M211</x:v>
      </x:c>
      <x:c r="E644" s="18" t="n">
        <x:v>1</x:v>
      </x:c>
      <x:c r="F644" s="18" t="n">
        <x:v>1</x:v>
      </x:c>
      <x:c r="G644" s="17" t="str">
        <x:v>Fabricación</x:v>
      </x:c>
      <x:c r="H644" s="17" t="str">
        <x:v>Cama elastomérica25 perforada para casquillos limitadores</x:v>
      </x:c>
      <x:c r="I644" s="17" t="str">
        <x:v>Elastómero; curva dinámica de compresión por definir</x:v>
      </x:c>
      <x:c r="J644" s="17" t="str">
        <x:v>Cantidades por conjunto; no sumar como total de máquina.</x:v>
      </x:c>
    </x:row>
    <x:row r="645" ht="30" customHeight="1">
      <x:c r="A645" s="19" t="str">
        <x:v>TT10_C05_PC_04</x:v>
      </x:c>
      <x:c r="B645" s="19" t="str">
        <x:v>Tolva y bastidor móvil ensamblados</x:v>
      </x:c>
      <x:c r="C645" s="20" t="n">
        <x:v>346</x:v>
      </x:c>
      <x:c r="D645" s="19" t="str">
        <x:v>TT10_M216</x:v>
      </x:c>
      <x:c r="E645" s="20" t="n">
        <x:v>1</x:v>
      </x:c>
      <x:c r="F645" s="20" t="n">
        <x:v>1</x:v>
      </x:c>
      <x:c r="G645" s="19" t="str">
        <x:v>Fabricación</x:v>
      </x:c>
      <x:c r="H645" s="19" t="str">
        <x:v>Pieza TT10_M216</x:v>
      </x:c>
      <x:c r="I645" s="19" t="str">
        <x:v>ASTM A36</x:v>
      </x:c>
      <x:c r="J645" s="19" t="str">
        <x:v>Cantidades por conjunto; no sumar como total de máquina.</x:v>
      </x:c>
    </x:row>
    <x:row r="646" ht="30" customHeight="1">
      <x:c r="A646" s="17" t="str">
        <x:v>TT10_C05_PC_04</x:v>
      </x:c>
      <x:c r="B646" s="17" t="str">
        <x:v>Tolva y bastidor móvil ensamblados</x:v>
      </x:c>
      <x:c r="C646" s="18" t="n">
        <x:v>347</x:v>
      </x:c>
      <x:c r="D646" s="17" t="str">
        <x:v>TT10_M221</x:v>
      </x:c>
      <x:c r="E646" s="18" t="n">
        <x:v>1</x:v>
      </x:c>
      <x:c r="F646" s="18" t="n">
        <x:v>1</x:v>
      </x:c>
      <x:c r="G646" s="17" t="str">
        <x:v>Fabricación</x:v>
      </x:c>
      <x:c r="H646" s="17" t="str">
        <x:v>Cama elastomérica25 perforada para casquillos limitadores</x:v>
      </x:c>
      <x:c r="I646" s="17" t="str">
        <x:v>Elastómero; curva dinámica de compresión por definir</x:v>
      </x:c>
      <x:c r="J646" s="17" t="str">
        <x:v>Cantidades por conjunto; no sumar como total de máquina.</x:v>
      </x:c>
    </x:row>
    <x:row r="647" ht="30" customHeight="1">
      <x:c r="A647" s="19" t="str">
        <x:v>TT10_C05_PC_04</x:v>
      </x:c>
      <x:c r="B647" s="19" t="str">
        <x:v>Tolva y bastidor móvil ensamblados</x:v>
      </x:c>
      <x:c r="C647" s="20" t="n">
        <x:v>348</x:v>
      </x:c>
      <x:c r="D647" s="19" t="str">
        <x:v>TT10_M226</x:v>
      </x:c>
      <x:c r="E647" s="20" t="n">
        <x:v>1</x:v>
      </x:c>
      <x:c r="F647" s="20" t="n">
        <x:v>1</x:v>
      </x:c>
      <x:c r="G647" s="19" t="str">
        <x:v>Fabricación</x:v>
      </x:c>
      <x:c r="H647" s="19" t="str">
        <x:v>Perfil tubular 200 x 150 x 10; L 2200</x:v>
      </x:c>
      <x:c r="I647" s="19" t="str">
        <x:v>S275J0H / EN 10219-1</x:v>
      </x:c>
      <x:c r="J647" s="19" t="str">
        <x:v>Cantidades por conjunto; no sumar como total de máquina.</x:v>
      </x:c>
    </x:row>
    <x:row r="648" ht="30" customHeight="1">
      <x:c r="A648" s="17" t="str">
        <x:v>TT10_C05_PC_04</x:v>
      </x:c>
      <x:c r="B648" s="17" t="str">
        <x:v>Tolva y bastidor móvil ensamblados</x:v>
      </x:c>
      <x:c r="C648" s="18" t="n">
        <x:v>349</x:v>
      </x:c>
      <x:c r="D648" s="17" t="str">
        <x:v>TT10_M231</x:v>
      </x:c>
      <x:c r="E648" s="18" t="n">
        <x:v>1</x:v>
      </x:c>
      <x:c r="F648" s="18" t="n">
        <x:v>1</x:v>
      </x:c>
      <x:c r="G648" s="17" t="str">
        <x:v>Fabricación</x:v>
      </x:c>
      <x:c r="H648" s="17" t="str">
        <x:v>Pieza TT10_M231</x:v>
      </x:c>
      <x:c r="I648" s="17" t="str">
        <x:v>ASTM A36</x:v>
      </x:c>
      <x:c r="J648" s="17" t="str">
        <x:v>Cantidades por conjunto; no sumar como total de máquina.</x:v>
      </x:c>
    </x:row>
    <x:row r="649" ht="30" customHeight="1">
      <x:c r="A649" s="19" t="str">
        <x:v>TT10_C05_PC_04</x:v>
      </x:c>
      <x:c r="B649" s="19" t="str">
        <x:v>Tolva y bastidor móvil ensamblados</x:v>
      </x:c>
      <x:c r="C649" s="20" t="n">
        <x:v>350</x:v>
      </x:c>
      <x:c r="D649" s="19" t="str">
        <x:v>TT10_M236</x:v>
      </x:c>
      <x:c r="E649" s="20" t="n">
        <x:v>1</x:v>
      </x:c>
      <x:c r="F649" s="20" t="n">
        <x:v>1</x:v>
      </x:c>
      <x:c r="G649" s="19" t="str">
        <x:v>Fabricación</x:v>
      </x:c>
      <x:c r="H649" s="19" t="str">
        <x:v>Perfil tubular 150 x 100 x 8; L 3600</x:v>
      </x:c>
      <x:c r="I649" s="19" t="str">
        <x:v>S275J0H / EN 10219-1</x:v>
      </x:c>
      <x:c r="J649" s="19" t="str">
        <x:v>Cantidades por conjunto; no sumar como total de máquina.</x:v>
      </x:c>
    </x:row>
    <x:row r="650" ht="30" customHeight="1">
      <x:c r="A650" s="17" t="str">
        <x:v>TT10_C05_PC_04</x:v>
      </x:c>
      <x:c r="B650" s="17" t="str">
        <x:v>Tolva y bastidor móvil ensamblados</x:v>
      </x:c>
      <x:c r="C650" s="18" t="n">
        <x:v>351</x:v>
      </x:c>
      <x:c r="D650" s="17" t="str">
        <x:v>TT10_M241</x:v>
      </x:c>
      <x:c r="E650" s="18" t="n">
        <x:v>1</x:v>
      </x:c>
      <x:c r="F650" s="18" t="n">
        <x:v>1</x:v>
      </x:c>
      <x:c r="G650" s="17" t="str">
        <x:v>Fabricación</x:v>
      </x:c>
      <x:c r="H650" s="17" t="str">
        <x:v>Cama elastomérica25 perforada para casquillos limitadores</x:v>
      </x:c>
      <x:c r="I650" s="17" t="str">
        <x:v>Elastómero; curva dinámica de compresión por definir</x:v>
      </x:c>
      <x:c r="J650" s="17" t="str">
        <x:v>Cantidades por conjunto; no sumar como total de máquina.</x:v>
      </x:c>
    </x:row>
    <x:row r="651" ht="30" customHeight="1">
      <x:c r="A651" s="19" t="str">
        <x:v>TT10_C05_PC_04</x:v>
      </x:c>
      <x:c r="B651" s="19" t="str">
        <x:v>Tolva y bastidor móvil ensamblados</x:v>
      </x:c>
      <x:c r="C651" s="20" t="n">
        <x:v>352</x:v>
      </x:c>
      <x:c r="D651" s="19" t="str">
        <x:v>TT10_M246</x:v>
      </x:c>
      <x:c r="E651" s="20" t="n">
        <x:v>1</x:v>
      </x:c>
      <x:c r="F651" s="20" t="n">
        <x:v>1</x:v>
      </x:c>
      <x:c r="G651" s="19" t="str">
        <x:v>Fabricación</x:v>
      </x:c>
      <x:c r="H651" s="19" t="str">
        <x:v>Pieza TT10_M246</x:v>
      </x:c>
      <x:c r="I651" s="19" t="str">
        <x:v>ASTM A36</x:v>
      </x:c>
      <x:c r="J651" s="19" t="str">
        <x:v>Cantidades por conjunto; no sumar como total de máquina.</x:v>
      </x:c>
    </x:row>
    <x:row r="652" ht="30" customHeight="1">
      <x:c r="A652" s="17" t="str">
        <x:v>TT10_C05_PC_04</x:v>
      </x:c>
      <x:c r="B652" s="17" t="str">
        <x:v>Tolva y bastidor móvil ensamblados</x:v>
      </x:c>
      <x:c r="C652" s="18" t="n">
        <x:v>353</x:v>
      </x:c>
      <x:c r="D652" s="17" t="str">
        <x:v>TT10_M251</x:v>
      </x:c>
      <x:c r="E652" s="18" t="n">
        <x:v>1</x:v>
      </x:c>
      <x:c r="F652" s="18" t="n">
        <x:v>1</x:v>
      </x:c>
      <x:c r="G652" s="17" t="str">
        <x:v>Fabricación</x:v>
      </x:c>
      <x:c r="H652" s="17" t="str">
        <x:v>Pieza TT10_M251</x:v>
      </x:c>
      <x:c r="I652" s="17" t="str">
        <x:v>ASTM A36</x:v>
      </x:c>
      <x:c r="J652" s="17" t="str">
        <x:v>Cantidades por conjunto; no sumar como total de máquina.</x:v>
      </x:c>
    </x:row>
    <x:row r="653" ht="30" customHeight="1">
      <x:c r="A653" s="19" t="str">
        <x:v>TT10_C05_PC_04</x:v>
      </x:c>
      <x:c r="B653" s="19" t="str">
        <x:v>Tolva y bastidor móvil ensamblados</x:v>
      </x:c>
      <x:c r="C653" s="20" t="n">
        <x:v>354</x:v>
      </x:c>
      <x:c r="D653" s="19" t="str">
        <x:v>TT10_M256</x:v>
      </x:c>
      <x:c r="E653" s="20" t="n">
        <x:v>1</x:v>
      </x:c>
      <x:c r="F653" s="20" t="n">
        <x:v>1</x:v>
      </x:c>
      <x:c r="G653" s="19" t="str">
        <x:v>Fabricación</x:v>
      </x:c>
      <x:c r="H653" s="19" t="str">
        <x:v>Revestimiento AR400 t12 con ocho M16 avellanados desmontables</x:v>
      </x:c>
      <x:c r="I653" s="19" t="str">
        <x:v>Hardox 400</x:v>
      </x:c>
      <x:c r="J653" s="19" t="str">
        <x:v>Cantidades por conjunto; no sumar como total de máquina.</x:v>
      </x:c>
    </x:row>
    <x:row r="654" ht="30" customHeight="1">
      <x:c r="A654" s="17" t="str">
        <x:v>TT10_C05_PC_04</x:v>
      </x:c>
      <x:c r="B654" s="17" t="str">
        <x:v>Tolva y bastidor móvil ensamblados</x:v>
      </x:c>
      <x:c r="C654" s="18" t="n">
        <x:v>355</x:v>
      </x:c>
      <x:c r="D654" s="17" t="str">
        <x:v>TT10_M261</x:v>
      </x:c>
      <x:c r="E654" s="18" t="n">
        <x:v>1</x:v>
      </x:c>
      <x:c r="F654" s="18" t="n">
        <x:v>1</x:v>
      </x:c>
      <x:c r="G654" s="17" t="str">
        <x:v>Fabricación</x:v>
      </x:c>
      <x:c r="H654" s="17" t="str">
        <x:v>Pieza TT10_M261</x:v>
      </x:c>
      <x:c r="I654" s="17" t="str">
        <x:v>ASTM A36</x:v>
      </x:c>
      <x:c r="J654" s="17" t="str">
        <x:v>Cantidades por conjunto; no sumar como total de máquina.</x:v>
      </x:c>
    </x:row>
    <x:row r="655" ht="30" customHeight="1">
      <x:c r="A655" s="19" t="str">
        <x:v>TT10_C05_PC_04</x:v>
      </x:c>
      <x:c r="B655" s="19" t="str">
        <x:v>Tolva y bastidor móvil ensamblados</x:v>
      </x:c>
      <x:c r="C655" s="20" t="n">
        <x:v>356</x:v>
      </x:c>
      <x:c r="D655" s="19" t="str">
        <x:v>TT10_M266</x:v>
      </x:c>
      <x:c r="E655" s="20" t="n">
        <x:v>1</x:v>
      </x:c>
      <x:c r="F655" s="20" t="n">
        <x:v>1</x:v>
      </x:c>
      <x:c r="G655" s="19" t="str">
        <x:v>Fabricación</x:v>
      </x:c>
      <x:c r="H655" s="19" t="str">
        <x:v>Revestimiento AR400 t12 con ocho M16 avellanados desmontables</x:v>
      </x:c>
      <x:c r="I655" s="19" t="str">
        <x:v>Hardox 400</x:v>
      </x:c>
      <x:c r="J655" s="19" t="str">
        <x:v>Cantidades por conjunto; no sumar como total de máquina.</x:v>
      </x:c>
    </x:row>
    <x:row r="656" ht="30" customHeight="1">
      <x:c r="A656" s="17" t="str">
        <x:v>TT10_C05_PC_04</x:v>
      </x:c>
      <x:c r="B656" s="17" t="str">
        <x:v>Tolva y bastidor móvil ensamblados</x:v>
      </x:c>
      <x:c r="C656" s="18" t="n">
        <x:v>358</x:v>
      </x:c>
      <x:c r="D656" s="17" t="str">
        <x:v>TT10_M276</x:v>
      </x:c>
      <x:c r="E656" s="18" t="n">
        <x:v>1</x:v>
      </x:c>
      <x:c r="F656" s="18" t="n">
        <x:v>1</x:v>
      </x:c>
      <x:c r="G656" s="17" t="str">
        <x:v>Fabricación</x:v>
      </x:c>
      <x:c r="H656" s="17" t="str">
        <x:v>Brazo monolítico Strenx 700E t50; perfil 800 x 650; R50; agujero Ø65,5</x:v>
      </x:c>
      <x:c r="I656" s="17" t="str">
        <x:v>Strenx700E t50; Rp0.2min700MPa</x:v>
      </x:c>
      <x:c r="J656" s="17" t="str">
        <x:v>Cantidades por conjunto; no sumar como total de máquina.</x:v>
      </x:c>
    </x:row>
    <x:row r="657" ht="30" customHeight="1">
      <x:c r="A657" s="19" t="str">
        <x:v>TT10_C05_PC_04</x:v>
      </x:c>
      <x:c r="B657" s="19" t="str">
        <x:v>Tolva y bastidor móvil ensamblados</x:v>
      </x:c>
      <x:c r="C657" s="20" t="n">
        <x:v>359</x:v>
      </x:c>
      <x:c r="D657" s="19" t="str">
        <x:v>TT10_M281</x:v>
      </x:c>
      <x:c r="E657" s="20" t="n">
        <x:v>1</x:v>
      </x:c>
      <x:c r="F657" s="20" t="n">
        <x:v>1</x:v>
      </x:c>
      <x:c r="G657" s="19" t="str">
        <x:v>Fabricación</x:v>
      </x:c>
      <x:c r="H657" s="19" t="str">
        <x:v>Pieza TT10_M281</x:v>
      </x:c>
      <x:c r="I657" s="19" t="str">
        <x:v>ASTM A36</x:v>
      </x:c>
      <x:c r="J657" s="19" t="str">
        <x:v>Cantidades por conjunto; no sumar como total de máquina.</x:v>
      </x:c>
    </x:row>
    <x:row r="658" ht="30" customHeight="1">
      <x:c r="A658" s="17" t="str">
        <x:v>TT10_C05_PC_04</x:v>
      </x:c>
      <x:c r="B658" s="17" t="str">
        <x:v>Tolva y bastidor móvil ensamblados</x:v>
      </x:c>
      <x:c r="C658" s="18" t="n">
        <x:v>360</x:v>
      </x:c>
      <x:c r="D658" s="17" t="str">
        <x:v>TT10_M286</x:v>
      </x:c>
      <x:c r="E658" s="18" t="n">
        <x:v>1</x:v>
      </x:c>
      <x:c r="F658" s="18" t="n">
        <x:v>1</x:v>
      </x:c>
      <x:c r="G658" s="17" t="str">
        <x:v>Fabricación</x:v>
      </x:c>
      <x:c r="H658" s="17" t="str">
        <x:v>Pieza TT10_M286</x:v>
      </x:c>
      <x:c r="I658" s="17" t="str">
        <x:v>ASTM A36</x:v>
      </x:c>
      <x:c r="J658" s="17" t="str">
        <x:v>Cantidades por conjunto; no sumar como total de máquina.</x:v>
      </x:c>
    </x:row>
    <x:row r="659" ht="30" customHeight="1">
      <x:c r="A659" s="19" t="str">
        <x:v>TT10_C05_PC_04</x:v>
      </x:c>
      <x:c r="B659" s="19" t="str">
        <x:v>Tolva y bastidor móvil ensamblados</x:v>
      </x:c>
      <x:c r="C659" s="20" t="n">
        <x:v>361</x:v>
      </x:c>
      <x:c r="D659" s="19" t="str">
        <x:v>TT10_M291</x:v>
      </x:c>
      <x:c r="E659" s="20" t="n">
        <x:v>1</x:v>
      </x:c>
      <x:c r="F659" s="20" t="n">
        <x:v>1</x:v>
      </x:c>
      <x:c r="G659" s="19" t="str">
        <x:v>Fabricación</x:v>
      </x:c>
      <x:c r="H659" s="19" t="str">
        <x:v>Pieza TT10_M291</x:v>
      </x:c>
      <x:c r="I659" s="19" t="str">
        <x:v>ASTM A36</x:v>
      </x:c>
      <x:c r="J659" s="19" t="str">
        <x:v>Cantidades por conjunto; no sumar como total de máquina.</x:v>
      </x:c>
    </x:row>
    <x:row r="660" ht="30" customHeight="1">
      <x:c r="A660" s="17" t="str">
        <x:v>TT10_C05_PC_04</x:v>
      </x:c>
      <x:c r="B660" s="17" t="str">
        <x:v>Tolva y bastidor móvil ensamblados</x:v>
      </x:c>
      <x:c r="C660" s="18" t="n">
        <x:v>362</x:v>
      </x:c>
      <x:c r="D660" s="17" t="str">
        <x:v>TT10_M296</x:v>
      </x:c>
      <x:c r="E660" s="18" t="n">
        <x:v>1</x:v>
      </x:c>
      <x:c r="F660" s="18" t="n">
        <x:v>1</x:v>
      </x:c>
      <x:c r="G660" s="17" t="str">
        <x:v>Fabricación</x:v>
      </x:c>
      <x:c r="H660" s="17" t="str">
        <x:v>Pieza TT10_M296</x:v>
      </x:c>
      <x:c r="I660" s="17" t="str">
        <x:v>ASTM A36</x:v>
      </x:c>
      <x:c r="J660" s="17" t="str">
        <x:v>Cantidades por conjunto; no sumar como total de máquina.</x:v>
      </x:c>
    </x:row>
    <x:row r="661" ht="30" customHeight="1">
      <x:c r="A661" s="19" t="str">
        <x:v>TT10_C05_PC_04</x:v>
      </x:c>
      <x:c r="B661" s="19" t="str">
        <x:v>Tolva y bastidor móvil ensamblados</x:v>
      </x:c>
      <x:c r="C661" s="20" t="n">
        <x:v>363</x:v>
      </x:c>
      <x:c r="D661" s="19" t="str">
        <x:v>TT10_M301</x:v>
      </x:c>
      <x:c r="E661" s="20" t="n">
        <x:v>1</x:v>
      </x:c>
      <x:c r="F661" s="20" t="n">
        <x:v>1</x:v>
      </x:c>
      <x:c r="G661" s="19" t="str">
        <x:v>Fabricación</x:v>
      </x:c>
      <x:c r="H661" s="19" t="str">
        <x:v>Pieza TT10_M301</x:v>
      </x:c>
      <x:c r="I661" s="19" t="str">
        <x:v>ASTM A36</x:v>
      </x:c>
      <x:c r="J661" s="19" t="str">
        <x:v>Cantidades por conjunto; no sumar como total de máquina.</x:v>
      </x:c>
    </x:row>
    <x:row r="662" ht="30" customHeight="1">
      <x:c r="A662" s="17" t="str">
        <x:v>TT10_C05_PC_04</x:v>
      </x:c>
      <x:c r="B662" s="17" t="str">
        <x:v>Tolva y bastidor móvil ensamblados</x:v>
      </x:c>
      <x:c r="C662" s="18" t="n">
        <x:v>365</x:v>
      </x:c>
      <x:c r="D662" s="17" t="str">
        <x:v>TT10_M311</x:v>
      </x:c>
      <x:c r="E662" s="18" t="n">
        <x:v>1</x:v>
      </x:c>
      <x:c r="F662" s="18" t="n">
        <x:v>1</x:v>
      </x:c>
      <x:c r="G662" s="17" t="str">
        <x:v>Fabricación</x:v>
      </x:c>
      <x:c r="H662" s="17" t="str">
        <x:v>Yugo cajón 400 x 200 x 1116, t30; 2 diafragmas 340 x 140 x 30; agujero Ø202</x:v>
      </x:c>
      <x:c r="I662" s="17" t="str">
        <x:v>Strenx700E t30; Rp0.2min700MPa</x:v>
      </x:c>
      <x:c r="J662" s="17" t="str">
        <x:v>Cantidades por conjunto; no sumar como total de máquina.</x:v>
      </x:c>
    </x:row>
    <x:row r="663" ht="30" customHeight="1">
      <x:c r="A663" s="19" t="str">
        <x:v>TT10_C05_PC_04</x:v>
      </x:c>
      <x:c r="B663" s="19" t="str">
        <x:v>Tolva y bastidor móvil ensamblados</x:v>
      </x:c>
      <x:c r="C663" s="20" t="n">
        <x:v>366</x:v>
      </x:c>
      <x:c r="D663" s="19" t="str">
        <x:v>TT10_M316</x:v>
      </x:c>
      <x:c r="E663" s="20" t="n">
        <x:v>1</x:v>
      </x:c>
      <x:c r="F663" s="20" t="n">
        <x:v>1</x:v>
      </x:c>
      <x:c r="G663" s="19" t="str">
        <x:v>Fabricación</x:v>
      </x:c>
      <x:c r="H663" s="19" t="str">
        <x:v>Pieza TT10_M316</x:v>
      </x:c>
      <x:c r="I663" s="19" t="str">
        <x:v>ASTM A36</x:v>
      </x:c>
      <x:c r="J663" s="19" t="str">
        <x:v>Cantidades por conjunto; no sumar como total de máquina.</x:v>
      </x:c>
    </x:row>
    <x:row r="664" ht="30" customHeight="1">
      <x:c r="A664" s="17" t="str">
        <x:v>TT10_C05_PC_04</x:v>
      </x:c>
      <x:c r="B664" s="17" t="str">
        <x:v>Tolva y bastidor móvil ensamblados</x:v>
      </x:c>
      <x:c r="C664" s="18" t="n">
        <x:v>367</x:v>
      </x:c>
      <x:c r="D664" s="17" t="str">
        <x:v>TT10_M326</x:v>
      </x:c>
      <x:c r="E664" s="18" t="n">
        <x:v>1</x:v>
      </x:c>
      <x:c r="F664" s="18" t="n">
        <x:v>1</x:v>
      </x:c>
      <x:c r="G664" s="17" t="str">
        <x:v>Fabricación</x:v>
      </x:c>
      <x:c r="H664" s="17" t="str">
        <x:v>Pieza TT10_M326</x:v>
      </x:c>
      <x:c r="I664" s="17" t="str">
        <x:v>ASTM A36</x:v>
      </x:c>
      <x:c r="J664" s="17" t="str">
        <x:v>Cantidades por conjunto; no sumar como total de máquina.</x:v>
      </x:c>
    </x:row>
    <x:row r="665" ht="30" customHeight="1">
      <x:c r="A665" s="19" t="str">
        <x:v>TT10_C05_PC_04</x:v>
      </x:c>
      <x:c r="B665" s="19" t="str">
        <x:v>Tolva y bastidor móvil ensamblados</x:v>
      </x:c>
      <x:c r="C665" s="20" t="n">
        <x:v>368</x:v>
      </x:c>
      <x:c r="D665" s="19" t="str">
        <x:v>TT10_M331</x:v>
      </x:c>
      <x:c r="E665" s="20" t="n">
        <x:v>1</x:v>
      </x:c>
      <x:c r="F665" s="20" t="n">
        <x:v>1</x:v>
      </x:c>
      <x:c r="G665" s="19" t="str">
        <x:v>Fabricación</x:v>
      </x:c>
      <x:c r="H665" s="19" t="str">
        <x:v>Pieza TT10_M331</x:v>
      </x:c>
      <x:c r="I665" s="19" t="str">
        <x:v>ASTM A36</x:v>
      </x:c>
      <x:c r="J665" s="19" t="str">
        <x:v>Cantidades por conjunto; no sumar como total de máquina.</x:v>
      </x:c>
    </x:row>
    <x:row r="666" ht="30" customHeight="1">
      <x:c r="A666" s="17" t="str">
        <x:v>TT10_C05_PC_04</x:v>
      </x:c>
      <x:c r="B666" s="17" t="str">
        <x:v>Tolva y bastidor móvil ensamblados</x:v>
      </x:c>
      <x:c r="C666" s="18" t="n">
        <x:v>369</x:v>
      </x:c>
      <x:c r="D666" s="17" t="str">
        <x:v>TT10_M336</x:v>
      </x:c>
      <x:c r="E666" s="18" t="n">
        <x:v>1</x:v>
      </x:c>
      <x:c r="F666" s="18" t="n">
        <x:v>1</x:v>
      </x:c>
      <x:c r="G666" s="17" t="str">
        <x:v>Fabricación</x:v>
      </x:c>
      <x:c r="H666" s="17" t="str">
        <x:v>Perfil tubular 200 x 100 x 10; L 250</x:v>
      </x:c>
      <x:c r="I666" s="17" t="str">
        <x:v>S275J0H / EN 10219-1</x:v>
      </x:c>
      <x:c r="J666" s="17" t="str">
        <x:v>Cantidades por conjunto; no sumar como total de máquina.</x:v>
      </x:c>
    </x:row>
    <x:row r="667" ht="30" customHeight="1">
      <x:c r="A667" s="19" t="str">
        <x:v>TT10_C05_PC_04</x:v>
      </x:c>
      <x:c r="B667" s="19" t="str">
        <x:v>Tolva y bastidor móvil ensamblados</x:v>
      </x:c>
      <x:c r="C667" s="20" t="n">
        <x:v>370</x:v>
      </x:c>
      <x:c r="D667" s="19" t="str">
        <x:v>TT10_M341</x:v>
      </x:c>
      <x:c r="E667" s="20" t="n">
        <x:v>1</x:v>
      </x:c>
      <x:c r="F667" s="20" t="n">
        <x:v>1</x:v>
      </x:c>
      <x:c r="G667" s="19" t="str">
        <x:v>Fabricación</x:v>
      </x:c>
      <x:c r="H667" s="19" t="str">
        <x:v>Pieza TT10_M341</x:v>
      </x:c>
      <x:c r="I667" s="19" t="str">
        <x:v>ASTM A36</x:v>
      </x:c>
      <x:c r="J667" s="19" t="str">
        <x:v>Cantidades por conjunto; no sumar como total de máquina.</x:v>
      </x:c>
    </x:row>
    <x:row r="668" ht="30" customHeight="1">
      <x:c r="A668" s="17" t="str">
        <x:v>TT10_C05_PC_04</x:v>
      </x:c>
      <x:c r="B668" s="17" t="str">
        <x:v>Tolva y bastidor móvil ensamblados</x:v>
      </x:c>
      <x:c r="C668" s="18" t="n">
        <x:v>371</x:v>
      </x:c>
      <x:c r="D668" s="17" t="str">
        <x:v>TT10_M346</x:v>
      </x:c>
      <x:c r="E668" s="18" t="n">
        <x:v>1</x:v>
      </x:c>
      <x:c r="F668" s="18" t="n">
        <x:v>1</x:v>
      </x:c>
      <x:c r="G668" s="17" t="str">
        <x:v>Fabricación</x:v>
      </x:c>
      <x:c r="H668" s="17" t="str">
        <x:v>Pieza TT10_M346</x:v>
      </x:c>
      <x:c r="I668" s="17" t="str">
        <x:v>ASTM A36</x:v>
      </x:c>
      <x:c r="J668" s="17" t="str">
        <x:v>Cantidades por conjunto; no sumar como total de máquina.</x:v>
      </x:c>
    </x:row>
    <x:row r="669" ht="30" customHeight="1">
      <x:c r="A669" s="19" t="str">
        <x:v>TT10_C05_PC_04</x:v>
      </x:c>
      <x:c r="B669" s="19" t="str">
        <x:v>Tolva y bastidor móvil ensamblados</x:v>
      </x:c>
      <x:c r="C669" s="20" t="n">
        <x:v>372</x:v>
      </x:c>
      <x:c r="D669" s="19" t="str">
        <x:v>TT10_M351</x:v>
      </x:c>
      <x:c r="E669" s="20" t="n">
        <x:v>1</x:v>
      </x:c>
      <x:c r="F669" s="20" t="n">
        <x:v>1</x:v>
      </x:c>
      <x:c r="G669" s="19" t="str">
        <x:v>Fabricación</x:v>
      </x:c>
      <x:c r="H669" s="19" t="str">
        <x:v>Brazo monolítico Strenx 700E t50; perfil 800 x 650; R50; agujero Ø65,5</x:v>
      </x:c>
      <x:c r="I669" s="19" t="str">
        <x:v>Strenx700E t50; Rp0.2min700MPa</x:v>
      </x:c>
      <x:c r="J669" s="19" t="str">
        <x:v>Cantidades por conjunto; no sumar como total de máquina.</x:v>
      </x:c>
    </x:row>
    <x:row r="670" ht="30" customHeight="1">
      <x:c r="A670" s="17" t="str">
        <x:v>TT10_C05_PC_04</x:v>
      </x:c>
      <x:c r="B670" s="17" t="str">
        <x:v>Tolva y bastidor móvil ensamblados</x:v>
      </x:c>
      <x:c r="C670" s="18" t="n">
        <x:v>373</x:v>
      </x:c>
      <x:c r="D670" s="17" t="str">
        <x:v>TT10_M356</x:v>
      </x:c>
      <x:c r="E670" s="18" t="n">
        <x:v>1</x:v>
      </x:c>
      <x:c r="F670" s="18" t="n">
        <x:v>1</x:v>
      </x:c>
      <x:c r="G670" s="17" t="str">
        <x:v>Fabricación</x:v>
      </x:c>
      <x:c r="H670" s="17" t="str">
        <x:v>Perfil tubular 400 x 200 x 16; L 5600</x:v>
      </x:c>
      <x:c r="I670" s="17" t="str">
        <x:v>S275J0H / EN 10219-1</x:v>
      </x:c>
      <x:c r="J670" s="17" t="str">
        <x:v>Cantidades por conjunto; no sumar como total de máquina.</x:v>
      </x:c>
    </x:row>
    <x:row r="671" ht="30" customHeight="1">
      <x:c r="A671" s="19" t="str">
        <x:v>TT10_C05_PC_04</x:v>
      </x:c>
      <x:c r="B671" s="19" t="str">
        <x:v>Tolva y bastidor móvil ensamblados</x:v>
      </x:c>
      <x:c r="C671" s="20" t="n">
        <x:v>374</x:v>
      </x:c>
      <x:c r="D671" s="19" t="str">
        <x:v>TT10_M361</x:v>
      </x:c>
      <x:c r="E671" s="20" t="n">
        <x:v>1</x:v>
      </x:c>
      <x:c r="F671" s="20" t="n">
        <x:v>1</x:v>
      </x:c>
      <x:c r="G671" s="19" t="str">
        <x:v>Fabricación</x:v>
      </x:c>
      <x:c r="H671" s="19" t="str">
        <x:v>Pieza TT10_M361</x:v>
      </x:c>
      <x:c r="I671" s="19" t="str">
        <x:v>ASTM A36</x:v>
      </x:c>
      <x:c r="J671" s="19" t="str">
        <x:v>Cantidades por conjunto; no sumar como total de máquina.</x:v>
      </x:c>
    </x:row>
    <x:row r="672" ht="30" customHeight="1">
      <x:c r="A672" s="17" t="str">
        <x:v>TT10_C05_PC_04</x:v>
      </x:c>
      <x:c r="B672" s="17" t="str">
        <x:v>Tolva y bastidor móvil ensamblados</x:v>
      </x:c>
      <x:c r="C672" s="18" t="n">
        <x:v>376</x:v>
      </x:c>
      <x:c r="D672" s="17" t="str">
        <x:v>TT10_M371</x:v>
      </x:c>
      <x:c r="E672" s="18" t="n">
        <x:v>1</x:v>
      </x:c>
      <x:c r="F672" s="18" t="n">
        <x:v>1</x:v>
      </x:c>
      <x:c r="G672" s="17" t="str">
        <x:v>Fabricación</x:v>
      </x:c>
      <x:c r="H672" s="17" t="str">
        <x:v>Pieza TT10_M371</x:v>
      </x:c>
      <x:c r="I672" s="17" t="str">
        <x:v>ASTM A36</x:v>
      </x:c>
      <x:c r="J672" s="17" t="str">
        <x:v>Cantidades por conjunto; no sumar como total de máquina.</x:v>
      </x:c>
    </x:row>
    <x:row r="673" ht="30" customHeight="1">
      <x:c r="A673" s="19" t="str">
        <x:v>TT10_C05_PC_04</x:v>
      </x:c>
      <x:c r="B673" s="19" t="str">
        <x:v>Tolva y bastidor móvil ensamblados</x:v>
      </x:c>
      <x:c r="C673" s="20" t="n">
        <x:v>377</x:v>
      </x:c>
      <x:c r="D673" s="19" t="str">
        <x:v>TT10_M376</x:v>
      </x:c>
      <x:c r="E673" s="20" t="n">
        <x:v>1</x:v>
      </x:c>
      <x:c r="F673" s="20" t="n">
        <x:v>1</x:v>
      </x:c>
      <x:c r="G673" s="19" t="str">
        <x:v>Fabricación</x:v>
      </x:c>
      <x:c r="H673" s="19" t="str">
        <x:v>Contraplaca80 con doce M30 ciegas78 PCD450, apriete desde exterior</x:v>
      </x:c>
      <x:c r="I673" s="19" t="str">
        <x:v>ASTM A36</x:v>
      </x:c>
      <x:c r="J673" s="19" t="str">
        <x:v>Cantidades por conjunto; no sumar como total de máquina.</x:v>
      </x:c>
    </x:row>
    <x:row r="674" ht="30" customHeight="1">
      <x:c r="A674" s="17" t="str">
        <x:v>TT10_C05_PC_04</x:v>
      </x:c>
      <x:c r="B674" s="17" t="str">
        <x:v>Tolva y bastidor móvil ensamblados</x:v>
      </x:c>
      <x:c r="C674" s="18" t="n">
        <x:v>378</x:v>
      </x:c>
      <x:c r="D674" s="17" t="str">
        <x:v>TT10_M381</x:v>
      </x:c>
      <x:c r="E674" s="18" t="n">
        <x:v>1</x:v>
      </x:c>
      <x:c r="F674" s="18" t="n">
        <x:v>1</x:v>
      </x:c>
      <x:c r="G674" s="17" t="str">
        <x:v>Fabricación</x:v>
      </x:c>
      <x:c r="H674" s="17" t="str">
        <x:v>Perfil tubular 200 x 150 x 10; L 2200</x:v>
      </x:c>
      <x:c r="I674" s="17" t="str">
        <x:v>S275J0H / EN 10219-1</x:v>
      </x:c>
      <x:c r="J674" s="17" t="str">
        <x:v>Cantidades por conjunto; no sumar como total de máquina.</x:v>
      </x:c>
    </x:row>
    <x:row r="675" ht="30" customHeight="1">
      <x:c r="A675" s="19" t="str">
        <x:v>TT10_C05_PC_04</x:v>
      </x:c>
      <x:c r="B675" s="19" t="str">
        <x:v>Tolva y bastidor móvil ensamblados</x:v>
      </x:c>
      <x:c r="C675" s="20" t="n">
        <x:v>379</x:v>
      </x:c>
      <x:c r="D675" s="19" t="str">
        <x:v>TT10_M386</x:v>
      </x:c>
      <x:c r="E675" s="20" t="n">
        <x:v>1</x:v>
      </x:c>
      <x:c r="F675" s="20" t="n">
        <x:v>1</x:v>
      </x:c>
      <x:c r="G675" s="19" t="str">
        <x:v>Fabricación</x:v>
      </x:c>
      <x:c r="H675" s="19" t="str">
        <x:v>Revestimiento AR400 t12 con ocho M16 avellanados desmontables</x:v>
      </x:c>
      <x:c r="I675" s="19" t="str">
        <x:v>Hardox 400</x:v>
      </x:c>
      <x:c r="J675" s="19" t="str">
        <x:v>Cantidades por conjunto; no sumar como total de máquina.</x:v>
      </x:c>
    </x:row>
    <x:row r="676" ht="30" customHeight="1">
      <x:c r="A676" s="17" t="str">
        <x:v>TT10_C05_PC_04</x:v>
      </x:c>
      <x:c r="B676" s="17" t="str">
        <x:v>Tolva y bastidor móvil ensamblados</x:v>
      </x:c>
      <x:c r="C676" s="18" t="n">
        <x:v>380</x:v>
      </x:c>
      <x:c r="D676" s="17" t="str">
        <x:v>TT10_M391</x:v>
      </x:c>
      <x:c r="E676" s="18" t="n">
        <x:v>1</x:v>
      </x:c>
      <x:c r="F676" s="18" t="n">
        <x:v>1</x:v>
      </x:c>
      <x:c r="G676" s="17" t="str">
        <x:v>Fabricación</x:v>
      </x:c>
      <x:c r="H676" s="17" t="str">
        <x:v>Revestimiento AR400 t12 con ocho M16 avellanados desmontables</x:v>
      </x:c>
      <x:c r="I676" s="17" t="str">
        <x:v>Hardox 400</x:v>
      </x:c>
      <x:c r="J676" s="17" t="str">
        <x:v>Cantidades por conjunto; no sumar como total de máquina.</x:v>
      </x:c>
    </x:row>
    <x:row r="677" ht="30" customHeight="1">
      <x:c r="A677" s="19" t="str">
        <x:v>TT10_C05_PC_04</x:v>
      </x:c>
      <x:c r="B677" s="19" t="str">
        <x:v>Tolva y bastidor móvil ensamblados</x:v>
      </x:c>
      <x:c r="C677" s="20" t="n">
        <x:v>381</x:v>
      </x:c>
      <x:c r="D677" s="19" t="str">
        <x:v>TT10_M396</x:v>
      </x:c>
      <x:c r="E677" s="20" t="n">
        <x:v>1</x:v>
      </x:c>
      <x:c r="F677" s="20" t="n">
        <x:v>1</x:v>
      </x:c>
      <x:c r="G677" s="19" t="str">
        <x:v>Fabricación</x:v>
      </x:c>
      <x:c r="H677" s="19" t="str">
        <x:v>Pieza TT10_M396</x:v>
      </x:c>
      <x:c r="I677" s="19" t="str">
        <x:v>ASTM A36</x:v>
      </x:c>
      <x:c r="J677" s="19" t="str">
        <x:v>Cantidades por conjunto; no sumar como total de máquina.</x:v>
      </x:c>
    </x:row>
    <x:row r="678" ht="30" customHeight="1">
      <x:c r="A678" s="17" t="str">
        <x:v>TT10_C05_PC_04</x:v>
      </x:c>
      <x:c r="B678" s="17" t="str">
        <x:v>Tolva y bastidor móvil ensamblados</x:v>
      </x:c>
      <x:c r="C678" s="18" t="n">
        <x:v>382</x:v>
      </x:c>
      <x:c r="D678" s="17" t="str">
        <x:v>TT10_M401</x:v>
      </x:c>
      <x:c r="E678" s="18" t="n">
        <x:v>1</x:v>
      </x:c>
      <x:c r="F678" s="18" t="n">
        <x:v>1</x:v>
      </x:c>
      <x:c r="G678" s="17" t="str">
        <x:v>Fabricación</x:v>
      </x:c>
      <x:c r="H678" s="17" t="str">
        <x:v>Pieza TT10_M401</x:v>
      </x:c>
      <x:c r="I678" s="17" t="str">
        <x:v>ASTM A36</x:v>
      </x:c>
      <x:c r="J678" s="17" t="str">
        <x:v>Cantidades por conjunto; no sumar como total de máquina.</x:v>
      </x:c>
    </x:row>
    <x:row r="679" ht="30" customHeight="1">
      <x:c r="A679" s="19" t="str">
        <x:v>TT10_C05_PC_04</x:v>
      </x:c>
      <x:c r="B679" s="19" t="str">
        <x:v>Tolva y bastidor móvil ensamblados</x:v>
      </x:c>
      <x:c r="C679" s="20" t="n">
        <x:v>383</x:v>
      </x:c>
      <x:c r="D679" s="19" t="str">
        <x:v>TT10_M406</x:v>
      </x:c>
      <x:c r="E679" s="20" t="n">
        <x:v>1</x:v>
      </x:c>
      <x:c r="F679" s="20" t="n">
        <x:v>1</x:v>
      </x:c>
      <x:c r="G679" s="19" t="str">
        <x:v>Fabricación</x:v>
      </x:c>
      <x:c r="H679" s="19" t="str">
        <x:v>Pieza TT10_M406</x:v>
      </x:c>
      <x:c r="I679" s="19" t="str">
        <x:v>ASTM A36</x:v>
      </x:c>
      <x:c r="J679" s="19" t="str">
        <x:v>Cantidades por conjunto; no sumar como total de máquina.</x:v>
      </x:c>
    </x:row>
    <x:row r="680" ht="30" customHeight="1">
      <x:c r="A680" s="17" t="str">
        <x:v>TT10_C05_PC_04</x:v>
      </x:c>
      <x:c r="B680" s="17" t="str">
        <x:v>Tolva y bastidor móvil ensamblados</x:v>
      </x:c>
      <x:c r="C680" s="18" t="n">
        <x:v>384</x:v>
      </x:c>
      <x:c r="D680" s="17" t="str">
        <x:v>TT10_M411</x:v>
      </x:c>
      <x:c r="E680" s="18" t="n">
        <x:v>1</x:v>
      </x:c>
      <x:c r="F680" s="18" t="n">
        <x:v>1</x:v>
      </x:c>
      <x:c r="G680" s="17" t="str">
        <x:v>Fabricación</x:v>
      </x:c>
      <x:c r="H680" s="17" t="str">
        <x:v>Pieza TT10_M411</x:v>
      </x:c>
      <x:c r="I680" s="17" t="str">
        <x:v>ASTM A36</x:v>
      </x:c>
      <x:c r="J680" s="17" t="str">
        <x:v>Cantidades por conjunto; no sumar como total de máquina.</x:v>
      </x:c>
    </x:row>
    <x:row r="681" ht="30" customHeight="1">
      <x:c r="A681" s="19" t="str">
        <x:v>TT10_C05_PC_04</x:v>
      </x:c>
      <x:c r="B681" s="19" t="str">
        <x:v>Tolva y bastidor móvil ensamblados</x:v>
      </x:c>
      <x:c r="C681" s="20" t="n">
        <x:v>385</x:v>
      </x:c>
      <x:c r="D681" s="19" t="str">
        <x:v>TT10_MB40_N</x:v>
      </x:c>
      <x:c r="E681" s="20" t="n">
        <x:v>1</x:v>
      </x:c>
      <x:c r="F681" s="20" t="n">
        <x:v>1</x:v>
      </x:c>
      <x:c r="G681" s="19" t="str">
        <x:v>Compra</x:v>
      </x:c>
      <x:c r="H681" s="19" t="str">
        <x:v>MB40 comprada: una pestana plegada nominal en KM40; restantes18 planas</x:v>
      </x:c>
      <x:c r="I681" s="19" t="str">
        <x:v>Acero arandela comercial Timken MB40; variante a confirmar</x:v>
      </x:c>
      <x:c r="J681" s="19" t="str">
        <x:v>Cantidades por conjunto; no sumar como total de máquina.</x:v>
      </x:c>
    </x:row>
    <x:row r="682" ht="30" customHeight="1">
      <x:c r="A682" s="17" t="str">
        <x:v>TT10_C05_PC_04</x:v>
      </x:c>
      <x:c r="B682" s="17" t="str">
        <x:v>Tolva y bastidor móvil ensamblados</x:v>
      </x:c>
      <x:c r="C682" s="18" t="n">
        <x:v>386</x:v>
      </x:c>
      <x:c r="D682" s="17" t="str">
        <x:v>TT10_MB40_P</x:v>
      </x:c>
      <x:c r="E682" s="18" t="n">
        <x:v>1</x:v>
      </x:c>
      <x:c r="F682" s="18" t="n">
        <x:v>1</x:v>
      </x:c>
      <x:c r="G682" s="17" t="str">
        <x:v>Compra</x:v>
      </x:c>
      <x:c r="H682" s="17" t="str">
        <x:v>MB40 comprada: una pestana plegada nominal en KM40; restantes18 planas</x:v>
      </x:c>
      <x:c r="I682" s="17" t="str">
        <x:v>Acero arandela comercial Timken MB40; variante a confirmar</x:v>
      </x:c>
      <x:c r="J682" s="17" t="str">
        <x:v>Cantidades por conjunto; no sumar como total de máquina.</x:v>
      </x:c>
    </x:row>
    <x:row r="683" ht="30" customHeight="1">
      <x:c r="A683" s="19" t="str">
        <x:v>TT10_C05_PC_04</x:v>
      </x:c>
      <x:c r="B683" s="19" t="str">
        <x:v>Tolva y bastidor móvil ensamblados</x:v>
      </x:c>
      <x:c r="C683" s="20" t="n">
        <x:v>500</x:v>
      </x:c>
      <x:c r="D683" s="19" t="str">
        <x:v>TT10_W30_AP_P02227.5</x:v>
      </x:c>
      <x:c r="E683" s="20" t="n">
        <x:v>24</x:v>
      </x:c>
      <x:c r="F683" s="20" t="n">
        <x:v>32</x:v>
      </x:c>
      <x:c r="G683" s="19" t="str">
        <x:v>Compra</x:v>
      </x:c>
      <x:c r="H683" s="19" t="str">
        <x:v>Arandela ISO7089 M30 300HV, D56 d31 t4</x:v>
      </x:c>
      <x:c r="I683" s="19" t="str">
        <x:v>Arandela endurecida 300 HV / ISO 7089</x:v>
      </x:c>
      <x:c r="J683" s="19" t="str">
        <x:v>Cantidades por conjunto; no sumar como total de máquina.</x:v>
      </x:c>
    </x:row>
    <x:row r="684" ht="30" customHeight="1">
      <x:c r="A684" s="17" t="str">
        <x:v>TT10_C05_PC_05</x:v>
      </x:c>
      <x:c r="B684" s="17" t="str">
        <x:v>Bastidor móvil de la tolva</x:v>
      </x:c>
      <x:c r="C684" s="18" t="n">
        <x:v>305</x:v>
      </x:c>
      <x:c r="D684" s="17" t="str">
        <x:v>TT10_M006</x:v>
      </x:c>
      <x:c r="E684" s="18" t="n">
        <x:v>1</x:v>
      </x:c>
      <x:c r="F684" s="18" t="n">
        <x:v>1</x:v>
      </x:c>
      <x:c r="G684" s="17" t="str">
        <x:v>Fabricación</x:v>
      </x:c>
      <x:c r="H684" s="17" t="str">
        <x:v>Perfil tubular 200 x 150 x 10; L 2200</x:v>
      </x:c>
      <x:c r="I684" s="17" t="str">
        <x:v>S275J0H / EN 10219-1</x:v>
      </x:c>
      <x:c r="J684" s="17" t="str">
        <x:v>Cantidades por conjunto; no sumar como total de máquina.</x:v>
      </x:c>
    </x:row>
    <x:row r="685" ht="30" customHeight="1">
      <x:c r="A685" s="19" t="str">
        <x:v>TT10_C05_PC_05</x:v>
      </x:c>
      <x:c r="B685" s="19" t="str">
        <x:v>Bastidor móvil de la tolva</x:v>
      </x:c>
      <x:c r="C685" s="20" t="n">
        <x:v>306</x:v>
      </x:c>
      <x:c r="D685" s="19" t="str">
        <x:v>TT10_M011</x:v>
      </x:c>
      <x:c r="E685" s="20" t="n">
        <x:v>1</x:v>
      </x:c>
      <x:c r="F685" s="20" t="n">
        <x:v>1</x:v>
      </x:c>
      <x:c r="G685" s="19" t="str">
        <x:v>Fabricación</x:v>
      </x:c>
      <x:c r="H685" s="19" t="str">
        <x:v>Perfil tubular 200 x 150 x 10; L 2200</x:v>
      </x:c>
      <x:c r="I685" s="19" t="str">
        <x:v>S275J0H / EN 10219-1</x:v>
      </x:c>
      <x:c r="J685" s="19" t="str">
        <x:v>Cantidades por conjunto; no sumar como total de máquina.</x:v>
      </x:c>
    </x:row>
    <x:row r="686" ht="30" customHeight="1">
      <x:c r="A686" s="17" t="str">
        <x:v>TT10_C05_PC_05</x:v>
      </x:c>
      <x:c r="B686" s="17" t="str">
        <x:v>Bastidor móvil de la tolva</x:v>
      </x:c>
      <x:c r="C686" s="18" t="n">
        <x:v>307</x:v>
      </x:c>
      <x:c r="D686" s="17" t="str">
        <x:v>TT10_M016</x:v>
      </x:c>
      <x:c r="E686" s="18" t="n">
        <x:v>1</x:v>
      </x:c>
      <x:c r="F686" s="18" t="n">
        <x:v>1</x:v>
      </x:c>
      <x:c r="G686" s="17" t="str">
        <x:v>Fabricación</x:v>
      </x:c>
      <x:c r="H686" s="17" t="str">
        <x:v>Perfil tubular 150 x 100 x 8; L 4800</x:v>
      </x:c>
      <x:c r="I686" s="17" t="str">
        <x:v>S275J0H / EN 10219-1</x:v>
      </x:c>
      <x:c r="J686" s="17" t="str">
        <x:v>Cantidades por conjunto; no sumar como total de máquina.</x:v>
      </x:c>
    </x:row>
    <x:row r="687" ht="30" customHeight="1">
      <x:c r="A687" s="19" t="str">
        <x:v>TT10_C05_PC_05</x:v>
      </x:c>
      <x:c r="B687" s="19" t="str">
        <x:v>Bastidor móvil de la tolva</x:v>
      </x:c>
      <x:c r="C687" s="20" t="n">
        <x:v>308</x:v>
      </x:c>
      <x:c r="D687" s="19" t="str">
        <x:v>TT10_M021</x:v>
      </x:c>
      <x:c r="E687" s="20" t="n">
        <x:v>1</x:v>
      </x:c>
      <x:c r="F687" s="20" t="n">
        <x:v>1</x:v>
      </x:c>
      <x:c r="G687" s="19" t="str">
        <x:v>Fabricación</x:v>
      </x:c>
      <x:c r="H687" s="19" t="str">
        <x:v>Perfil tubular 200 x 150 x 10; L 2200</x:v>
      </x:c>
      <x:c r="I687" s="19" t="str">
        <x:v>S275J0H / EN 10219-1</x:v>
      </x:c>
      <x:c r="J687" s="19" t="str">
        <x:v>Cantidades por conjunto; no sumar como total de máquina.</x:v>
      </x:c>
    </x:row>
    <x:row r="688" ht="30" customHeight="1">
      <x:c r="A688" s="17" t="str">
        <x:v>TT10_C05_PC_05</x:v>
      </x:c>
      <x:c r="B688" s="17" t="str">
        <x:v>Bastidor móvil de la tolva</x:v>
      </x:c>
      <x:c r="C688" s="18" t="n">
        <x:v>309</x:v>
      </x:c>
      <x:c r="D688" s="17" t="str">
        <x:v>TT10_M026</x:v>
      </x:c>
      <x:c r="E688" s="18" t="n">
        <x:v>1</x:v>
      </x:c>
      <x:c r="F688" s="18" t="n">
        <x:v>1</x:v>
      </x:c>
      <x:c r="G688" s="17" t="str">
        <x:v>Fabricación</x:v>
      </x:c>
      <x:c r="H688" s="17" t="str">
        <x:v>Perfil tubular 150 x 100 x 8; L 3600</x:v>
      </x:c>
      <x:c r="I688" s="17" t="str">
        <x:v>S275J0H / EN 10219-1</x:v>
      </x:c>
      <x:c r="J688" s="17" t="str">
        <x:v>Cantidades por conjunto; no sumar como total de máquina.</x:v>
      </x:c>
    </x:row>
    <x:row r="689" ht="30" customHeight="1">
      <x:c r="A689" s="19" t="str">
        <x:v>TT10_C05_PC_05</x:v>
      </x:c>
      <x:c r="B689" s="19" t="str">
        <x:v>Bastidor móvil de la tolva</x:v>
      </x:c>
      <x:c r="C689" s="20" t="n">
        <x:v>312</x:v>
      </x:c>
      <x:c r="D689" s="19" t="str">
        <x:v>TT10_M041</x:v>
      </x:c>
      <x:c r="E689" s="20" t="n">
        <x:v>1</x:v>
      </x:c>
      <x:c r="F689" s="20" t="n">
        <x:v>1</x:v>
      </x:c>
      <x:c r="G689" s="19" t="str">
        <x:v>Fabricación</x:v>
      </x:c>
      <x:c r="H689" s="19" t="str">
        <x:v>Perfil tubular 200 x 150 x 10; L 2200</x:v>
      </x:c>
      <x:c r="I689" s="19" t="str">
        <x:v>S275J0H / EN 10219-1</x:v>
      </x:c>
      <x:c r="J689" s="19" t="str">
        <x:v>Cantidades por conjunto; no sumar como total de máquina.</x:v>
      </x:c>
    </x:row>
    <x:row r="690" ht="30" customHeight="1">
      <x:c r="A690" s="17" t="str">
        <x:v>TT10_C05_PC_05</x:v>
      </x:c>
      <x:c r="B690" s="17" t="str">
        <x:v>Bastidor móvil de la tolva</x:v>
      </x:c>
      <x:c r="C690" s="18" t="n">
        <x:v>313</x:v>
      </x:c>
      <x:c r="D690" s="17" t="str">
        <x:v>TT10_M046</x:v>
      </x:c>
      <x:c r="E690" s="18" t="n">
        <x:v>1</x:v>
      </x:c>
      <x:c r="F690" s="18" t="n">
        <x:v>1</x:v>
      </x:c>
      <x:c r="G690" s="17" t="str">
        <x:v>Fabricación</x:v>
      </x:c>
      <x:c r="H690" s="17" t="str">
        <x:v>Perfil tubular 400 x 200 x 16; L 5600</x:v>
      </x:c>
      <x:c r="I690" s="17" t="str">
        <x:v>S275J0H / EN 10219-1</x:v>
      </x:c>
      <x:c r="J690" s="17" t="str">
        <x:v>Cantidades por conjunto; no sumar como total de máquina.</x:v>
      </x:c>
    </x:row>
    <x:row r="691" ht="30" customHeight="1">
      <x:c r="A691" s="19" t="str">
        <x:v>TT10_C05_PC_05</x:v>
      </x:c>
      <x:c r="B691" s="19" t="str">
        <x:v>Bastidor móvil de la tolva</x:v>
      </x:c>
      <x:c r="C691" s="20" t="n">
        <x:v>319</x:v>
      </x:c>
      <x:c r="D691" s="19" t="str">
        <x:v>TT10_M076</x:v>
      </x:c>
      <x:c r="E691" s="20" t="n">
        <x:v>1</x:v>
      </x:c>
      <x:c r="F691" s="20" t="n">
        <x:v>1</x:v>
      </x:c>
      <x:c r="G691" s="19" t="str">
        <x:v>Fabricación</x:v>
      </x:c>
      <x:c r="H691" s="19" t="str">
        <x:v>Muñón forjado integral con brida550, hombro220, asiento200, R3 y retención exterior</x:v>
      </x:c>
      <x:c r="I691" s="19" t="str">
        <x:v>AISI 4140 bonificado</x:v>
      </x:c>
      <x:c r="J691" s="19" t="str">
        <x:v>Cantidades por conjunto; no sumar como total de máquina.</x:v>
      </x:c>
    </x:row>
    <x:row r="692" ht="30" customHeight="1">
      <x:c r="A692" s="17" t="str">
        <x:v>TT10_C05_PC_05</x:v>
      </x:c>
      <x:c r="B692" s="17" t="str">
        <x:v>Bastidor móvil de la tolva</x:v>
      </x:c>
      <x:c r="C692" s="18" t="n">
        <x:v>321</x:v>
      </x:c>
      <x:c r="D692" s="17" t="str">
        <x:v>TT10_M086</x:v>
      </x:c>
      <x:c r="E692" s="18" t="n">
        <x:v>1</x:v>
      </x:c>
      <x:c r="F692" s="18" t="n">
        <x:v>1</x:v>
      </x:c>
      <x:c r="G692" s="17" t="str">
        <x:v>Fabricación</x:v>
      </x:c>
      <x:c r="H692" s="17" t="str">
        <x:v>Muñón forjado integral con brida550, hombro220, asiento200, R3 y retención exterior</x:v>
      </x:c>
      <x:c r="I692" s="17" t="str">
        <x:v>AISI 4140 bonificado</x:v>
      </x:c>
      <x:c r="J692" s="17" t="str">
        <x:v>Cantidades por conjunto; no sumar como total de máquina.</x:v>
      </x:c>
    </x:row>
    <x:row r="693" ht="30" customHeight="1">
      <x:c r="A693" s="19" t="str">
        <x:v>TT10_C05_PC_05</x:v>
      </x:c>
      <x:c r="B693" s="19" t="str">
        <x:v>Bastidor móvil de la tolva</x:v>
      </x:c>
      <x:c r="C693" s="20" t="n">
        <x:v>324</x:v>
      </x:c>
      <x:c r="D693" s="19" t="str">
        <x:v>TT10_M101</x:v>
      </x:c>
      <x:c r="E693" s="20" t="n">
        <x:v>1</x:v>
      </x:c>
      <x:c r="F693" s="20" t="n">
        <x:v>1</x:v>
      </x:c>
      <x:c r="G693" s="19" t="str">
        <x:v>Fabricación</x:v>
      </x:c>
      <x:c r="H693" s="19" t="str">
        <x:v>Perfil tubular 200 x 100 x 10; L 250</x:v>
      </x:c>
      <x:c r="I693" s="19" t="str">
        <x:v>S275J0H / EN 10219-1</x:v>
      </x:c>
      <x:c r="J693" s="19" t="str">
        <x:v>Cantidades por conjunto; no sumar como total de máquina.</x:v>
      </x:c>
    </x:row>
    <x:row r="694" ht="30" customHeight="1">
      <x:c r="A694" s="17" t="str">
        <x:v>TT10_C05_PC_05</x:v>
      </x:c>
      <x:c r="B694" s="17" t="str">
        <x:v>Bastidor móvil de la tolva</x:v>
      </x:c>
      <x:c r="C694" s="18" t="n">
        <x:v>325</x:v>
      </x:c>
      <x:c r="D694" s="17" t="str">
        <x:v>TT10_M106</x:v>
      </x:c>
      <x:c r="E694" s="18" t="n">
        <x:v>1</x:v>
      </x:c>
      <x:c r="F694" s="18" t="n">
        <x:v>1</x:v>
      </x:c>
      <x:c r="G694" s="17" t="str">
        <x:v>Fabricación</x:v>
      </x:c>
      <x:c r="H694" s="17" t="str">
        <x:v>Contraplaca80 con doce M30 ciegas78 PCD450, apriete desde exterior</x:v>
      </x:c>
      <x:c r="I694" s="17" t="str">
        <x:v>ASTM A36</x:v>
      </x:c>
      <x:c r="J694" s="17" t="str">
        <x:v>Cantidades por conjunto; no sumar como total de máquina.</x:v>
      </x:c>
    </x:row>
    <x:row r="695" ht="30" customHeight="1">
      <x:c r="A695" s="19" t="str">
        <x:v>TT10_C05_PC_05</x:v>
      </x:c>
      <x:c r="B695" s="19" t="str">
        <x:v>Bastidor móvil de la tolva</x:v>
      </x:c>
      <x:c r="C695" s="20" t="n">
        <x:v>328</x:v>
      </x:c>
      <x:c r="D695" s="19" t="str">
        <x:v>TT10_M121</x:v>
      </x:c>
      <x:c r="E695" s="20" t="n">
        <x:v>1</x:v>
      </x:c>
      <x:c r="F695" s="20" t="n">
        <x:v>1</x:v>
      </x:c>
      <x:c r="G695" s="19" t="str">
        <x:v>Fabricación</x:v>
      </x:c>
      <x:c r="H695" s="19" t="str">
        <x:v>Pieza TT10_M121</x:v>
      </x:c>
      <x:c r="I695" s="19" t="str">
        <x:v>ASTM A36</x:v>
      </x:c>
      <x:c r="J695" s="19" t="str">
        <x:v>Cantidades por conjunto; no sumar como total de máquina.</x:v>
      </x:c>
    </x:row>
    <x:row r="696" ht="30" customHeight="1">
      <x:c r="A696" s="17" t="str">
        <x:v>TT10_C05_PC_05</x:v>
      </x:c>
      <x:c r="B696" s="17" t="str">
        <x:v>Bastidor móvil de la tolva</x:v>
      </x:c>
      <x:c r="C696" s="18" t="n">
        <x:v>329</x:v>
      </x:c>
      <x:c r="D696" s="17" t="str">
        <x:v>TT10_M131</x:v>
      </x:c>
      <x:c r="E696" s="18" t="n">
        <x:v>1</x:v>
      </x:c>
      <x:c r="F696" s="18" t="n">
        <x:v>1</x:v>
      </x:c>
      <x:c r="G696" s="17" t="str">
        <x:v>Fabricación</x:v>
      </x:c>
      <x:c r="H696" s="17" t="str">
        <x:v>Cabezal cajón 200 x 200 x 1200, t40; 2 diafragmas 120 x 120 x 40</x:v>
      </x:c>
      <x:c r="I696" s="17" t="str">
        <x:v>Strenx700E t40; Rp0.2min700MPa</x:v>
      </x:c>
      <x:c r="J696" s="17" t="str">
        <x:v>Cantidades por conjunto; no sumar como total de máquina.</x:v>
      </x:c>
    </x:row>
    <x:row r="697" ht="30" customHeight="1">
      <x:c r="A697" s="19" t="str">
        <x:v>TT10_C05_PC_05</x:v>
      </x:c>
      <x:c r="B697" s="19" t="str">
        <x:v>Bastidor móvil de la tolva</x:v>
      </x:c>
      <x:c r="C697" s="20" t="n">
        <x:v>333</x:v>
      </x:c>
      <x:c r="D697" s="19" t="str">
        <x:v>TT10_M151</x:v>
      </x:c>
      <x:c r="E697" s="20" t="n">
        <x:v>1</x:v>
      </x:c>
      <x:c r="F697" s="20" t="n">
        <x:v>1</x:v>
      </x:c>
      <x:c r="G697" s="19" t="str">
        <x:v>Fabricación</x:v>
      </x:c>
      <x:c r="H697" s="19" t="str">
        <x:v>Pieza TT10_M151</x:v>
      </x:c>
      <x:c r="I697" s="19" t="str">
        <x:v>ASTM A36</x:v>
      </x:c>
      <x:c r="J697" s="19" t="str">
        <x:v>Cantidades por conjunto; no sumar como total de máquina.</x:v>
      </x:c>
    </x:row>
    <x:row r="698" ht="30" customHeight="1">
      <x:c r="A698" s="17" t="str">
        <x:v>TT10_C05_PC_05</x:v>
      </x:c>
      <x:c r="B698" s="17" t="str">
        <x:v>Bastidor móvil de la tolva</x:v>
      </x:c>
      <x:c r="C698" s="18" t="n">
        <x:v>335</x:v>
      </x:c>
      <x:c r="D698" s="17" t="str">
        <x:v>TT10_M161</x:v>
      </x:c>
      <x:c r="E698" s="18" t="n">
        <x:v>1</x:v>
      </x:c>
      <x:c r="F698" s="18" t="n">
        <x:v>1</x:v>
      </x:c>
      <x:c r="G698" s="17" t="str">
        <x:v>Fabricación</x:v>
      </x:c>
      <x:c r="H698" s="17" t="str">
        <x:v>Yugo cajón 400 x 200 x 1116, t30; 2 diafragmas 340 x 140 x 30; agujero Ø202</x:v>
      </x:c>
      <x:c r="I698" s="17" t="str">
        <x:v>Strenx700E t30; Rp0.2min700MPa</x:v>
      </x:c>
      <x:c r="J698" s="17" t="str">
        <x:v>Cantidades por conjunto; no sumar como total de máquina.</x:v>
      </x:c>
    </x:row>
    <x:row r="699" ht="30" customHeight="1">
      <x:c r="A699" s="19" t="str">
        <x:v>TT10_C05_PC_05</x:v>
      </x:c>
      <x:c r="B699" s="19" t="str">
        <x:v>Bastidor móvil de la tolva</x:v>
      </x:c>
      <x:c r="C699" s="20" t="n">
        <x:v>336</x:v>
      </x:c>
      <x:c r="D699" s="19" t="str">
        <x:v>TT10_M166</x:v>
      </x:c>
      <x:c r="E699" s="20" t="n">
        <x:v>1</x:v>
      </x:c>
      <x:c r="F699" s="20" t="n">
        <x:v>1</x:v>
      </x:c>
      <x:c r="G699" s="19" t="str">
        <x:v>Fabricación</x:v>
      </x:c>
      <x:c r="H699" s="19" t="str">
        <x:v>Perfil tubular 150 x 100 x 8; L 4800</x:v>
      </x:c>
      <x:c r="I699" s="19" t="str">
        <x:v>S275J0H / EN 10219-1</x:v>
      </x:c>
      <x:c r="J699" s="19" t="str">
        <x:v>Cantidades por conjunto; no sumar como total de máquina.</x:v>
      </x:c>
    </x:row>
    <x:row r="700" ht="30" customHeight="1">
      <x:c r="A700" s="17" t="str">
        <x:v>TT10_C05_PC_05</x:v>
      </x:c>
      <x:c r="B700" s="17" t="str">
        <x:v>Bastidor móvil de la tolva</x:v>
      </x:c>
      <x:c r="C700" s="18" t="n">
        <x:v>340</x:v>
      </x:c>
      <x:c r="D700" s="17" t="str">
        <x:v>TT10_M186</x:v>
      </x:c>
      <x:c r="E700" s="18" t="n">
        <x:v>1</x:v>
      </x:c>
      <x:c r="F700" s="18" t="n">
        <x:v>1</x:v>
      </x:c>
      <x:c r="G700" s="17" t="str">
        <x:v>Fabricación</x:v>
      </x:c>
      <x:c r="H700" s="17" t="str">
        <x:v>Perfil tubular 200 x 150 x 10; L 2200</x:v>
      </x:c>
      <x:c r="I700" s="17" t="str">
        <x:v>S275J0H / EN 10219-1</x:v>
      </x:c>
      <x:c r="J700" s="17" t="str">
        <x:v>Cantidades por conjunto; no sumar como total de máquina.</x:v>
      </x:c>
    </x:row>
    <x:row r="701" ht="30" customHeight="1">
      <x:c r="A701" s="19" t="str">
        <x:v>TT10_C05_PC_05</x:v>
      </x:c>
      <x:c r="B701" s="19" t="str">
        <x:v>Bastidor móvil de la tolva</x:v>
      </x:c>
      <x:c r="C701" s="20" t="n">
        <x:v>341</x:v>
      </x:c>
      <x:c r="D701" s="19" t="str">
        <x:v>TT10_M191</x:v>
      </x:c>
      <x:c r="E701" s="20" t="n">
        <x:v>1</x:v>
      </x:c>
      <x:c r="F701" s="20" t="n">
        <x:v>1</x:v>
      </x:c>
      <x:c r="G701" s="19" t="str">
        <x:v>Fabricación</x:v>
      </x:c>
      <x:c r="H701" s="19" t="str">
        <x:v>Pieza TT10_M191</x:v>
      </x:c>
      <x:c r="I701" s="19" t="str">
        <x:v>ASTM A36</x:v>
      </x:c>
      <x:c r="J701" s="19" t="str">
        <x:v>Cantidades por conjunto; no sumar como total de máquina.</x:v>
      </x:c>
    </x:row>
    <x:row r="702" ht="30" customHeight="1">
      <x:c r="A702" s="17" t="str">
        <x:v>TT10_C05_PC_05</x:v>
      </x:c>
      <x:c r="B702" s="17" t="str">
        <x:v>Bastidor móvil de la tolva</x:v>
      </x:c>
      <x:c r="C702" s="18" t="n">
        <x:v>343</x:v>
      </x:c>
      <x:c r="D702" s="17" t="str">
        <x:v>TT10_M201</x:v>
      </x:c>
      <x:c r="E702" s="18" t="n">
        <x:v>1</x:v>
      </x:c>
      <x:c r="F702" s="18" t="n">
        <x:v>1</x:v>
      </x:c>
      <x:c r="G702" s="17" t="str">
        <x:v>Fabricación</x:v>
      </x:c>
      <x:c r="H702" s="17" t="str">
        <x:v>Cabezal cajón 200 x 200 x 1200, t40; 2 diafragmas 120 x 120 x 40</x:v>
      </x:c>
      <x:c r="I702" s="17" t="str">
        <x:v>Strenx700E t40; Rp0.2min700MPa</x:v>
      </x:c>
      <x:c r="J702" s="17" t="str">
        <x:v>Cantidades por conjunto; no sumar como total de máquina.</x:v>
      </x:c>
    </x:row>
    <x:row r="703" ht="30" customHeight="1">
      <x:c r="A703" s="19" t="str">
        <x:v>TT10_C05_PC_05</x:v>
      </x:c>
      <x:c r="B703" s="19" t="str">
        <x:v>Bastidor móvil de la tolva</x:v>
      </x:c>
      <x:c r="C703" s="20" t="n">
        <x:v>344</x:v>
      </x:c>
      <x:c r="D703" s="19" t="str">
        <x:v>TT10_M206</x:v>
      </x:c>
      <x:c r="E703" s="20" t="n">
        <x:v>1</x:v>
      </x:c>
      <x:c r="F703" s="20" t="n">
        <x:v>1</x:v>
      </x:c>
      <x:c r="G703" s="19" t="str">
        <x:v>Fabricación</x:v>
      </x:c>
      <x:c r="H703" s="19" t="str">
        <x:v>Pieza TT10_M206</x:v>
      </x:c>
      <x:c r="I703" s="19" t="str">
        <x:v>ASTM A36</x:v>
      </x:c>
      <x:c r="J703" s="19" t="str">
        <x:v>Cantidades por conjunto; no sumar como total de máquina.</x:v>
      </x:c>
    </x:row>
    <x:row r="704" ht="30" customHeight="1">
      <x:c r="A704" s="17" t="str">
        <x:v>TT10_C05_PC_05</x:v>
      </x:c>
      <x:c r="B704" s="17" t="str">
        <x:v>Bastidor móvil de la tolva</x:v>
      </x:c>
      <x:c r="C704" s="18" t="n">
        <x:v>348</x:v>
      </x:c>
      <x:c r="D704" s="17" t="str">
        <x:v>TT10_M226</x:v>
      </x:c>
      <x:c r="E704" s="18" t="n">
        <x:v>1</x:v>
      </x:c>
      <x:c r="F704" s="18" t="n">
        <x:v>1</x:v>
      </x:c>
      <x:c r="G704" s="17" t="str">
        <x:v>Fabricación</x:v>
      </x:c>
      <x:c r="H704" s="17" t="str">
        <x:v>Perfil tubular 200 x 150 x 10; L 2200</x:v>
      </x:c>
      <x:c r="I704" s="17" t="str">
        <x:v>S275J0H / EN 10219-1</x:v>
      </x:c>
      <x:c r="J704" s="17" t="str">
        <x:v>Cantidades por conjunto; no sumar como total de máquina.</x:v>
      </x:c>
    </x:row>
    <x:row r="705" ht="30" customHeight="1">
      <x:c r="A705" s="19" t="str">
        <x:v>TT10_C05_PC_05</x:v>
      </x:c>
      <x:c r="B705" s="19" t="str">
        <x:v>Bastidor móvil de la tolva</x:v>
      </x:c>
      <x:c r="C705" s="20" t="n">
        <x:v>350</x:v>
      </x:c>
      <x:c r="D705" s="19" t="str">
        <x:v>TT10_M236</x:v>
      </x:c>
      <x:c r="E705" s="20" t="n">
        <x:v>1</x:v>
      </x:c>
      <x:c r="F705" s="20" t="n">
        <x:v>1</x:v>
      </x:c>
      <x:c r="G705" s="19" t="str">
        <x:v>Fabricación</x:v>
      </x:c>
      <x:c r="H705" s="19" t="str">
        <x:v>Perfil tubular 150 x 100 x 8; L 3600</x:v>
      </x:c>
      <x:c r="I705" s="19" t="str">
        <x:v>S275J0H / EN 10219-1</x:v>
      </x:c>
      <x:c r="J705" s="19" t="str">
        <x:v>Cantidades por conjunto; no sumar como total de máquina.</x:v>
      </x:c>
    </x:row>
    <x:row r="706" ht="30" customHeight="1">
      <x:c r="A706" s="17" t="str">
        <x:v>TT10_C05_PC_05</x:v>
      </x:c>
      <x:c r="B706" s="17" t="str">
        <x:v>Bastidor móvil de la tolva</x:v>
      </x:c>
      <x:c r="C706" s="18" t="n">
        <x:v>355</x:v>
      </x:c>
      <x:c r="D706" s="17" t="str">
        <x:v>TT10_M261</x:v>
      </x:c>
      <x:c r="E706" s="18" t="n">
        <x:v>1</x:v>
      </x:c>
      <x:c r="F706" s="18" t="n">
        <x:v>1</x:v>
      </x:c>
      <x:c r="G706" s="17" t="str">
        <x:v>Fabricación</x:v>
      </x:c>
      <x:c r="H706" s="17" t="str">
        <x:v>Pieza TT10_M261</x:v>
      </x:c>
      <x:c r="I706" s="17" t="str">
        <x:v>ASTM A36</x:v>
      </x:c>
      <x:c r="J706" s="17" t="str">
        <x:v>Cantidades por conjunto; no sumar como total de máquina.</x:v>
      </x:c>
    </x:row>
    <x:row r="707" ht="30" customHeight="1">
      <x:c r="A707" s="19" t="str">
        <x:v>TT10_C05_PC_05</x:v>
      </x:c>
      <x:c r="B707" s="19" t="str">
        <x:v>Bastidor móvil de la tolva</x:v>
      </x:c>
      <x:c r="C707" s="20" t="n">
        <x:v>358</x:v>
      </x:c>
      <x:c r="D707" s="19" t="str">
        <x:v>TT10_M276</x:v>
      </x:c>
      <x:c r="E707" s="20" t="n">
        <x:v>1</x:v>
      </x:c>
      <x:c r="F707" s="20" t="n">
        <x:v>1</x:v>
      </x:c>
      <x:c r="G707" s="19" t="str">
        <x:v>Fabricación</x:v>
      </x:c>
      <x:c r="H707" s="19" t="str">
        <x:v>Brazo monolítico Strenx 700E t50; perfil 800 x 650; R50; agujero Ø65,5</x:v>
      </x:c>
      <x:c r="I707" s="19" t="str">
        <x:v>Strenx700E t50; Rp0.2min700MPa</x:v>
      </x:c>
      <x:c r="J707" s="19" t="str">
        <x:v>Cantidades por conjunto; no sumar como total de máquina.</x:v>
      </x:c>
    </x:row>
    <x:row r="708" ht="30" customHeight="1">
      <x:c r="A708" s="17" t="str">
        <x:v>TT10_C05_PC_05</x:v>
      </x:c>
      <x:c r="B708" s="17" t="str">
        <x:v>Bastidor móvil de la tolva</x:v>
      </x:c>
      <x:c r="C708" s="18" t="n">
        <x:v>365</x:v>
      </x:c>
      <x:c r="D708" s="17" t="str">
        <x:v>TT10_M311</x:v>
      </x:c>
      <x:c r="E708" s="18" t="n">
        <x:v>1</x:v>
      </x:c>
      <x:c r="F708" s="18" t="n">
        <x:v>1</x:v>
      </x:c>
      <x:c r="G708" s="17" t="str">
        <x:v>Fabricación</x:v>
      </x:c>
      <x:c r="H708" s="17" t="str">
        <x:v>Yugo cajón 400 x 200 x 1116, t30; 2 diafragmas 340 x 140 x 30; agujero Ø202</x:v>
      </x:c>
      <x:c r="I708" s="17" t="str">
        <x:v>Strenx700E t30; Rp0.2min700MPa</x:v>
      </x:c>
      <x:c r="J708" s="17" t="str">
        <x:v>Cantidades por conjunto; no sumar como total de máquina.</x:v>
      </x:c>
    </x:row>
    <x:row r="709" ht="30" customHeight="1">
      <x:c r="A709" s="19" t="str">
        <x:v>TT10_C05_PC_05</x:v>
      </x:c>
      <x:c r="B709" s="19" t="str">
        <x:v>Bastidor móvil de la tolva</x:v>
      </x:c>
      <x:c r="C709" s="20" t="n">
        <x:v>369</x:v>
      </x:c>
      <x:c r="D709" s="19" t="str">
        <x:v>TT10_M336</x:v>
      </x:c>
      <x:c r="E709" s="20" t="n">
        <x:v>1</x:v>
      </x:c>
      <x:c r="F709" s="20" t="n">
        <x:v>1</x:v>
      </x:c>
      <x:c r="G709" s="19" t="str">
        <x:v>Fabricación</x:v>
      </x:c>
      <x:c r="H709" s="19" t="str">
        <x:v>Perfil tubular 200 x 100 x 10; L 250</x:v>
      </x:c>
      <x:c r="I709" s="19" t="str">
        <x:v>S275J0H / EN 10219-1</x:v>
      </x:c>
      <x:c r="J709" s="19" t="str">
        <x:v>Cantidades por conjunto; no sumar como total de máquina.</x:v>
      </x:c>
    </x:row>
    <x:row r="710" ht="30" customHeight="1">
      <x:c r="A710" s="17" t="str">
        <x:v>TT10_C05_PC_05</x:v>
      </x:c>
      <x:c r="B710" s="17" t="str">
        <x:v>Bastidor móvil de la tolva</x:v>
      </x:c>
      <x:c r="C710" s="18" t="n">
        <x:v>372</x:v>
      </x:c>
      <x:c r="D710" s="17" t="str">
        <x:v>TT10_M351</x:v>
      </x:c>
      <x:c r="E710" s="18" t="n">
        <x:v>1</x:v>
      </x:c>
      <x:c r="F710" s="18" t="n">
        <x:v>1</x:v>
      </x:c>
      <x:c r="G710" s="17" t="str">
        <x:v>Fabricación</x:v>
      </x:c>
      <x:c r="H710" s="17" t="str">
        <x:v>Brazo monolítico Strenx 700E t50; perfil 800 x 650; R50; agujero Ø65,5</x:v>
      </x:c>
      <x:c r="I710" s="17" t="str">
        <x:v>Strenx700E t50; Rp0.2min700MPa</x:v>
      </x:c>
      <x:c r="J710" s="17" t="str">
        <x:v>Cantidades por conjunto; no sumar como total de máquina.</x:v>
      </x:c>
    </x:row>
    <x:row r="711" ht="30" customHeight="1">
      <x:c r="A711" s="19" t="str">
        <x:v>TT10_C05_PC_05</x:v>
      </x:c>
      <x:c r="B711" s="19" t="str">
        <x:v>Bastidor móvil de la tolva</x:v>
      </x:c>
      <x:c r="C711" s="20" t="n">
        <x:v>373</x:v>
      </x:c>
      <x:c r="D711" s="19" t="str">
        <x:v>TT10_M356</x:v>
      </x:c>
      <x:c r="E711" s="20" t="n">
        <x:v>1</x:v>
      </x:c>
      <x:c r="F711" s="20" t="n">
        <x:v>1</x:v>
      </x:c>
      <x:c r="G711" s="19" t="str">
        <x:v>Fabricación</x:v>
      </x:c>
      <x:c r="H711" s="19" t="str">
        <x:v>Perfil tubular 400 x 200 x 16; L 5600</x:v>
      </x:c>
      <x:c r="I711" s="19" t="str">
        <x:v>S275J0H / EN 10219-1</x:v>
      </x:c>
      <x:c r="J711" s="19" t="str">
        <x:v>Cantidades por conjunto; no sumar como total de máquina.</x:v>
      </x:c>
    </x:row>
    <x:row r="712" ht="30" customHeight="1">
      <x:c r="A712" s="17" t="str">
        <x:v>TT10_C05_PC_05</x:v>
      </x:c>
      <x:c r="B712" s="17" t="str">
        <x:v>Bastidor móvil de la tolva</x:v>
      </x:c>
      <x:c r="C712" s="18" t="n">
        <x:v>376</x:v>
      </x:c>
      <x:c r="D712" s="17" t="str">
        <x:v>TT10_M371</x:v>
      </x:c>
      <x:c r="E712" s="18" t="n">
        <x:v>1</x:v>
      </x:c>
      <x:c r="F712" s="18" t="n">
        <x:v>1</x:v>
      </x:c>
      <x:c r="G712" s="17" t="str">
        <x:v>Fabricación</x:v>
      </x:c>
      <x:c r="H712" s="17" t="str">
        <x:v>Pieza TT10_M371</x:v>
      </x:c>
      <x:c r="I712" s="17" t="str">
        <x:v>ASTM A36</x:v>
      </x:c>
      <x:c r="J712" s="17" t="str">
        <x:v>Cantidades por conjunto; no sumar como total de máquina.</x:v>
      </x:c>
    </x:row>
    <x:row r="713" ht="30" customHeight="1">
      <x:c r="A713" s="19" t="str">
        <x:v>TT10_C05_PC_05</x:v>
      </x:c>
      <x:c r="B713" s="19" t="str">
        <x:v>Bastidor móvil de la tolva</x:v>
      </x:c>
      <x:c r="C713" s="20" t="n">
        <x:v>377</x:v>
      </x:c>
      <x:c r="D713" s="19" t="str">
        <x:v>TT10_M376</x:v>
      </x:c>
      <x:c r="E713" s="20" t="n">
        <x:v>1</x:v>
      </x:c>
      <x:c r="F713" s="20" t="n">
        <x:v>1</x:v>
      </x:c>
      <x:c r="G713" s="19" t="str">
        <x:v>Fabricación</x:v>
      </x:c>
      <x:c r="H713" s="19" t="str">
        <x:v>Contraplaca80 con doce M30 ciegas78 PCD450, apriete desde exterior</x:v>
      </x:c>
      <x:c r="I713" s="19" t="str">
        <x:v>ASTM A36</x:v>
      </x:c>
      <x:c r="J713" s="19" t="str">
        <x:v>Cantidades por conjunto; no sumar como total de máquina.</x:v>
      </x:c>
    </x:row>
    <x:row r="714" ht="30" customHeight="1">
      <x:c r="A714" s="17" t="str">
        <x:v>TT10_C05_PC_05</x:v>
      </x:c>
      <x:c r="B714" s="17" t="str">
        <x:v>Bastidor móvil de la tolva</x:v>
      </x:c>
      <x:c r="C714" s="18" t="n">
        <x:v>378</x:v>
      </x:c>
      <x:c r="D714" s="17" t="str">
        <x:v>TT10_M381</x:v>
      </x:c>
      <x:c r="E714" s="18" t="n">
        <x:v>1</x:v>
      </x:c>
      <x:c r="F714" s="18" t="n">
        <x:v>1</x:v>
      </x:c>
      <x:c r="G714" s="17" t="str">
        <x:v>Fabricación</x:v>
      </x:c>
      <x:c r="H714" s="17" t="str">
        <x:v>Perfil tubular 200 x 150 x 10; L 2200</x:v>
      </x:c>
      <x:c r="I714" s="17" t="str">
        <x:v>S275J0H / EN 10219-1</x:v>
      </x:c>
      <x:c r="J714" s="17" t="str">
        <x:v>Cantidades por conjunto; no sumar como total de máquina.</x:v>
      </x:c>
    </x:row>
    <x:row r="715" ht="30" customHeight="1">
      <x:c r="A715" s="19" t="str">
        <x:v>TT10_C05_PC_06</x:v>
      </x:c>
      <x:c r="B715" s="19" t="str">
        <x:v>Tolva: paneles laterales y refuerzos</x:v>
      </x:c>
      <x:c r="C715" s="20" t="n">
        <x:v>311</x:v>
      </x:c>
      <x:c r="D715" s="19" t="str">
        <x:v>TT10_M036</x:v>
      </x:c>
      <x:c r="E715" s="20" t="n">
        <x:v>1</x:v>
      </x:c>
      <x:c r="F715" s="20" t="n">
        <x:v>1</x:v>
      </x:c>
      <x:c r="G715" s="19" t="str">
        <x:v>Fabricación</x:v>
      </x:c>
      <x:c r="H715" s="19" t="str">
        <x:v>Pieza TT10_M036</x:v>
      </x:c>
      <x:c r="I715" s="19" t="str">
        <x:v>ASTM A36</x:v>
      </x:c>
      <x:c r="J715" s="19" t="str">
        <x:v>Cantidades por conjunto; no sumar como total de máquina.</x:v>
      </x:c>
    </x:row>
    <x:row r="716" ht="30" customHeight="1">
      <x:c r="A716" s="17" t="str">
        <x:v>TT10_C05_PC_06</x:v>
      </x:c>
      <x:c r="B716" s="17" t="str">
        <x:v>Tolva: paneles laterales y refuerzos</x:v>
      </x:c>
      <x:c r="C716" s="18" t="n">
        <x:v>316</x:v>
      </x:c>
      <x:c r="D716" s="17" t="str">
        <x:v>TT10_M061</x:v>
      </x:c>
      <x:c r="E716" s="18" t="n">
        <x:v>1</x:v>
      </x:c>
      <x:c r="F716" s="18" t="n">
        <x:v>1</x:v>
      </x:c>
      <x:c r="G716" s="17" t="str">
        <x:v>Fabricación</x:v>
      </x:c>
      <x:c r="H716" s="17" t="str">
        <x:v>Pieza TT10_M061</x:v>
      </x:c>
      <x:c r="I716" s="17" t="str">
        <x:v>ASTM A36</x:v>
      </x:c>
      <x:c r="J716" s="17" t="str">
        <x:v>Cantidades por conjunto; no sumar como total de máquina.</x:v>
      </x:c>
    </x:row>
    <x:row r="717" ht="30" customHeight="1">
      <x:c r="A717" s="19" t="str">
        <x:v>TT10_C05_PC_06</x:v>
      </x:c>
      <x:c r="B717" s="19" t="str">
        <x:v>Tolva: paneles laterales y refuerzos</x:v>
      </x:c>
      <x:c r="C717" s="20" t="n">
        <x:v>317</x:v>
      </x:c>
      <x:c r="D717" s="19" t="str">
        <x:v>TT10_M066</x:v>
      </x:c>
      <x:c r="E717" s="20" t="n">
        <x:v>1</x:v>
      </x:c>
      <x:c r="F717" s="20" t="n">
        <x:v>1</x:v>
      </x:c>
      <x:c r="G717" s="19" t="str">
        <x:v>Fabricación</x:v>
      </x:c>
      <x:c r="H717" s="19" t="str">
        <x:v>Pieza TT10_M066</x:v>
      </x:c>
      <x:c r="I717" s="19" t="str">
        <x:v>ASTM A36</x:v>
      </x:c>
      <x:c r="J717" s="19" t="str">
        <x:v>Cantidades por conjunto; no sumar como total de máquina.</x:v>
      </x:c>
    </x:row>
    <x:row r="718" ht="30" customHeight="1">
      <x:c r="A718" s="17" t="str">
        <x:v>TT10_C05_PC_06</x:v>
      </x:c>
      <x:c r="B718" s="17" t="str">
        <x:v>Tolva: paneles laterales y refuerzos</x:v>
      </x:c>
      <x:c r="C718" s="18" t="n">
        <x:v>322</x:v>
      </x:c>
      <x:c r="D718" s="17" t="str">
        <x:v>TT10_M091</x:v>
      </x:c>
      <x:c r="E718" s="18" t="n">
        <x:v>1</x:v>
      </x:c>
      <x:c r="F718" s="18" t="n">
        <x:v>1</x:v>
      </x:c>
      <x:c r="G718" s="17" t="str">
        <x:v>Fabricación</x:v>
      </x:c>
      <x:c r="H718" s="17" t="str">
        <x:v>Pieza TT10_M091</x:v>
      </x:c>
      <x:c r="I718" s="17" t="str">
        <x:v>ASTM A36</x:v>
      </x:c>
      <x:c r="J718" s="17" t="str">
        <x:v>Cantidades por conjunto; no sumar como total de máquina.</x:v>
      </x:c>
    </x:row>
    <x:row r="719" ht="30" customHeight="1">
      <x:c r="A719" s="19" t="str">
        <x:v>TT10_C05_PC_06</x:v>
      </x:c>
      <x:c r="B719" s="19" t="str">
        <x:v>Tolva: paneles laterales y refuerzos</x:v>
      </x:c>
      <x:c r="C719" s="20" t="n">
        <x:v>326</x:v>
      </x:c>
      <x:c r="D719" s="19" t="str">
        <x:v>TT10_M111</x:v>
      </x:c>
      <x:c r="E719" s="20" t="n">
        <x:v>1</x:v>
      </x:c>
      <x:c r="F719" s="20" t="n">
        <x:v>1</x:v>
      </x:c>
      <x:c r="G719" s="19" t="str">
        <x:v>Fabricación</x:v>
      </x:c>
      <x:c r="H719" s="19" t="str">
        <x:v>Pieza TT10_M111</x:v>
      </x:c>
      <x:c r="I719" s="19" t="str">
        <x:v>ASTM A36</x:v>
      </x:c>
      <x:c r="J719" s="19" t="str">
        <x:v>Cantidades por conjunto; no sumar como total de máquina.</x:v>
      </x:c>
    </x:row>
    <x:row r="720" ht="30" customHeight="1">
      <x:c r="A720" s="17" t="str">
        <x:v>TT10_C05_PC_06</x:v>
      </x:c>
      <x:c r="B720" s="17" t="str">
        <x:v>Tolva: paneles laterales y refuerzos</x:v>
      </x:c>
      <x:c r="C720" s="18" t="n">
        <x:v>327</x:v>
      </x:c>
      <x:c r="D720" s="17" t="str">
        <x:v>TT10_M116</x:v>
      </x:c>
      <x:c r="E720" s="18" t="n">
        <x:v>1</x:v>
      </x:c>
      <x:c r="F720" s="18" t="n">
        <x:v>1</x:v>
      </x:c>
      <x:c r="G720" s="17" t="str">
        <x:v>Fabricación</x:v>
      </x:c>
      <x:c r="H720" s="17" t="str">
        <x:v>Pieza TT10_M116</x:v>
      </x:c>
      <x:c r="I720" s="17" t="str">
        <x:v>ASTM A36</x:v>
      </x:c>
      <x:c r="J720" s="17" t="str">
        <x:v>Cantidades por conjunto; no sumar como total de máquina.</x:v>
      </x:c>
    </x:row>
    <x:row r="721" ht="30" customHeight="1">
      <x:c r="A721" s="19" t="str">
        <x:v>TT10_C05_PC_06</x:v>
      </x:c>
      <x:c r="B721" s="19" t="str">
        <x:v>Tolva: paneles laterales y refuerzos</x:v>
      </x:c>
      <x:c r="C721" s="20" t="n">
        <x:v>331</x:v>
      </x:c>
      <x:c r="D721" s="19" t="str">
        <x:v>TT10_M141</x:v>
      </x:c>
      <x:c r="E721" s="20" t="n">
        <x:v>1</x:v>
      </x:c>
      <x:c r="F721" s="20" t="n">
        <x:v>1</x:v>
      </x:c>
      <x:c r="G721" s="19" t="str">
        <x:v>Fabricación</x:v>
      </x:c>
      <x:c r="H721" s="19" t="str">
        <x:v>Pieza TT10_M141</x:v>
      </x:c>
      <x:c r="I721" s="19" t="str">
        <x:v>ASTM A36</x:v>
      </x:c>
      <x:c r="J721" s="19" t="str">
        <x:v>Cantidades por conjunto; no sumar como total de máquina.</x:v>
      </x:c>
    </x:row>
    <x:row r="722" ht="30" customHeight="1">
      <x:c r="A722" s="17" t="str">
        <x:v>TT10_C05_PC_06</x:v>
      </x:c>
      <x:c r="B722" s="17" t="str">
        <x:v>Tolva: paneles laterales y refuerzos</x:v>
      </x:c>
      <x:c r="C722" s="18" t="n">
        <x:v>332</x:v>
      </x:c>
      <x:c r="D722" s="17" t="str">
        <x:v>TT10_M146</x:v>
      </x:c>
      <x:c r="E722" s="18" t="n">
        <x:v>1</x:v>
      </x:c>
      <x:c r="F722" s="18" t="n">
        <x:v>1</x:v>
      </x:c>
      <x:c r="G722" s="17" t="str">
        <x:v>Fabricación</x:v>
      </x:c>
      <x:c r="H722" s="17" t="str">
        <x:v>Pieza TT10_M146</x:v>
      </x:c>
      <x:c r="I722" s="17" t="str">
        <x:v>ASTM A36</x:v>
      </x:c>
      <x:c r="J722" s="17" t="str">
        <x:v>Cantidades por conjunto; no sumar como total de máquina.</x:v>
      </x:c>
    </x:row>
    <x:row r="723" ht="30" customHeight="1">
      <x:c r="A723" s="19" t="str">
        <x:v>TT10_C05_PC_06</x:v>
      </x:c>
      <x:c r="B723" s="19" t="str">
        <x:v>Tolva: paneles laterales y refuerzos</x:v>
      </x:c>
      <x:c r="C723" s="20" t="n">
        <x:v>342</x:v>
      </x:c>
      <x:c r="D723" s="19" t="str">
        <x:v>TT10_M196</x:v>
      </x:c>
      <x:c r="E723" s="20" t="n">
        <x:v>1</x:v>
      </x:c>
      <x:c r="F723" s="20" t="n">
        <x:v>1</x:v>
      </x:c>
      <x:c r="G723" s="19" t="str">
        <x:v>Fabricación</x:v>
      </x:c>
      <x:c r="H723" s="19" t="str">
        <x:v>Pieza TT10_M196</x:v>
      </x:c>
      <x:c r="I723" s="19" t="str">
        <x:v>ASTM A36</x:v>
      </x:c>
      <x:c r="J723" s="19" t="str">
        <x:v>Cantidades por conjunto; no sumar como total de máquina.</x:v>
      </x:c>
    </x:row>
    <x:row r="724" ht="30" customHeight="1">
      <x:c r="A724" s="17" t="str">
        <x:v>TT10_C05_PC_06</x:v>
      </x:c>
      <x:c r="B724" s="17" t="str">
        <x:v>Tolva: paneles laterales y refuerzos</x:v>
      </x:c>
      <x:c r="C724" s="18" t="n">
        <x:v>349</x:v>
      </x:c>
      <x:c r="D724" s="17" t="str">
        <x:v>TT10_M231</x:v>
      </x:c>
      <x:c r="E724" s="18" t="n">
        <x:v>1</x:v>
      </x:c>
      <x:c r="F724" s="18" t="n">
        <x:v>1</x:v>
      </x:c>
      <x:c r="G724" s="17" t="str">
        <x:v>Fabricación</x:v>
      </x:c>
      <x:c r="H724" s="17" t="str">
        <x:v>Pieza TT10_M231</x:v>
      </x:c>
      <x:c r="I724" s="17" t="str">
        <x:v>ASTM A36</x:v>
      </x:c>
      <x:c r="J724" s="17" t="str">
        <x:v>Cantidades por conjunto; no sumar como total de máquina.</x:v>
      </x:c>
    </x:row>
    <x:row r="725" ht="30" customHeight="1">
      <x:c r="A725" s="19" t="str">
        <x:v>TT10_C05_PC_06</x:v>
      </x:c>
      <x:c r="B725" s="19" t="str">
        <x:v>Tolva: paneles laterales y refuerzos</x:v>
      </x:c>
      <x:c r="C725" s="20" t="n">
        <x:v>359</x:v>
      </x:c>
      <x:c r="D725" s="19" t="str">
        <x:v>TT10_M281</x:v>
      </x:c>
      <x:c r="E725" s="20" t="n">
        <x:v>1</x:v>
      </x:c>
      <x:c r="F725" s="20" t="n">
        <x:v>1</x:v>
      </x:c>
      <x:c r="G725" s="19" t="str">
        <x:v>Fabricación</x:v>
      </x:c>
      <x:c r="H725" s="19" t="str">
        <x:v>Pieza TT10_M281</x:v>
      </x:c>
      <x:c r="I725" s="19" t="str">
        <x:v>ASTM A36</x:v>
      </x:c>
      <x:c r="J725" s="19" t="str">
        <x:v>Cantidades por conjunto; no sumar como total de máquina.</x:v>
      </x:c>
    </x:row>
    <x:row r="726" ht="30" customHeight="1">
      <x:c r="A726" s="17" t="str">
        <x:v>TT10_C05_PC_06</x:v>
      </x:c>
      <x:c r="B726" s="17" t="str">
        <x:v>Tolva: paneles laterales y refuerzos</x:v>
      </x:c>
      <x:c r="C726" s="18" t="n">
        <x:v>360</x:v>
      </x:c>
      <x:c r="D726" s="17" t="str">
        <x:v>TT10_M286</x:v>
      </x:c>
      <x:c r="E726" s="18" t="n">
        <x:v>1</x:v>
      </x:c>
      <x:c r="F726" s="18" t="n">
        <x:v>1</x:v>
      </x:c>
      <x:c r="G726" s="17" t="str">
        <x:v>Fabricación</x:v>
      </x:c>
      <x:c r="H726" s="17" t="str">
        <x:v>Pieza TT10_M286</x:v>
      </x:c>
      <x:c r="I726" s="17" t="str">
        <x:v>ASTM A36</x:v>
      </x:c>
      <x:c r="J726" s="17" t="str">
        <x:v>Cantidades por conjunto; no sumar como total de máquina.</x:v>
      </x:c>
    </x:row>
    <x:row r="727" ht="30" customHeight="1">
      <x:c r="A727" s="19" t="str">
        <x:v>TT10_C05_PC_06</x:v>
      </x:c>
      <x:c r="B727" s="19" t="str">
        <x:v>Tolva: paneles laterales y refuerzos</x:v>
      </x:c>
      <x:c r="C727" s="20" t="n">
        <x:v>362</x:v>
      </x:c>
      <x:c r="D727" s="19" t="str">
        <x:v>TT10_M296</x:v>
      </x:c>
      <x:c r="E727" s="20" t="n">
        <x:v>1</x:v>
      </x:c>
      <x:c r="F727" s="20" t="n">
        <x:v>1</x:v>
      </x:c>
      <x:c r="G727" s="19" t="str">
        <x:v>Fabricación</x:v>
      </x:c>
      <x:c r="H727" s="19" t="str">
        <x:v>Pieza TT10_M296</x:v>
      </x:c>
      <x:c r="I727" s="19" t="str">
        <x:v>ASTM A36</x:v>
      </x:c>
      <x:c r="J727" s="19" t="str">
        <x:v>Cantidades por conjunto; no sumar como total de máquina.</x:v>
      </x:c>
    </x:row>
    <x:row r="728" ht="30" customHeight="1">
      <x:c r="A728" s="17" t="str">
        <x:v>TT10_C05_PC_06</x:v>
      </x:c>
      <x:c r="B728" s="17" t="str">
        <x:v>Tolva: paneles laterales y refuerzos</x:v>
      </x:c>
      <x:c r="C728" s="18" t="n">
        <x:v>363</x:v>
      </x:c>
      <x:c r="D728" s="17" t="str">
        <x:v>TT10_M301</x:v>
      </x:c>
      <x:c r="E728" s="18" t="n">
        <x:v>1</x:v>
      </x:c>
      <x:c r="F728" s="18" t="n">
        <x:v>1</x:v>
      </x:c>
      <x:c r="G728" s="17" t="str">
        <x:v>Fabricación</x:v>
      </x:c>
      <x:c r="H728" s="17" t="str">
        <x:v>Pieza TT10_M301</x:v>
      </x:c>
      <x:c r="I728" s="17" t="str">
        <x:v>ASTM A36</x:v>
      </x:c>
      <x:c r="J728" s="17" t="str">
        <x:v>Cantidades por conjunto; no sumar como total de máquina.</x:v>
      </x:c>
    </x:row>
    <x:row r="729" ht="30" customHeight="1">
      <x:c r="A729" s="19" t="str">
        <x:v>TT10_C05_PC_06</x:v>
      </x:c>
      <x:c r="B729" s="19" t="str">
        <x:v>Tolva: paneles laterales y refuerzos</x:v>
      </x:c>
      <x:c r="C729" s="20" t="n">
        <x:v>366</x:v>
      </x:c>
      <x:c r="D729" s="19" t="str">
        <x:v>TT10_M316</x:v>
      </x:c>
      <x:c r="E729" s="20" t="n">
        <x:v>1</x:v>
      </x:c>
      <x:c r="F729" s="20" t="n">
        <x:v>1</x:v>
      </x:c>
      <x:c r="G729" s="19" t="str">
        <x:v>Fabricación</x:v>
      </x:c>
      <x:c r="H729" s="19" t="str">
        <x:v>Pieza TT10_M316</x:v>
      </x:c>
      <x:c r="I729" s="19" t="str">
        <x:v>ASTM A36</x:v>
      </x:c>
      <x:c r="J729" s="19" t="str">
        <x:v>Cantidades por conjunto; no sumar como total de máquina.</x:v>
      </x:c>
    </x:row>
    <x:row r="730" ht="30" customHeight="1">
      <x:c r="A730" s="17" t="str">
        <x:v>TT10_C05_PC_06</x:v>
      </x:c>
      <x:c r="B730" s="17" t="str">
        <x:v>Tolva: paneles laterales y refuerzos</x:v>
      </x:c>
      <x:c r="C730" s="18" t="n">
        <x:v>367</x:v>
      </x:c>
      <x:c r="D730" s="17" t="str">
        <x:v>TT10_M326</x:v>
      </x:c>
      <x:c r="E730" s="18" t="n">
        <x:v>1</x:v>
      </x:c>
      <x:c r="F730" s="18" t="n">
        <x:v>1</x:v>
      </x:c>
      <x:c r="G730" s="17" t="str">
        <x:v>Fabricación</x:v>
      </x:c>
      <x:c r="H730" s="17" t="str">
        <x:v>Pieza TT10_M326</x:v>
      </x:c>
      <x:c r="I730" s="17" t="str">
        <x:v>ASTM A36</x:v>
      </x:c>
      <x:c r="J730" s="17" t="str">
        <x:v>Cantidades por conjunto; no sumar como total de máquina.</x:v>
      </x:c>
    </x:row>
    <x:row r="731" ht="30" customHeight="1">
      <x:c r="A731" s="19" t="str">
        <x:v>TT10_C05_PC_06</x:v>
      </x:c>
      <x:c r="B731" s="19" t="str">
        <x:v>Tolva: paneles laterales y refuerzos</x:v>
      </x:c>
      <x:c r="C731" s="20" t="n">
        <x:v>368</x:v>
      </x:c>
      <x:c r="D731" s="19" t="str">
        <x:v>TT10_M331</x:v>
      </x:c>
      <x:c r="E731" s="20" t="n">
        <x:v>1</x:v>
      </x:c>
      <x:c r="F731" s="20" t="n">
        <x:v>1</x:v>
      </x:c>
      <x:c r="G731" s="19" t="str">
        <x:v>Fabricación</x:v>
      </x:c>
      <x:c r="H731" s="19" t="str">
        <x:v>Pieza TT10_M331</x:v>
      </x:c>
      <x:c r="I731" s="19" t="str">
        <x:v>ASTM A36</x:v>
      </x:c>
      <x:c r="J731" s="19" t="str">
        <x:v>Cantidades por conjunto; no sumar como total de máquina.</x:v>
      </x:c>
    </x:row>
    <x:row r="732" ht="30" customHeight="1">
      <x:c r="A732" s="17" t="str">
        <x:v>TT10_C05_PC_06</x:v>
      </x:c>
      <x:c r="B732" s="17" t="str">
        <x:v>Tolva: paneles laterales y refuerzos</x:v>
      </x:c>
      <x:c r="C732" s="18" t="n">
        <x:v>370</x:v>
      </x:c>
      <x:c r="D732" s="17" t="str">
        <x:v>TT10_M341</x:v>
      </x:c>
      <x:c r="E732" s="18" t="n">
        <x:v>1</x:v>
      </x:c>
      <x:c r="F732" s="18" t="n">
        <x:v>1</x:v>
      </x:c>
      <x:c r="G732" s="17" t="str">
        <x:v>Fabricación</x:v>
      </x:c>
      <x:c r="H732" s="17" t="str">
        <x:v>Pieza TT10_M341</x:v>
      </x:c>
      <x:c r="I732" s="17" t="str">
        <x:v>ASTM A36</x:v>
      </x:c>
      <x:c r="J732" s="17" t="str">
        <x:v>Cantidades por conjunto; no sumar como total de máquina.</x:v>
      </x:c>
    </x:row>
    <x:row r="733" ht="30" customHeight="1">
      <x:c r="A733" s="19" t="str">
        <x:v>TT10_C05_PC_06</x:v>
      </x:c>
      <x:c r="B733" s="19" t="str">
        <x:v>Tolva: paneles laterales y refuerzos</x:v>
      </x:c>
      <x:c r="C733" s="20" t="n">
        <x:v>371</x:v>
      </x:c>
      <x:c r="D733" s="19" t="str">
        <x:v>TT10_M346</x:v>
      </x:c>
      <x:c r="E733" s="20" t="n">
        <x:v>1</x:v>
      </x:c>
      <x:c r="F733" s="20" t="n">
        <x:v>1</x:v>
      </x:c>
      <x:c r="G733" s="19" t="str">
        <x:v>Fabricación</x:v>
      </x:c>
      <x:c r="H733" s="19" t="str">
        <x:v>Pieza TT10_M346</x:v>
      </x:c>
      <x:c r="I733" s="19" t="str">
        <x:v>ASTM A36</x:v>
      </x:c>
      <x:c r="J733" s="19" t="str">
        <x:v>Cantidades por conjunto; no sumar como total de máquina.</x:v>
      </x:c>
    </x:row>
    <x:row r="734" ht="30" customHeight="1">
      <x:c r="A734" s="17" t="str">
        <x:v>TT10_C05_PC_06</x:v>
      </x:c>
      <x:c r="B734" s="17" t="str">
        <x:v>Tolva: paneles laterales y refuerzos</x:v>
      </x:c>
      <x:c r="C734" s="18" t="n">
        <x:v>381</x:v>
      </x:c>
      <x:c r="D734" s="17" t="str">
        <x:v>TT10_M396</x:v>
      </x:c>
      <x:c r="E734" s="18" t="n">
        <x:v>1</x:v>
      </x:c>
      <x:c r="F734" s="18" t="n">
        <x:v>1</x:v>
      </x:c>
      <x:c r="G734" s="17" t="str">
        <x:v>Fabricación</x:v>
      </x:c>
      <x:c r="H734" s="17" t="str">
        <x:v>Pieza TT10_M396</x:v>
      </x:c>
      <x:c r="I734" s="17" t="str">
        <x:v>ASTM A36</x:v>
      </x:c>
      <x:c r="J734" s="17" t="str">
        <x:v>Cantidades por conjunto; no sumar como total de máquina.</x:v>
      </x:c>
    </x:row>
    <x:row r="735" ht="30" customHeight="1">
      <x:c r="A735" s="19" t="str">
        <x:v>TT10_C05_PC_07</x:v>
      </x:c>
      <x:c r="B735" s="19" t="str">
        <x:v>Tolva: testeros, refuerzos y fondo</x:v>
      </x:c>
      <x:c r="C735" s="20" t="n">
        <x:v>310</x:v>
      </x:c>
      <x:c r="D735" s="19" t="str">
        <x:v>TT10_M031</x:v>
      </x:c>
      <x:c r="E735" s="20" t="n">
        <x:v>1</x:v>
      </x:c>
      <x:c r="F735" s="20" t="n">
        <x:v>1</x:v>
      </x:c>
      <x:c r="G735" s="19" t="str">
        <x:v>Fabricación</x:v>
      </x:c>
      <x:c r="H735" s="19" t="str">
        <x:v>Pieza TT10_M031</x:v>
      </x:c>
      <x:c r="I735" s="19" t="str">
        <x:v>ASTM A36</x:v>
      </x:c>
      <x:c r="J735" s="19" t="str">
        <x:v>Cantidades por conjunto; no sumar como total de máquina.</x:v>
      </x:c>
    </x:row>
    <x:row r="736" ht="30" customHeight="1">
      <x:c r="A736" s="17" t="str">
        <x:v>TT10_C05_PC_07</x:v>
      </x:c>
      <x:c r="B736" s="17" t="str">
        <x:v>Tolva: testeros, refuerzos y fondo</x:v>
      </x:c>
      <x:c r="C736" s="18" t="n">
        <x:v>314</x:v>
      </x:c>
      <x:c r="D736" s="17" t="str">
        <x:v>TT10_M051</x:v>
      </x:c>
      <x:c r="E736" s="18" t="n">
        <x:v>1</x:v>
      </x:c>
      <x:c r="F736" s="18" t="n">
        <x:v>1</x:v>
      </x:c>
      <x:c r="G736" s="17" t="str">
        <x:v>Fabricación</x:v>
      </x:c>
      <x:c r="H736" s="17" t="str">
        <x:v>Pieza TT10_M051</x:v>
      </x:c>
      <x:c r="I736" s="17" t="str">
        <x:v>ASTM A36</x:v>
      </x:c>
      <x:c r="J736" s="17" t="str">
        <x:v>Cantidades por conjunto; no sumar como total de máquina.</x:v>
      </x:c>
    </x:row>
    <x:row r="737" ht="30" customHeight="1">
      <x:c r="A737" s="19" t="str">
        <x:v>TT10_C05_PC_07</x:v>
      </x:c>
      <x:c r="B737" s="19" t="str">
        <x:v>Tolva: testeros, refuerzos y fondo</x:v>
      </x:c>
      <x:c r="C737" s="20" t="n">
        <x:v>318</x:v>
      </x:c>
      <x:c r="D737" s="19" t="str">
        <x:v>TT10_M071</x:v>
      </x:c>
      <x:c r="E737" s="20" t="n">
        <x:v>1</x:v>
      </x:c>
      <x:c r="F737" s="20" t="n">
        <x:v>1</x:v>
      </x:c>
      <x:c r="G737" s="19" t="str">
        <x:v>Fabricación</x:v>
      </x:c>
      <x:c r="H737" s="19" t="str">
        <x:v>Pieza TT10_M071</x:v>
      </x:c>
      <x:c r="I737" s="19" t="str">
        <x:v>ASTM A36</x:v>
      </x:c>
      <x:c r="J737" s="19" t="str">
        <x:v>Cantidades por conjunto; no sumar como total de máquina.</x:v>
      </x:c>
    </x:row>
    <x:row r="738" ht="30" customHeight="1">
      <x:c r="A738" s="17" t="str">
        <x:v>TT10_C05_PC_07</x:v>
      </x:c>
      <x:c r="B738" s="17" t="str">
        <x:v>Tolva: testeros, refuerzos y fondo</x:v>
      </x:c>
      <x:c r="C738" s="18" t="n">
        <x:v>320</x:v>
      </x:c>
      <x:c r="D738" s="17" t="str">
        <x:v>TT10_M081</x:v>
      </x:c>
      <x:c r="E738" s="18" t="n">
        <x:v>1</x:v>
      </x:c>
      <x:c r="F738" s="18" t="n">
        <x:v>1</x:v>
      </x:c>
      <x:c r="G738" s="17" t="str">
        <x:v>Fabricación</x:v>
      </x:c>
      <x:c r="H738" s="17" t="str">
        <x:v>Pieza TT10_M081</x:v>
      </x:c>
      <x:c r="I738" s="17" t="str">
        <x:v>ASTM A36</x:v>
      </x:c>
      <x:c r="J738" s="17" t="str">
        <x:v>Cantidades por conjunto; no sumar como total de máquina.</x:v>
      </x:c>
    </x:row>
    <x:row r="739" ht="30" customHeight="1">
      <x:c r="A739" s="19" t="str">
        <x:v>TT10_C05_PC_07</x:v>
      </x:c>
      <x:c r="B739" s="19" t="str">
        <x:v>Tolva: testeros, refuerzos y fondo</x:v>
      </x:c>
      <x:c r="C739" s="20" t="n">
        <x:v>323</x:v>
      </x:c>
      <x:c r="D739" s="19" t="str">
        <x:v>TT10_M096</x:v>
      </x:c>
      <x:c r="E739" s="20" t="n">
        <x:v>1</x:v>
      </x:c>
      <x:c r="F739" s="20" t="n">
        <x:v>1</x:v>
      </x:c>
      <x:c r="G739" s="19" t="str">
        <x:v>Fabricación</x:v>
      </x:c>
      <x:c r="H739" s="19" t="str">
        <x:v>Pieza TT10_M096</x:v>
      </x:c>
      <x:c r="I739" s="19" t="str">
        <x:v>ASTM A36</x:v>
      </x:c>
      <x:c r="J739" s="19" t="str">
        <x:v>Cantidades por conjunto; no sumar como total de máquina.</x:v>
      </x:c>
    </x:row>
    <x:row r="740" ht="30" customHeight="1">
      <x:c r="A740" s="17" t="str">
        <x:v>TT10_C05_PC_07</x:v>
      </x:c>
      <x:c r="B740" s="17" t="str">
        <x:v>Tolva: testeros, refuerzos y fondo</x:v>
      </x:c>
      <x:c r="C740" s="18" t="n">
        <x:v>330</x:v>
      </x:c>
      <x:c r="D740" s="17" t="str">
        <x:v>TT10_M136</x:v>
      </x:c>
      <x:c r="E740" s="18" t="n">
        <x:v>1</x:v>
      </x:c>
      <x:c r="F740" s="18" t="n">
        <x:v>1</x:v>
      </x:c>
      <x:c r="G740" s="17" t="str">
        <x:v>Fabricación</x:v>
      </x:c>
      <x:c r="H740" s="17" t="str">
        <x:v>Pieza TT10_M136</x:v>
      </x:c>
      <x:c r="I740" s="17" t="str">
        <x:v>ASTM A36</x:v>
      </x:c>
      <x:c r="J740" s="17" t="str">
        <x:v>Cantidades por conjunto; no sumar como total de máquina.</x:v>
      </x:c>
    </x:row>
    <x:row r="741" ht="30" customHeight="1">
      <x:c r="A741" s="19" t="str">
        <x:v>TT10_C05_PC_07</x:v>
      </x:c>
      <x:c r="B741" s="19" t="str">
        <x:v>Tolva: testeros, refuerzos y fondo</x:v>
      </x:c>
      <x:c r="C741" s="20" t="n">
        <x:v>337</x:v>
      </x:c>
      <x:c r="D741" s="19" t="str">
        <x:v>TT10_M171</x:v>
      </x:c>
      <x:c r="E741" s="20" t="n">
        <x:v>1</x:v>
      </x:c>
      <x:c r="F741" s="20" t="n">
        <x:v>1</x:v>
      </x:c>
      <x:c r="G741" s="19" t="str">
        <x:v>Fabricación</x:v>
      </x:c>
      <x:c r="H741" s="19" t="str">
        <x:v>Pieza TT10_M171</x:v>
      </x:c>
      <x:c r="I741" s="19" t="str">
        <x:v>ASTM A36</x:v>
      </x:c>
      <x:c r="J741" s="19" t="str">
        <x:v>Cantidades por conjunto; no sumar como total de máquina.</x:v>
      </x:c>
    </x:row>
    <x:row r="742" ht="30" customHeight="1">
      <x:c r="A742" s="17" t="str">
        <x:v>TT10_C05_PC_07</x:v>
      </x:c>
      <x:c r="B742" s="17" t="str">
        <x:v>Tolva: testeros, refuerzos y fondo</x:v>
      </x:c>
      <x:c r="C742" s="18" t="n">
        <x:v>338</x:v>
      </x:c>
      <x:c r="D742" s="17" t="str">
        <x:v>TT10_M176</x:v>
      </x:c>
      <x:c r="E742" s="18" t="n">
        <x:v>1</x:v>
      </x:c>
      <x:c r="F742" s="18" t="n">
        <x:v>1</x:v>
      </x:c>
      <x:c r="G742" s="17" t="str">
        <x:v>Fabricación</x:v>
      </x:c>
      <x:c r="H742" s="17" t="str">
        <x:v>Fondo16 con taladros de revestimientos desmontables</x:v>
      </x:c>
      <x:c r="I742" s="17" t="str">
        <x:v>ASTM A36</x:v>
      </x:c>
      <x:c r="J742" s="17" t="str">
        <x:v>Cantidades por conjunto; no sumar como total de máquina.</x:v>
      </x:c>
    </x:row>
    <x:row r="743" ht="30" customHeight="1">
      <x:c r="A743" t="str">
        <x:v>TT10_C05_PC_07</x:v>
      </x:c>
      <x:c r="B743" t="str">
        <x:v>Tolva: testeros, refuerzos y fondo</x:v>
      </x:c>
      <x:c r="C743" t="n">
        <x:v>339</x:v>
      </x:c>
      <x:c r="D743" t="str">
        <x:v>TT10_M181</x:v>
      </x:c>
      <x:c r="E743" t="n">
        <x:v>1</x:v>
      </x:c>
      <x:c r="F743" t="n">
        <x:v>1</x:v>
      </x:c>
      <x:c r="G743" t="str">
        <x:v>Fabricación</x:v>
      </x:c>
      <x:c r="H743" s="37" t="str">
        <x:v>Pieza TT10_M181</x:v>
      </x:c>
      <x:c r="I743" s="37" t="str">
        <x:v>ASTM A36</x:v>
      </x:c>
      <x:c r="J743" t="str">
        <x:v>Cantidades por conjunto; no sumar como total de máquina.</x:v>
      </x:c>
    </x:row>
    <x:row r="744" ht="30" customHeight="1">
      <x:c r="A744" t="str">
        <x:v>TT10_C05_PC_07</x:v>
      </x:c>
      <x:c r="B744" t="str">
        <x:v>Tolva: testeros, refuerzos y fondo</x:v>
      </x:c>
      <x:c r="C744" t="n">
        <x:v>346</x:v>
      </x:c>
      <x:c r="D744" t="str">
        <x:v>TT10_M216</x:v>
      </x:c>
      <x:c r="E744" t="n">
        <x:v>1</x:v>
      </x:c>
      <x:c r="F744" t="n">
        <x:v>1</x:v>
      </x:c>
      <x:c r="G744" t="str">
        <x:v>Fabricación</x:v>
      </x:c>
      <x:c r="H744" s="37" t="str">
        <x:v>Pieza TT10_M216</x:v>
      </x:c>
      <x:c r="I744" s="37" t="str">
        <x:v>ASTM A36</x:v>
      </x:c>
      <x:c r="J744" t="str">
        <x:v>Cantidades por conjunto; no sumar como total de máquina.</x:v>
      </x:c>
    </x:row>
    <x:row r="745" ht="30" customHeight="1">
      <x:c r="A745" t="str">
        <x:v>TT10_C05_PC_07</x:v>
      </x:c>
      <x:c r="B745" t="str">
        <x:v>Tolva: testeros, refuerzos y fondo</x:v>
      </x:c>
      <x:c r="C745" t="n">
        <x:v>352</x:v>
      </x:c>
      <x:c r="D745" t="str">
        <x:v>TT10_M246</x:v>
      </x:c>
      <x:c r="E745" t="n">
        <x:v>1</x:v>
      </x:c>
      <x:c r="F745" t="n">
        <x:v>1</x:v>
      </x:c>
      <x:c r="G745" t="str">
        <x:v>Fabricación</x:v>
      </x:c>
      <x:c r="H745" s="37" t="str">
        <x:v>Pieza TT10_M246</x:v>
      </x:c>
      <x:c r="I745" s="37" t="str">
        <x:v>ASTM A36</x:v>
      </x:c>
      <x:c r="J745" t="str">
        <x:v>Cantidades por conjunto; no sumar como total de máquina.</x:v>
      </x:c>
    </x:row>
    <x:row r="746" ht="30" customHeight="1">
      <x:c r="A746" t="str">
        <x:v>TT10_C05_PC_07</x:v>
      </x:c>
      <x:c r="B746" t="str">
        <x:v>Tolva: testeros, refuerzos y fondo</x:v>
      </x:c>
      <x:c r="C746" t="n">
        <x:v>353</x:v>
      </x:c>
      <x:c r="D746" t="str">
        <x:v>TT10_M251</x:v>
      </x:c>
      <x:c r="E746" t="n">
        <x:v>1</x:v>
      </x:c>
      <x:c r="F746" t="n">
        <x:v>1</x:v>
      </x:c>
      <x:c r="G746" t="str">
        <x:v>Fabricación</x:v>
      </x:c>
      <x:c r="H746" s="37" t="str">
        <x:v>Pieza TT10_M251</x:v>
      </x:c>
      <x:c r="I746" s="37" t="str">
        <x:v>ASTM A36</x:v>
      </x:c>
      <x:c r="J746" t="str">
        <x:v>Cantidades por conjunto; no sumar como total de máquina.</x:v>
      </x:c>
    </x:row>
    <x:row r="747" ht="30" customHeight="1">
      <x:c r="A747" t="str">
        <x:v>TT10_C05_PC_07</x:v>
      </x:c>
      <x:c r="B747" t="str">
        <x:v>Tolva: testeros, refuerzos y fondo</x:v>
      </x:c>
      <x:c r="C747" t="n">
        <x:v>361</x:v>
      </x:c>
      <x:c r="D747" t="str">
        <x:v>TT10_M291</x:v>
      </x:c>
      <x:c r="E747" t="n">
        <x:v>1</x:v>
      </x:c>
      <x:c r="F747" t="n">
        <x:v>1</x:v>
      </x:c>
      <x:c r="G747" t="str">
        <x:v>Fabricación</x:v>
      </x:c>
      <x:c r="H747" s="37" t="str">
        <x:v>Pieza TT10_M291</x:v>
      </x:c>
      <x:c r="I747" s="37" t="str">
        <x:v>ASTM A36</x:v>
      </x:c>
      <x:c r="J747" t="str">
        <x:v>Cantidades por conjunto; no sumar como total de máquina.</x:v>
      </x:c>
    </x:row>
    <x:row r="748" ht="30" customHeight="1">
      <x:c r="A748" t="str">
        <x:v>TT10_C05_PC_07</x:v>
      </x:c>
      <x:c r="B748" t="str">
        <x:v>Tolva: testeros, refuerzos y fondo</x:v>
      </x:c>
      <x:c r="C748" t="n">
        <x:v>374</x:v>
      </x:c>
      <x:c r="D748" t="str">
        <x:v>TT10_M361</x:v>
      </x:c>
      <x:c r="E748" t="n">
        <x:v>1</x:v>
      </x:c>
      <x:c r="F748" t="n">
        <x:v>1</x:v>
      </x:c>
      <x:c r="G748" t="str">
        <x:v>Fabricación</x:v>
      </x:c>
      <x:c r="H748" s="37" t="str">
        <x:v>Pieza TT10_M361</x:v>
      </x:c>
      <x:c r="I748" s="37" t="str">
        <x:v>ASTM A36</x:v>
      </x:c>
      <x:c r="J748" t="str">
        <x:v>Cantidades por conjunto; no sumar como total de máquina.</x:v>
      </x:c>
    </x:row>
    <x:row r="749" ht="30" customHeight="1">
      <x:c r="A749" t="str">
        <x:v>TT10_C05_PC_07</x:v>
      </x:c>
      <x:c r="B749" t="str">
        <x:v>Tolva: testeros, refuerzos y fondo</x:v>
      </x:c>
      <x:c r="C749" t="n">
        <x:v>382</x:v>
      </x:c>
      <x:c r="D749" t="str">
        <x:v>TT10_M401</x:v>
      </x:c>
      <x:c r="E749" t="n">
        <x:v>1</x:v>
      </x:c>
      <x:c r="F749" t="n">
        <x:v>1</x:v>
      </x:c>
      <x:c r="G749" t="str">
        <x:v>Fabricación</x:v>
      </x:c>
      <x:c r="H749" s="37" t="str">
        <x:v>Pieza TT10_M401</x:v>
      </x:c>
      <x:c r="I749" s="37" t="str">
        <x:v>ASTM A36</x:v>
      </x:c>
      <x:c r="J749" t="str">
        <x:v>Cantidades por conjunto; no sumar como total de máquina.</x:v>
      </x:c>
    </x:row>
    <x:row r="750" ht="30" customHeight="1">
      <x:c r="A750" t="str">
        <x:v>TT10_C05_PC_07</x:v>
      </x:c>
      <x:c r="B750" t="str">
        <x:v>Tolva: testeros, refuerzos y fondo</x:v>
      </x:c>
      <x:c r="C750" t="n">
        <x:v>383</x:v>
      </x:c>
      <x:c r="D750" t="str">
        <x:v>TT10_M406</x:v>
      </x:c>
      <x:c r="E750" t="n">
        <x:v>1</x:v>
      </x:c>
      <x:c r="F750" t="n">
        <x:v>1</x:v>
      </x:c>
      <x:c r="G750" t="str">
        <x:v>Fabricación</x:v>
      </x:c>
      <x:c r="H750" s="37" t="str">
        <x:v>Pieza TT10_M406</x:v>
      </x:c>
      <x:c r="I750" s="37" t="str">
        <x:v>ASTM A36</x:v>
      </x:c>
      <x:c r="J750" t="str">
        <x:v>Cantidades por conjunto; no sumar como total de máquina.</x:v>
      </x:c>
    </x:row>
    <x:row r="751" ht="30" customHeight="1">
      <x:c r="A751" t="str">
        <x:v>TT10_C05_PC_07</x:v>
      </x:c>
      <x:c r="B751" t="str">
        <x:v>Tolva: testeros, refuerzos y fondo</x:v>
      </x:c>
      <x:c r="C751" t="n">
        <x:v>384</x:v>
      </x:c>
      <x:c r="D751" t="str">
        <x:v>TT10_M411</x:v>
      </x:c>
      <x:c r="E751" t="n">
        <x:v>1</x:v>
      </x:c>
      <x:c r="F751" t="n">
        <x:v>1</x:v>
      </x:c>
      <x:c r="G751" t="str">
        <x:v>Fabricación</x:v>
      </x:c>
      <x:c r="H751" s="37" t="str">
        <x:v>Pieza TT10_M411</x:v>
      </x:c>
      <x:c r="I751" s="37" t="str">
        <x:v>ASTM A36</x:v>
      </x:c>
      <x:c r="J751" t="str">
        <x:v>Cantidades por conjunto; no sumar como total de máquina.</x:v>
      </x:c>
    </x:row>
    <x:row r="752" ht="30" customHeight="1">
      <x:c r="A752" t="str">
        <x:v>TT10_C05_PC_08</x:v>
      </x:c>
      <x:c r="B752" t="str">
        <x:v>Revestimientos desmontables y camas de apoyo</x:v>
      </x:c>
      <x:c r="C752" t="n">
        <x:v>266</x:v>
      </x:c>
      <x:c r="D752" t="str">
        <x:v>TT10_LIN_0_0_B</x:v>
      </x:c>
      <x:c r="E752" t="n">
        <x:v>32</x:v>
      </x:c>
      <x:c r="F752" t="n">
        <x:v>32</x:v>
      </x:c>
      <x:c r="G752" t="str">
        <x:v>Compra</x:v>
      </x:c>
      <x:c r="H752" s="37" t="str">
        <x:v>Tornillo avellanado M16x80, cabeza90 D31, hexágono10; geometría nominal</x:v>
      </x:c>
      <x:c r="I752" s="37" t="str">
        <x:v>Clase 10.9 / ISO 898-1</x:v>
      </x:c>
      <x:c r="J752" t="str">
        <x:v>Cantidades por conjunto; no sumar como total de máquina.</x:v>
      </x:c>
    </x:row>
    <x:row r="753" ht="30" customHeight="1">
      <x:c r="A753" t="str">
        <x:v>TT10_C05_PC_08</x:v>
      </x:c>
      <x:c r="B753" t="str">
        <x:v>Revestimientos desmontables y camas de apoyo</x:v>
      </x:c>
      <x:c r="C753" t="n">
        <x:v>267</x:v>
      </x:c>
      <x:c r="D753" t="str">
        <x:v>TT10_LIN_0_0_C</x:v>
      </x:c>
      <x:c r="E753" t="n">
        <x:v>32</x:v>
      </x:c>
      <x:c r="F753" t="n">
        <x:v>32</x:v>
      </x:c>
      <x:c r="G753" t="str">
        <x:v>Fabricación</x:v>
      </x:c>
      <x:c r="H753" s="37" t="str">
        <x:v>Casquillo30/18 L25 limita compresión de elastómero</x:v>
      </x:c>
      <x:c r="I753" s="37" t="str">
        <x:v>Acero C45</x:v>
      </x:c>
      <x:c r="J753" t="str">
        <x:v>Cantidades por conjunto; no sumar como total de máquina.</x:v>
      </x:c>
    </x:row>
    <x:row r="754" ht="30" customHeight="1">
      <x:c r="A754" t="str">
        <x:v>TT10_C05_PC_08</x:v>
      </x:c>
      <x:c r="B754" t="str">
        <x:v>Revestimientos desmontables y camas de apoyo</x:v>
      </x:c>
      <x:c r="C754" t="n">
        <x:v>268</x:v>
      </x:c>
      <x:c r="D754" t="str">
        <x:v>TT10_LIN_0_0_N</x:v>
      </x:c>
      <x:c r="E754" t="n">
        <x:v>32</x:v>
      </x:c>
      <x:c r="F754" t="n">
        <x:v>32</x:v>
      </x:c>
      <x:c r="G754" t="str">
        <x:v>Compra</x:v>
      </x:c>
      <x:c r="H754" s="37" t="str">
        <x:v>Tuerca autoblocante metálica M16; rosca simplificada</x:v>
      </x:c>
      <x:c r="I754" s="37" t="str">
        <x:v>Tuerca clase 8 / ISO 898-2</x:v>
      </x:c>
      <x:c r="J754" t="str">
        <x:v>Cantidades por conjunto; no sumar como total de máquina.</x:v>
      </x:c>
    </x:row>
    <x:row r="755" ht="30" customHeight="1">
      <x:c r="A755" t="str">
        <x:v>TT10_C05_PC_08</x:v>
      </x:c>
      <x:c r="B755" t="str">
        <x:v>Revestimientos desmontables y camas de apoyo</x:v>
      </x:c>
      <x:c r="C755" t="n">
        <x:v>269</x:v>
      </x:c>
      <x:c r="D755" t="str">
        <x:v>TT10_LIN_0_0_W</x:v>
      </x:c>
      <x:c r="E755" t="n">
        <x:v>32</x:v>
      </x:c>
      <x:c r="F755" t="n">
        <x:v>32</x:v>
      </x:c>
      <x:c r="G755" t="str">
        <x:v>Compra</x:v>
      </x:c>
      <x:c r="H755" s="37" t="str">
        <x:v>Arandela M16 200HV D30/d17/t3</x:v>
      </x:c>
      <x:c r="I755" s="37" t="str">
        <x:v>Arandela endurecida 200 HV / ISO 7089</x:v>
      </x:c>
      <x:c r="J755" t="str">
        <x:v>Cantidades por conjunto; no sumar como total de máquina.</x:v>
      </x:c>
    </x:row>
    <x:row r="756" ht="30" customHeight="1">
      <x:c r="A756" t="str">
        <x:v>TT10_C05_PC_08</x:v>
      </x:c>
      <x:c r="B756" t="str">
        <x:v>Revestimientos desmontables y camas de apoyo</x:v>
      </x:c>
      <x:c r="C756" t="n">
        <x:v>315</x:v>
      </x:c>
      <x:c r="D756" t="str">
        <x:v>TT10_M056</x:v>
      </x:c>
      <x:c r="E756" t="n">
        <x:v>1</x:v>
      </x:c>
      <x:c r="F756" t="n">
        <x:v>1</x:v>
      </x:c>
      <x:c r="G756" t="str">
        <x:v>Fabricación</x:v>
      </x:c>
      <x:c r="H756" s="37" t="str">
        <x:v>Cama elastomérica25 perforada para casquillos limitadores</x:v>
      </x:c>
      <x:c r="I756" s="37" t="str">
        <x:v>Elastómero; curva dinámica de compresión por definir</x:v>
      </x:c>
      <x:c r="J756" t="str">
        <x:v>Cantidades por conjunto; no sumar como total de máquina.</x:v>
      </x:c>
    </x:row>
    <x:row r="757" ht="30" customHeight="1">
      <x:c r="A757" t="str">
        <x:v>TT10_C05_PC_08</x:v>
      </x:c>
      <x:c r="B757" t="str">
        <x:v>Revestimientos desmontables y camas de apoyo</x:v>
      </x:c>
      <x:c r="C757" t="n">
        <x:v>338</x:v>
      </x:c>
      <x:c r="D757" t="str">
        <x:v>TT10_M176</x:v>
      </x:c>
      <x:c r="E757" t="n">
        <x:v>1</x:v>
      </x:c>
      <x:c r="F757" t="n">
        <x:v>1</x:v>
      </x:c>
      <x:c r="G757" t="str">
        <x:v>Fabricación</x:v>
      </x:c>
      <x:c r="H757" s="37" t="str">
        <x:v>Fondo16 con taladros de revestimientos desmontables</x:v>
      </x:c>
      <x:c r="I757" s="37" t="str">
        <x:v>ASTM A36</x:v>
      </x:c>
      <x:c r="J757" t="str">
        <x:v>Cantidades por conjunto; no sumar como total de máquina.</x:v>
      </x:c>
    </x:row>
    <x:row r="758" ht="30" customHeight="1">
      <x:c r="A758" t="str">
        <x:v>TT10_C05_PC_08</x:v>
      </x:c>
      <x:c r="B758" t="str">
        <x:v>Revestimientos desmontables y camas de apoyo</x:v>
      </x:c>
      <x:c r="C758" t="n">
        <x:v>345</x:v>
      </x:c>
      <x:c r="D758" t="str">
        <x:v>TT10_M211</x:v>
      </x:c>
      <x:c r="E758" t="n">
        <x:v>1</x:v>
      </x:c>
      <x:c r="F758" t="n">
        <x:v>1</x:v>
      </x:c>
      <x:c r="G758" t="str">
        <x:v>Fabricación</x:v>
      </x:c>
      <x:c r="H758" s="37" t="str">
        <x:v>Cama elastomérica25 perforada para casquillos limitadores</x:v>
      </x:c>
      <x:c r="I758" s="37" t="str">
        <x:v>Elastómero; curva dinámica de compresión por definir</x:v>
      </x:c>
      <x:c r="J758" t="str">
        <x:v>Cantidades por conjunto; no sumar como total de máquina.</x:v>
      </x:c>
    </x:row>
    <x:row r="759" ht="30" customHeight="1">
      <x:c r="A759" t="str">
        <x:v>TT10_C05_PC_08</x:v>
      </x:c>
      <x:c r="B759" t="str">
        <x:v>Revestimientos desmontables y camas de apoyo</x:v>
      </x:c>
      <x:c r="C759" t="n">
        <x:v>347</x:v>
      </x:c>
      <x:c r="D759" t="str">
        <x:v>TT10_M221</x:v>
      </x:c>
      <x:c r="E759" t="n">
        <x:v>1</x:v>
      </x:c>
      <x:c r="F759" t="n">
        <x:v>1</x:v>
      </x:c>
      <x:c r="G759" t="str">
        <x:v>Fabricación</x:v>
      </x:c>
      <x:c r="H759" s="37" t="str">
        <x:v>Cama elastomérica25 perforada para casquillos limitadores</x:v>
      </x:c>
      <x:c r="I759" s="37" t="str">
        <x:v>Elastómero; curva dinámica de compresión por definir</x:v>
      </x:c>
      <x:c r="J759" t="str">
        <x:v>Cantidades por conjunto; no sumar como total de máquina.</x:v>
      </x:c>
    </x:row>
    <x:row r="760" ht="30" customHeight="1">
      <x:c r="A760" t="str">
        <x:v>TT10_C05_PC_08</x:v>
      </x:c>
      <x:c r="B760" t="str">
        <x:v>Revestimientos desmontables y camas de apoyo</x:v>
      </x:c>
      <x:c r="C760" t="n">
        <x:v>351</x:v>
      </x:c>
      <x:c r="D760" t="str">
        <x:v>TT10_M241</x:v>
      </x:c>
      <x:c r="E760" t="n">
        <x:v>1</x:v>
      </x:c>
      <x:c r="F760" t="n">
        <x:v>1</x:v>
      </x:c>
      <x:c r="G760" t="str">
        <x:v>Fabricación</x:v>
      </x:c>
      <x:c r="H760" s="37" t="str">
        <x:v>Cama elastomérica25 perforada para casquillos limitadores</x:v>
      </x:c>
      <x:c r="I760" s="37" t="str">
        <x:v>Elastómero; curva dinámica de compresión por definir</x:v>
      </x:c>
      <x:c r="J760" t="str">
        <x:v>Cantidades por conjunto; no sumar como total de máquina.</x:v>
      </x:c>
    </x:row>
    <x:row r="761" ht="30" customHeight="1">
      <x:c r="A761" t="str">
        <x:v>TT10_C05_PC_08</x:v>
      </x:c>
      <x:c r="B761" t="str">
        <x:v>Revestimientos desmontables y camas de apoyo</x:v>
      </x:c>
      <x:c r="C761" t="n">
        <x:v>354</x:v>
      </x:c>
      <x:c r="D761" t="str">
        <x:v>TT10_M256</x:v>
      </x:c>
      <x:c r="E761" t="n">
        <x:v>1</x:v>
      </x:c>
      <x:c r="F761" t="n">
        <x:v>1</x:v>
      </x:c>
      <x:c r="G761" t="str">
        <x:v>Fabricación</x:v>
      </x:c>
      <x:c r="H761" s="37" t="str">
        <x:v>Revestimiento AR400 t12 con ocho M16 avellanados desmontables</x:v>
      </x:c>
      <x:c r="I761" s="37" t="str">
        <x:v>Hardox 400</x:v>
      </x:c>
      <x:c r="J761" t="str">
        <x:v>Cantidades por conjunto; no sumar como total de máquina.</x:v>
      </x:c>
    </x:row>
    <x:row r="762" ht="30" customHeight="1">
      <x:c r="A762" t="str">
        <x:v>TT10_C05_PC_08</x:v>
      </x:c>
      <x:c r="B762" t="str">
        <x:v>Revestimientos desmontables y camas de apoyo</x:v>
      </x:c>
      <x:c r="C762" t="n">
        <x:v>356</x:v>
      </x:c>
      <x:c r="D762" t="str">
        <x:v>TT10_M266</x:v>
      </x:c>
      <x:c r="E762" t="n">
        <x:v>1</x:v>
      </x:c>
      <x:c r="F762" t="n">
        <x:v>1</x:v>
      </x:c>
      <x:c r="G762" t="str">
        <x:v>Fabricación</x:v>
      </x:c>
      <x:c r="H762" s="37" t="str">
        <x:v>Revestimiento AR400 t12 con ocho M16 avellanados desmontables</x:v>
      </x:c>
      <x:c r="I762" s="37" t="str">
        <x:v>Hardox 400</x:v>
      </x:c>
      <x:c r="J762" t="str">
        <x:v>Cantidades por conjunto; no sumar como total de máquina.</x:v>
      </x:c>
    </x:row>
    <x:row r="763" ht="30" customHeight="1">
      <x:c r="A763" t="str">
        <x:v>TT10_C05_PC_08</x:v>
      </x:c>
      <x:c r="B763" t="str">
        <x:v>Revestimientos desmontables y camas de apoyo</x:v>
      </x:c>
      <x:c r="C763" t="n">
        <x:v>379</x:v>
      </x:c>
      <x:c r="D763" t="str">
        <x:v>TT10_M386</x:v>
      </x:c>
      <x:c r="E763" t="n">
        <x:v>1</x:v>
      </x:c>
      <x:c r="F763" t="n">
        <x:v>1</x:v>
      </x:c>
      <x:c r="G763" t="str">
        <x:v>Fabricación</x:v>
      </x:c>
      <x:c r="H763" s="37" t="str">
        <x:v>Revestimiento AR400 t12 con ocho M16 avellanados desmontables</x:v>
      </x:c>
      <x:c r="I763" s="37" t="str">
        <x:v>Hardox 400</x:v>
      </x:c>
      <x:c r="J763" t="str">
        <x:v>Cantidades por conjunto; no sumar como total de máquina.</x:v>
      </x:c>
    </x:row>
    <x:row r="764" ht="30" customHeight="1">
      <x:c r="A764" t="str">
        <x:v>TT10_C05_PC_08</x:v>
      </x:c>
      <x:c r="B764" t="str">
        <x:v>Revestimientos desmontables y camas de apoyo</x:v>
      </x:c>
      <x:c r="C764" t="n">
        <x:v>380</x:v>
      </x:c>
      <x:c r="D764" t="str">
        <x:v>TT10_M391</x:v>
      </x:c>
      <x:c r="E764" t="n">
        <x:v>1</x:v>
      </x:c>
      <x:c r="F764" t="n">
        <x:v>1</x:v>
      </x:c>
      <x:c r="G764" t="str">
        <x:v>Fabricación</x:v>
      </x:c>
      <x:c r="H764" s="37" t="str">
        <x:v>Revestimiento AR400 t12 con ocho M16 avellanados desmontables</x:v>
      </x:c>
      <x:c r="I764" s="37" t="str">
        <x:v>Hardox 400</x:v>
      </x:c>
      <x:c r="J764" t="str">
        <x:v>Cantidades por conjunto; no sumar como total de máquina.</x:v>
      </x:c>
    </x:row>
    <x:row r="765" ht="30" customHeight="1">
      <x:c r="A765" t="str">
        <x:v>TT10_C05_PC_09</x:v>
      </x:c>
      <x:c r="B765" t="str">
        <x:v>Muñones, bridas, cubos y apoyos de giro</x:v>
      </x:c>
      <x:c r="C765" t="n">
        <x:v>1</x:v>
      </x:c>
      <x:c r="D765" t="str">
        <x:v>TT10_22240_N</x:v>
      </x:c>
      <x:c r="E765" t="n">
        <x:v>1</x:v>
      </x:c>
      <x:c r="F765" t="n">
        <x:v>1</x:v>
      </x:c>
      <x:c r="G765" t="str">
        <x:v>Compra</x:v>
      </x:c>
      <x:c r="H765" s="37" t="str">
        <x:v>SKF22240CC/W33 200x360x98; envolvente sin rodillos</x:v>
      </x:c>
      <x:c r="I765" s="37" t="str">
        <x:v>Conjunto comprado; acero/ fundición según OEM</x:v>
      </x:c>
      <x:c r="J765" t="str">
        <x:v>Cantidades por conjunto; no sumar como total de máquina.</x:v>
      </x:c>
    </x:row>
    <x:row r="766" ht="30" customHeight="1">
      <x:c r="A766" t="str">
        <x:v>TT10_C05_PC_09</x:v>
      </x:c>
      <x:c r="B766" t="str">
        <x:v>Muñones, bridas, cubos y apoyos de giro</x:v>
      </x:c>
      <x:c r="C766" t="n">
        <x:v>2</x:v>
      </x:c>
      <x:c r="D766" t="str">
        <x:v>TT10_22240_P</x:v>
      </x:c>
      <x:c r="E766" t="n">
        <x:v>1</x:v>
      </x:c>
      <x:c r="F766" t="n">
        <x:v>1</x:v>
      </x:c>
      <x:c r="G766" t="str">
        <x:v>Compra</x:v>
      </x:c>
      <x:c r="H766" s="37" t="str">
        <x:v>SKF22240CC/W33 200x360x98; envolvente sin rodillos</x:v>
      </x:c>
      <x:c r="I766" s="37" t="str">
        <x:v>Conjunto comprado; acero/ fundición según OEM</x:v>
      </x:c>
      <x:c r="J766" t="str">
        <x:v>Cantidades por conjunto; no sumar como total de máquina.</x:v>
      </x:c>
    </x:row>
    <x:row r="767" ht="30" customHeight="1">
      <x:c r="A767" t="str">
        <x:v>TT10_C05_PC_09</x:v>
      </x:c>
      <x:c r="B767" t="str">
        <x:v>Muñones, bridas, cubos y apoyos de giro</x:v>
      </x:c>
      <x:c r="C767" t="n">
        <x:v>149</x:v>
      </x:c>
      <x:c r="D767" t="str">
        <x:v>TT10_COLLAR_N</x:v>
      </x:c>
      <x:c r="E767" t="n">
        <x:v>1</x:v>
      </x:c>
      <x:c r="F767" t="n">
        <x:v>1</x:v>
      </x:c>
      <x:c r="G767" t="str">
        <x:v>Fabricación</x:v>
      </x:c>
      <x:c r="H767" s="37" t="str">
        <x:v>Casquillo D220/d200.2 L161: transmisión de apriete y pista de sello</x:v>
      </x:c>
      <x:c r="I767" s="37" t="str">
        <x:v>C45E / EN 10083-2</x:v>
      </x:c>
      <x:c r="J767" t="str">
        <x:v>Cantidades por conjunto; no sumar como total de máquina.</x:v>
      </x:c>
    </x:row>
    <x:row r="768" ht="30" customHeight="1">
      <x:c r="A768" t="str">
        <x:v>TT10_C05_PC_09</x:v>
      </x:c>
      <x:c r="B768" t="str">
        <x:v>Muñones, bridas, cubos y apoyos de giro</x:v>
      </x:c>
      <x:c r="C768" t="n">
        <x:v>150</x:v>
      </x:c>
      <x:c r="D768" t="str">
        <x:v>TT10_COLLAR_P</x:v>
      </x:c>
      <x:c r="E768" t="n">
        <x:v>1</x:v>
      </x:c>
      <x:c r="F768" t="n">
        <x:v>1</x:v>
      </x:c>
      <x:c r="G768" t="str">
        <x:v>Fabricación</x:v>
      </x:c>
      <x:c r="H768" s="37" t="str">
        <x:v>Casquillo D220/d200.2 L161: transmisión de apriete y pista de sello</x:v>
      </x:c>
      <x:c r="I768" s="37" t="str">
        <x:v>C45E / EN 10083-2</x:v>
      </x:c>
      <x:c r="J768" t="str">
        <x:v>Cantidades por conjunto; no sumar como total de máquina.</x:v>
      </x:c>
    </x:row>
    <x:row r="769" ht="30" customHeight="1">
      <x:c r="A769" t="str">
        <x:v>TT10_C05_PC_09</x:v>
      </x:c>
      <x:c r="B769" t="str">
        <x:v>Muñones, bridas, cubos y apoyos de giro</x:v>
      </x:c>
      <x:c r="C769" t="n">
        <x:v>180</x:v>
      </x:c>
      <x:c r="D769" t="str">
        <x:v>TT10_D_CUBO_N</x:v>
      </x:c>
      <x:c r="E769" t="n">
        <x:v>1</x:v>
      </x:c>
      <x:c r="F769" t="n">
        <x:v>1</x:v>
      </x:c>
      <x:c r="G769" t="str">
        <x:v>Fabricación</x:v>
      </x:c>
      <x:c r="H769" s="37" t="str">
        <x:v>Cubo de conexión por apriete y brida de disco N</x:v>
      </x:c>
      <x:c r="I769" s="37" t="str">
        <x:v>AISI 4140 bonificado</x:v>
      </x:c>
      <x:c r="J769" t="str">
        <x:v>Cantidades por conjunto; no sumar como total de máquina.</x:v>
      </x:c>
    </x:row>
    <x:row r="770" ht="30" customHeight="1">
      <x:c r="A770" t="str">
        <x:v>TT10_C05_PC_09</x:v>
      </x:c>
      <x:c r="B770" t="str">
        <x:v>Muñones, bridas, cubos y apoyos de giro</x:v>
      </x:c>
      <x:c r="C770" t="n">
        <x:v>181</x:v>
      </x:c>
      <x:c r="D770" t="str">
        <x:v>TT10_D_CUBO_P</x:v>
      </x:c>
      <x:c r="E770" t="n">
        <x:v>1</x:v>
      </x:c>
      <x:c r="F770" t="n">
        <x:v>1</x:v>
      </x:c>
      <x:c r="G770" t="str">
        <x:v>Fabricación</x:v>
      </x:c>
      <x:c r="H770" s="37" t="str">
        <x:v>Cubo de conexión por apriete y brida de disco P</x:v>
      </x:c>
      <x:c r="I770" s="37" t="str">
        <x:v>AISI 4140 bonificado</x:v>
      </x:c>
      <x:c r="J770" t="str">
        <x:v>Cantidades por conjunto; no sumar como total de máquina.</x:v>
      </x:c>
    </x:row>
    <x:row r="771" ht="30" customHeight="1">
      <x:c r="A771" t="str">
        <x:v>TT10_C05_PC_09</x:v>
      </x:c>
      <x:c r="B771" t="str">
        <x:v>Muñones, bridas, cubos y apoyos de giro</x:v>
      </x:c>
      <x:c r="C771" t="n">
        <x:v>182</x:v>
      </x:c>
      <x:c r="D771" t="str">
        <x:v>TT10_D_DISCO_N</x:v>
      </x:c>
      <x:c r="E771" t="n">
        <x:v>1</x:v>
      </x:c>
      <x:c r="F771" t="n">
        <x:v>1</x:v>
      </x:c>
      <x:c r="G771" t="str">
        <x:v>Compra</x:v>
      </x:c>
      <x:c r="H771" s="37" t="str">
        <x:v>Disco de freno de salida N; diámetro nominal de dibujo</x:v>
      </x:c>
      <x:c r="I771" s="37" t="str">
        <x:v>Equipo comprado</x:v>
      </x:c>
      <x:c r="J771" t="str">
        <x:v>Cantidades por conjunto; no sumar como total de máquina.</x:v>
      </x:c>
    </x:row>
    <x:row r="772" ht="30" customHeight="1">
      <x:c r="A772" t="str">
        <x:v>TT10_C05_PC_09</x:v>
      </x:c>
      <x:c r="B772" t="str">
        <x:v>Muñones, bridas, cubos y apoyos de giro</x:v>
      </x:c>
      <x:c r="C772" t="n">
        <x:v>183</x:v>
      </x:c>
      <x:c r="D772" t="str">
        <x:v>TT10_D_DISCO_P</x:v>
      </x:c>
      <x:c r="E772" t="n">
        <x:v>1</x:v>
      </x:c>
      <x:c r="F772" t="n">
        <x:v>1</x:v>
      </x:c>
      <x:c r="G772" t="str">
        <x:v>Compra</x:v>
      </x:c>
      <x:c r="H772" s="37" t="str">
        <x:v>Disco de freno de salida P; diámetro nominal de dibujo</x:v>
      </x:c>
      <x:c r="I772" s="37" t="str">
        <x:v>Equipo comprado</x:v>
      </x:c>
      <x:c r="J772" t="str">
        <x:v>Cantidades por conjunto; no sumar como total de máquina.</x:v>
      </x:c>
    </x:row>
    <x:row r="773" ht="30" customHeight="1">
      <x:c r="A773" t="str">
        <x:v>TT10_C05_PC_09</x:v>
      </x:c>
      <x:c r="B773" t="str">
        <x:v>Muñones, bridas, cubos y apoyos de giro</x:v>
      </x:c>
      <x:c r="C773" t="n">
        <x:v>221</x:v>
      </x:c>
      <x:c r="D773" t="str">
        <x:v>TT10_F441</x:v>
      </x:c>
      <x:c r="E773" t="n">
        <x:v>1</x:v>
      </x:c>
      <x:c r="F773" t="n">
        <x:v>1</x:v>
      </x:c>
      <x:c r="G773" t="str">
        <x:v>Fabricación</x:v>
      </x:c>
      <x:c r="H773" s="37" t="str">
        <x:v>Placa80 con cuatro roscas M30 ciegas60, paso540x140; pernos desde arriba</x:v>
      </x:c>
      <x:c r="I773" s="37" t="str">
        <x:v>ASTM A36</x:v>
      </x:c>
      <x:c r="J773" t="str">
        <x:v>Cantidades por conjunto; no sumar como total de máquina.</x:v>
      </x:c>
    </x:row>
    <x:row r="774" ht="30" customHeight="1">
      <x:c r="A774" t="str">
        <x:v>TT10_C05_PC_09</x:v>
      </x:c>
      <x:c r="B774" t="str">
        <x:v>Muñones, bridas, cubos y apoyos de giro</x:v>
      </x:c>
      <x:c r="C774" t="n">
        <x:v>222</x:v>
      </x:c>
      <x:c r="D774" t="str">
        <x:v>TT10_F446</x:v>
      </x:c>
      <x:c r="E774" t="n">
        <x:v>1</x:v>
      </x:c>
      <x:c r="F774" t="n">
        <x:v>1</x:v>
      </x:c>
      <x:c r="G774" t="str">
        <x:v>Fabricación</x:v>
      </x:c>
      <x:c r="H774" s="37" t="str">
        <x:v>Placa80 con cuatro roscas M30 ciegas60, paso540x140; pernos desde arriba</x:v>
      </x:c>
      <x:c r="I774" s="37" t="str">
        <x:v>ASTM A36</x:v>
      </x:c>
      <x:c r="J774" t="str">
        <x:v>Cantidades por conjunto; no sumar como total de máquina.</x:v>
      </x:c>
    </x:row>
    <x:row r="775" ht="30" customHeight="1">
      <x:c r="A775" t="str">
        <x:v>TT10_C05_PC_09</x:v>
      </x:c>
      <x:c r="B775" t="str">
        <x:v>Muñones, bridas, cubos y apoyos de giro</x:v>
      </x:c>
      <x:c r="C775" t="n">
        <x:v>224</x:v>
      </x:c>
      <x:c r="D775" t="str">
        <x:v>TT10_F456</x:v>
      </x:c>
      <x:c r="E775" t="n">
        <x:v>1</x:v>
      </x:c>
      <x:c r="F775" t="n">
        <x:v>1</x:v>
      </x:c>
      <x:c r="G775" t="str">
        <x:v>Compra</x:v>
      </x:c>
      <x:c r="H775" s="37" t="str">
        <x:v>SKF SNL3048: dimensiones de interfaz según catálogo; fundición simplificada</x:v>
      </x:c>
      <x:c r="I775" s="37" t="str">
        <x:v>Conjunto comprado; acero/ fundición según OEM</x:v>
      </x:c>
      <x:c r="J775" t="str">
        <x:v>Cantidades por conjunto; no sumar como total de máquina.</x:v>
      </x:c>
    </x:row>
    <x:row r="776" ht="30" customHeight="1">
      <x:c r="A776" t="str">
        <x:v>TT10_C05_PC_09</x:v>
      </x:c>
      <x:c r="B776" t="str">
        <x:v>Muñones, bridas, cubos y apoyos de giro</x:v>
      </x:c>
      <x:c r="C776" t="n">
        <x:v>240</x:v>
      </x:c>
      <x:c r="D776" t="str">
        <x:v>TT10_F551</x:v>
      </x:c>
      <x:c r="E776" t="n">
        <x:v>1</x:v>
      </x:c>
      <x:c r="F776" t="n">
        <x:v>1</x:v>
      </x:c>
      <x:c r="G776" t="str">
        <x:v>Compra</x:v>
      </x:c>
      <x:c r="H776" s="37" t="str">
        <x:v>SKF SNL3048: dimensiones de interfaz según catálogo; fundición simplificada</x:v>
      </x:c>
      <x:c r="I776" s="37" t="str">
        <x:v>Conjunto comprado; acero/ fundición según OEM</x:v>
      </x:c>
      <x:c r="J776" t="str">
        <x:v>Cantidades por conjunto; no sumar como total de máquina.</x:v>
      </x:c>
    </x:row>
    <x:row r="777" ht="30" customHeight="1">
      <x:c r="A777" t="str">
        <x:v>TT10_C05_PC_09</x:v>
      </x:c>
      <x:c r="B777" t="str">
        <x:v>Muñones, bridas, cubos y apoyos de giro</x:v>
      </x:c>
      <x:c r="C777" t="n">
        <x:v>264</x:v>
      </x:c>
      <x:c r="D777" t="str">
        <x:v>TT10_KM40_N</x:v>
      </x:c>
      <x:c r="E777" t="n">
        <x:v>1</x:v>
      </x:c>
      <x:c r="F777" t="n">
        <x:v>1</x:v>
      </x:c>
      <x:c r="G777" t="str">
        <x:v>Compra</x:v>
      </x:c>
      <x:c r="H777" s="37" t="str">
        <x:v>SKF KM40, M200x3, D250 B29; cuatro ranuras18x8</x:v>
      </x:c>
      <x:c r="I777" s="37" t="str">
        <x:v>Conjunto comprado; acero/ fundición según OEM</x:v>
      </x:c>
      <x:c r="J777" t="str">
        <x:v>Cantidades por conjunto; no sumar como total de máquina.</x:v>
      </x:c>
    </x:row>
    <x:row r="778" ht="30" customHeight="1">
      <x:c r="A778" t="str">
        <x:v>TT10_C05_PC_09</x:v>
      </x:c>
      <x:c r="B778" t="str">
        <x:v>Muñones, bridas, cubos y apoyos de giro</x:v>
      </x:c>
      <x:c r="C778" t="n">
        <x:v>265</x:v>
      </x:c>
      <x:c r="D778" t="str">
        <x:v>TT10_KM40_P</x:v>
      </x:c>
      <x:c r="E778" t="n">
        <x:v>1</x:v>
      </x:c>
      <x:c r="F778" t="n">
        <x:v>1</x:v>
      </x:c>
      <x:c r="G778" t="str">
        <x:v>Compra</x:v>
      </x:c>
      <x:c r="H778" s="37" t="str">
        <x:v>SKF KM40, M200x3, D250 B29; cuatro ranuras18x8</x:v>
      </x:c>
      <x:c r="I778" s="37" t="str">
        <x:v>Conjunto comprado; acero/ fundición según OEM</x:v>
      </x:c>
      <x:c r="J778" t="str">
        <x:v>Cantidades por conjunto; no sumar como total de máquina.</x:v>
      </x:c>
    </x:row>
    <x:row r="779" ht="30" customHeight="1">
      <x:c r="A779" t="str">
        <x:v>TT10_C05_PC_09</x:v>
      </x:c>
      <x:c r="B779" t="str">
        <x:v>Muñones, bridas, cubos y apoyos de giro</x:v>
      </x:c>
      <x:c r="C779" t="n">
        <x:v>319</x:v>
      </x:c>
      <x:c r="D779" t="str">
        <x:v>TT10_M076</x:v>
      </x:c>
      <x:c r="E779" t="n">
        <x:v>1</x:v>
      </x:c>
      <x:c r="F779" t="n">
        <x:v>1</x:v>
      </x:c>
      <x:c r="G779" t="str">
        <x:v>Fabricación</x:v>
      </x:c>
      <x:c r="H779" s="37" t="str">
        <x:v>Muñón forjado integral con brida550, hombro220, asiento200, R3 y retención exterior</x:v>
      </x:c>
      <x:c r="I779" s="37" t="str">
        <x:v>AISI 4140 bonificado</x:v>
      </x:c>
      <x:c r="J779" t="str">
        <x:v>Cantidades por conjunto; no sumar como total de máquina.</x:v>
      </x:c>
    </x:row>
    <x:row r="780" ht="30" customHeight="1">
      <x:c r="A780" t="str">
        <x:v>TT10_C05_PC_09</x:v>
      </x:c>
      <x:c r="B780" t="str">
        <x:v>Muñones, bridas, cubos y apoyos de giro</x:v>
      </x:c>
      <x:c r="C780" t="n">
        <x:v>321</x:v>
      </x:c>
      <x:c r="D780" t="str">
        <x:v>TT10_M086</x:v>
      </x:c>
      <x:c r="E780" t="n">
        <x:v>1</x:v>
      </x:c>
      <x:c r="F780" t="n">
        <x:v>1</x:v>
      </x:c>
      <x:c r="G780" t="str">
        <x:v>Fabricación</x:v>
      </x:c>
      <x:c r="H780" s="37" t="str">
        <x:v>Muñón forjado integral con brida550, hombro220, asiento200, R3 y retención exterior</x:v>
      </x:c>
      <x:c r="I780" s="37" t="str">
        <x:v>AISI 4140 bonificado</x:v>
      </x:c>
      <x:c r="J780" t="str">
        <x:v>Cantidades por conjunto; no sumar como total de máquina.</x:v>
      </x:c>
    </x:row>
    <x:row r="781" ht="30" customHeight="1">
      <x:c r="A781" t="str">
        <x:v>TT10_C05_PC_09</x:v>
      </x:c>
      <x:c r="B781" t="str">
        <x:v>Muñones, bridas, cubos y apoyos de giro</x:v>
      </x:c>
      <x:c r="C781" t="n">
        <x:v>325</x:v>
      </x:c>
      <x:c r="D781" t="str">
        <x:v>TT10_M106</x:v>
      </x:c>
      <x:c r="E781" t="n">
        <x:v>1</x:v>
      </x:c>
      <x:c r="F781" t="n">
        <x:v>1</x:v>
      </x:c>
      <x:c r="G781" t="str">
        <x:v>Fabricación</x:v>
      </x:c>
      <x:c r="H781" s="37" t="str">
        <x:v>Contraplaca80 con doce M30 ciegas78 PCD450, apriete desde exterior</x:v>
      </x:c>
      <x:c r="I781" s="37" t="str">
        <x:v>ASTM A36</x:v>
      </x:c>
      <x:c r="J781" t="str">
        <x:v>Cantidades por conjunto; no sumar como total de máquina.</x:v>
      </x:c>
    </x:row>
    <x:row r="782" ht="30" customHeight="1">
      <x:c r="A782" t="str">
        <x:v>TT10_C05_PC_09</x:v>
      </x:c>
      <x:c r="B782" t="str">
        <x:v>Muñones, bridas, cubos y apoyos de giro</x:v>
      </x:c>
      <x:c r="C782" t="n">
        <x:v>377</x:v>
      </x:c>
      <x:c r="D782" t="str">
        <x:v>TT10_M376</x:v>
      </x:c>
      <x:c r="E782" t="n">
        <x:v>1</x:v>
      </x:c>
      <x:c r="F782" t="n">
        <x:v>1</x:v>
      </x:c>
      <x:c r="G782" t="str">
        <x:v>Fabricación</x:v>
      </x:c>
      <x:c r="H782" s="37" t="str">
        <x:v>Contraplaca80 con doce M30 ciegas78 PCD450, apriete desde exterior</x:v>
      </x:c>
      <x:c r="I782" s="37" t="str">
        <x:v>ASTM A36</x:v>
      </x:c>
      <x:c r="J782" t="str">
        <x:v>Cantidades por conjunto; no sumar como total de máquina.</x:v>
      </x:c>
    </x:row>
    <x:row r="783" ht="30" customHeight="1">
      <x:c r="A783" t="str">
        <x:v>TT10_C05_PC_09</x:v>
      </x:c>
      <x:c r="B783" t="str">
        <x:v>Muñones, bridas, cubos y apoyos de giro</x:v>
      </x:c>
      <x:c r="C783" t="n">
        <x:v>385</x:v>
      </x:c>
      <x:c r="D783" t="str">
        <x:v>TT10_MB40_N</x:v>
      </x:c>
      <x:c r="E783" t="n">
        <x:v>1</x:v>
      </x:c>
      <x:c r="F783" t="n">
        <x:v>1</x:v>
      </x:c>
      <x:c r="G783" t="str">
        <x:v>Compra</x:v>
      </x:c>
      <x:c r="H783" s="37" t="str">
        <x:v>MB40 comprada: una pestana plegada nominal en KM40; restantes18 planas</x:v>
      </x:c>
      <x:c r="I783" s="37" t="str">
        <x:v>Acero arandela comercial Timken MB40; variante a confirmar</x:v>
      </x:c>
      <x:c r="J783" t="str">
        <x:v>Cantidades por conjunto; no sumar como total de máquina.</x:v>
      </x:c>
    </x:row>
    <x:row r="784" ht="30" customHeight="1">
      <x:c r="A784" t="str">
        <x:v>TT10_C05_PC_09</x:v>
      </x:c>
      <x:c r="B784" t="str">
        <x:v>Muñones, bridas, cubos y apoyos de giro</x:v>
      </x:c>
      <x:c r="C784" t="n">
        <x:v>386</x:v>
      </x:c>
      <x:c r="D784" t="str">
        <x:v>TT10_MB40_P</x:v>
      </x:c>
      <x:c r="E784" t="n">
        <x:v>1</x:v>
      </x:c>
      <x:c r="F784" t="n">
        <x:v>1</x:v>
      </x:c>
      <x:c r="G784" t="str">
        <x:v>Compra</x:v>
      </x:c>
      <x:c r="H784" s="37" t="str">
        <x:v>MB40 comprada: una pestana plegada nominal en KM40; restantes18 planas</x:v>
      </x:c>
      <x:c r="I784" s="37" t="str">
        <x:v>Acero arandela comercial Timken MB40; variante a confirmar</x:v>
      </x:c>
      <x:c r="J784" t="str">
        <x:v>Cantidades por conjunto; no sumar como total de máquina.</x:v>
      </x:c>
    </x:row>
    <x:row r="785" ht="30" customHeight="1">
      <x:c r="A785" t="str">
        <x:v>TT10_C05_PC_10</x:v>
      </x:c>
      <x:c r="B785" t="str">
        <x:v>Bancada y pedestales del accionamiento</x:v>
      </x:c>
      <x:c r="C785" t="n">
        <x:v>161</x:v>
      </x:c>
      <x:c r="D785" t="str">
        <x:v>TT10_D_BASE_MOTOR</x:v>
      </x:c>
      <x:c r="E785" t="n">
        <x:v>1</x:v>
      </x:c>
      <x:c r="F785" t="n">
        <x:v>1</x:v>
      </x:c>
      <x:c r="G785" t="str">
        <x:v>Fabricación</x:v>
      </x:c>
      <x:c r="H785" s="37" t="str">
        <x:v>Placa base del segundo apoyo de bancada</x:v>
      </x:c>
      <x:c r="I785" s="37" t="str">
        <x:v>ASTM A36</x:v>
      </x:c>
      <x:c r="J785" t="str">
        <x:v>Cantidades por conjunto; no sumar como total de máquina.</x:v>
      </x:c>
    </x:row>
    <x:row r="786" ht="30" customHeight="1">
      <x:c r="A786" t="str">
        <x:v>TT10_C05_PC_10</x:v>
      </x:c>
      <x:c r="B786" t="str">
        <x:v>Bancada y pedestales del accionamiento</x:v>
      </x:c>
      <x:c r="C786" t="n">
        <x:v>177</x:v>
      </x:c>
      <x:c r="D786" t="str">
        <x:v>TT10_D_CARTELA_MOTOR_0</x:v>
      </x:c>
      <x:c r="E786" t="n">
        <x:v>1</x:v>
      </x:c>
      <x:c r="F786" t="n">
        <x:v>1</x:v>
      </x:c>
      <x:c r="G786" t="str">
        <x:v>Fabricación</x:v>
      </x:c>
      <x:c r="H786" s="37" t="str">
        <x:v>Apoyo lateral desmontable de bancada</x:v>
      </x:c>
      <x:c r="I786" s="37" t="str">
        <x:v>ASTM A36</x:v>
      </x:c>
      <x:c r="J786" t="str">
        <x:v>Cantidades por conjunto; no sumar como total de máquina.</x:v>
      </x:c>
    </x:row>
    <x:row r="787" ht="30" customHeight="1">
      <x:c r="A787" t="str">
        <x:v>TT10_C05_PC_10</x:v>
      </x:c>
      <x:c r="B787" t="str">
        <x:v>Bancada y pedestales del accionamiento</x:v>
      </x:c>
      <x:c r="C787" t="n">
        <x:v>178</x:v>
      </x:c>
      <x:c r="D787" t="str">
        <x:v>TT10_D_CARTELA_MOTOR_1</x:v>
      </x:c>
      <x:c r="E787" t="n">
        <x:v>1</x:v>
      </x:c>
      <x:c r="F787" t="n">
        <x:v>1</x:v>
      </x:c>
      <x:c r="G787" t="str">
        <x:v>Fabricación</x:v>
      </x:c>
      <x:c r="H787" s="37" t="str">
        <x:v>Apoyo lateral desmontable de bancada</x:v>
      </x:c>
      <x:c r="I787" s="37" t="str">
        <x:v>ASTM A36</x:v>
      </x:c>
      <x:c r="J787" t="str">
        <x:v>Cantidades por conjunto; no sumar como total de máquina.</x:v>
      </x:c>
    </x:row>
    <x:row r="788" ht="30" customHeight="1">
      <x:c r="A788" t="str">
        <x:v>TT10_C05_PC_10</x:v>
      </x:c>
      <x:c r="B788" t="str">
        <x:v>Bancada y pedestales del accionamiento</x:v>
      </x:c>
      <x:c r="C788" t="n">
        <x:v>179</x:v>
      </x:c>
      <x:c r="D788" t="str">
        <x:v>TT10_D_COLUMNA_MOTOR</x:v>
      </x:c>
      <x:c r="E788" t="n">
        <x:v>1</x:v>
      </x:c>
      <x:c r="F788" t="n">
        <x:v>1</x:v>
      </x:c>
      <x:c r="G788" t="str">
        <x:v>Fabricación</x:v>
      </x:c>
      <x:c r="H788" s="37" t="str">
        <x:v>Columna adicional RHS200x200; asiento sobre placa base</x:v>
      </x:c>
      <x:c r="I788" s="37" t="str">
        <x:v>S275J0H / EN 10219-1</x:v>
      </x:c>
      <x:c r="J788" t="str">
        <x:v>Cantidades por conjunto; no sumar como total de máquina.</x:v>
      </x:c>
    </x:row>
    <x:row r="789" ht="30" customHeight="1">
      <x:c r="A789" t="str">
        <x:v>TT10_C05_PC_10</x:v>
      </x:c>
      <x:c r="B789" t="str">
        <x:v>Bancada y pedestales del accionamiento</x:v>
      </x:c>
      <x:c r="C789" t="n">
        <x:v>189</x:v>
      </x:c>
      <x:c r="D789" t="str">
        <x:v>TT10_D_MOTOR</x:v>
      </x:c>
      <x:c r="E789" t="n">
        <x:v>1</x:v>
      </x:c>
      <x:c r="F789" t="n">
        <x:v>1</x:v>
      </x:c>
      <x:c r="G789" t="str">
        <x:v>Compra</x:v>
      </x:c>
      <x:c r="H789" s="37" t="str">
        <x:v>Motor eléctrico con encoder; geometría nominal, potencia no seleccionada</x:v>
      </x:c>
      <x:c r="I789" s="37" t="str">
        <x:v>Equipo comprado; materiales y masa según ficha OEM</x:v>
      </x:c>
      <x:c r="J789" t="str">
        <x:v>Cantidades por conjunto; no sumar como total de máquina.</x:v>
      </x:c>
    </x:row>
    <x:row r="790" ht="30" customHeight="1">
      <x:c r="A790" t="str">
        <x:v>TT10_C05_PC_10</x:v>
      </x:c>
      <x:c r="B790" t="str">
        <x:v>Bancada y pedestales del accionamiento</x:v>
      </x:c>
      <x:c r="C790" t="n">
        <x:v>197</x:v>
      </x:c>
      <x:c r="D790" t="str">
        <x:v>TT10_D_PEDESTAL_AUX</x:v>
      </x:c>
      <x:c r="E790" t="n">
        <x:v>1</x:v>
      </x:c>
      <x:c r="F790" t="n">
        <x:v>1</x:v>
      </x:c>
      <x:c r="G790" t="str">
        <x:v>Fabricación</x:v>
      </x:c>
      <x:c r="H790" s="37" t="str">
        <x:v>Pedestal bajo reducción auxiliar</x:v>
      </x:c>
      <x:c r="I790" s="37" t="str">
        <x:v>ASTM A36</x:v>
      </x:c>
      <x:c r="J790" t="str">
        <x:v>Cantidades por conjunto; no sumar como total de máquina.</x:v>
      </x:c>
    </x:row>
    <x:row r="791" ht="30" customHeight="1">
      <x:c r="A791" t="str">
        <x:v>TT10_C05_PC_10</x:v>
      </x:c>
      <x:c r="B791" t="str">
        <x:v>Bancada y pedestales del accionamiento</x:v>
      </x:c>
      <x:c r="C791" t="n">
        <x:v>198</x:v>
      </x:c>
      <x:c r="D791" t="str">
        <x:v>TT10_D_PEDESTAL_MOTOR</x:v>
      </x:c>
      <x:c r="E791" t="n">
        <x:v>1</x:v>
      </x:c>
      <x:c r="F791" t="n">
        <x:v>1</x:v>
      </x:c>
      <x:c r="G791" t="str">
        <x:v>Fabricación</x:v>
      </x:c>
      <x:c r="H791" s="37" t="str">
        <x:v>Soporte común de pies del motor</x:v>
      </x:c>
      <x:c r="I791" s="37" t="str">
        <x:v>ASTM A36</x:v>
      </x:c>
      <x:c r="J791" t="str">
        <x:v>Cantidades por conjunto; no sumar como total de máquina.</x:v>
      </x:c>
    </x:row>
    <x:row r="792" ht="30" customHeight="1">
      <x:c r="A792" t="str">
        <x:v>TT10_C05_PC_10</x:v>
      </x:c>
      <x:c r="B792" t="str">
        <x:v>Bancada y pedestales del accionamiento</x:v>
      </x:c>
      <x:c r="C792" t="n">
        <x:v>201</x:v>
      </x:c>
      <x:c r="D792" t="str">
        <x:v>TT10_D_PLATAFORMA</x:v>
      </x:c>
      <x:c r="E792" t="n">
        <x:v>1</x:v>
      </x:c>
      <x:c r="F792" t="n">
        <x:v>1</x:v>
      </x:c>
      <x:c r="G792" t="str">
        <x:v>Fabricación</x:v>
      </x:c>
      <x:c r="H792" s="37" t="str">
        <x:v>Plataforma t40 con paso abierto de cadena ancho100, extremo R50; geometría nativa vigente</x:v>
      </x:c>
      <x:c r="I792" s="37" t="str">
        <x:v>ASTM A36</x:v>
      </x:c>
      <x:c r="J792" t="str">
        <x:v>Cantidades por conjunto; no sumar como total de máquina.</x:v>
      </x:c>
    </x:row>
    <x:row r="793" ht="30" customHeight="1">
      <x:c r="A793" t="str">
        <x:v>TT10_C05_PC_10</x:v>
      </x:c>
      <x:c r="B793" t="str">
        <x:v>Bancada y pedestales del accionamiento</x:v>
      </x:c>
      <x:c r="C793" t="n">
        <x:v>209</x:v>
      </x:c>
      <x:c r="D793" t="str">
        <x:v>TT10_D_REDUCTOR</x:v>
      </x:c>
      <x:c r="E793" t="n">
        <x:v>1</x:v>
      </x:c>
      <x:c r="F793" t="n">
        <x:v>1</x:v>
      </x:c>
      <x:c r="G793" t="str">
        <x:v>Compra</x:v>
      </x:c>
      <x:c r="H793" s="37" t="str">
        <x:v>Reductor principal angular: carcasa y conexiones nominales</x:v>
      </x:c>
      <x:c r="I793" s="37" t="str">
        <x:v>Equipo comprado; materiales y masa según ficha OEM</x:v>
      </x:c>
      <x:c r="J793" t="str">
        <x:v>Cantidades por conjunto; no sumar como total de máquina.</x:v>
      </x:c>
    </x:row>
    <x:row r="794" ht="30" customHeight="1">
      <x:c r="A794" t="str">
        <x:v>TT10_C05_PC_10</x:v>
      </x:c>
      <x:c r="B794" t="str">
        <x:v>Bancada y pedestales del accionamiento</x:v>
      </x:c>
      <x:c r="C794" t="n">
        <x:v>234</x:v>
      </x:c>
      <x:c r="D794" t="str">
        <x:v>TT10_F521</x:v>
      </x:c>
      <x:c r="E794" t="n">
        <x:v>1</x:v>
      </x:c>
      <x:c r="F794" t="n">
        <x:v>1</x:v>
      </x:c>
      <x:c r="G794" t="str">
        <x:v>Fabricación</x:v>
      </x:c>
      <x:c r="H794" s="37" t="str">
        <x:v>Columna accionamiento apoyada sobre placa base</x:v>
      </x:c>
      <x:c r="I794" s="37" t="str">
        <x:v>ASTM A36</x:v>
      </x:c>
      <x:c r="J794" t="str">
        <x:v>Cantidades por conjunto; no sumar como total de máquina.</x:v>
      </x:c>
    </x:row>
    <x:row r="795" ht="30" customHeight="1">
      <x:c r="A795" t="str">
        <x:v>TT10_C05_PC_11</x:v>
      </x:c>
      <x:c r="B795" t="str">
        <x:v>Soportes y montaje de frenos de salida</x:v>
      </x:c>
      <x:c r="C795" t="n">
        <x:v>153</x:v>
      </x:c>
      <x:c r="D795" t="str">
        <x:v>TT10_D_ARO_RESGUARDO_N</x:v>
      </x:c>
      <x:c r="E795" t="n">
        <x:v>1</x:v>
      </x:c>
      <x:c r="F795" t="n">
        <x:v>1</x:v>
      </x:c>
      <x:c r="G795" t="str">
        <x:v>Fabricación</x:v>
      </x:c>
      <x:c r="H795" s="37" t="str">
        <x:v>Resguardo tubular desmontable ARO_RESGUARDO_N</x:v>
      </x:c>
      <x:c r="I795" s="37" t="str">
        <x:v>S275J0H / EN 10219-1</x:v>
      </x:c>
      <x:c r="J795" t="str">
        <x:v>Cantidades por conjunto; no sumar como total de máquina.</x:v>
      </x:c>
    </x:row>
    <x:row r="796" ht="30" customHeight="1">
      <x:c r="A796" t="str">
        <x:v>TT10_C05_PC_11</x:v>
      </x:c>
      <x:c r="B796" t="str">
        <x:v>Soportes y montaje de frenos de salida</x:v>
      </x:c>
      <x:c r="C796" t="n">
        <x:v>154</x:v>
      </x:c>
      <x:c r="D796" t="str">
        <x:v>TT10_D_ARO_RESGUARDO_P</x:v>
      </x:c>
      <x:c r="E796" t="n">
        <x:v>1</x:v>
      </x:c>
      <x:c r="F796" t="n">
        <x:v>1</x:v>
      </x:c>
      <x:c r="G796" t="str">
        <x:v>Fabricación</x:v>
      </x:c>
      <x:c r="H796" s="37" t="str">
        <x:v>Resguardo tubular desmontable ARO_RESGUARDO_P</x:v>
      </x:c>
      <x:c r="I796" s="37" t="str">
        <x:v>S275J0H / EN 10219-1</x:v>
      </x:c>
      <x:c r="J796" t="str">
        <x:v>Cantidades por conjunto; no sumar como total de máquina.</x:v>
      </x:c>
    </x:row>
    <x:row r="797" ht="30" customHeight="1">
      <x:c r="A797" t="str">
        <x:v>TT10_C05_PC_11</x:v>
      </x:c>
      <x:c r="B797" t="str">
        <x:v>Soportes y montaje de frenos de salida</x:v>
      </x:c>
      <x:c r="C797" t="n">
        <x:v>159</x:v>
      </x:c>
      <x:c r="D797" t="str">
        <x:v>TT10_D_BASE_FRENO_N</x:v>
      </x:c>
      <x:c r="E797" t="n">
        <x:v>1</x:v>
      </x:c>
      <x:c r="F797" t="n">
        <x:v>1</x:v>
      </x:c>
      <x:c r="G797" t="str">
        <x:v>Fabricación</x:v>
      </x:c>
      <x:c r="H797" s="37" t="str">
        <x:v>Base de pedestal de freno N</x:v>
      </x:c>
      <x:c r="I797" s="37" t="str">
        <x:v>ASTM A36</x:v>
      </x:c>
      <x:c r="J797" t="str">
        <x:v>Cantidades por conjunto; no sumar como total de máquina.</x:v>
      </x:c>
    </x:row>
    <x:row r="798" ht="30" customHeight="1">
      <x:c r="A798" t="str">
        <x:v>TT10_C05_PC_11</x:v>
      </x:c>
      <x:c r="B798" t="str">
        <x:v>Soportes y montaje de frenos de salida</x:v>
      </x:c>
      <x:c r="C798" t="n">
        <x:v>160</x:v>
      </x:c>
      <x:c r="D798" t="str">
        <x:v>TT10_D_BASE_FRENO_P</x:v>
      </x:c>
      <x:c r="E798" t="n">
        <x:v>1</x:v>
      </x:c>
      <x:c r="F798" t="n">
        <x:v>1</x:v>
      </x:c>
      <x:c r="G798" t="str">
        <x:v>Fabricación</x:v>
      </x:c>
      <x:c r="H798" s="37" t="str">
        <x:v>Base de pedestal de freno P</x:v>
      </x:c>
      <x:c r="I798" s="37" t="str">
        <x:v>ASTM A36</x:v>
      </x:c>
      <x:c r="J798" t="str">
        <x:v>Cantidades por conjunto; no sumar como total de máquina.</x:v>
      </x:c>
    </x:row>
    <x:row r="799" ht="30" customHeight="1">
      <x:c r="A799" t="str">
        <x:v>TT10_C05_PC_11</x:v>
      </x:c>
      <x:c r="B799" t="str">
        <x:v>Soportes y montaje de frenos de salida</x:v>
      </x:c>
      <x:c r="C799" t="n">
        <x:v>180</x:v>
      </x:c>
      <x:c r="D799" t="str">
        <x:v>TT10_D_CUBO_N</x:v>
      </x:c>
      <x:c r="E799" t="n">
        <x:v>1</x:v>
      </x:c>
      <x:c r="F799" t="n">
        <x:v>1</x:v>
      </x:c>
      <x:c r="G799" t="str">
        <x:v>Fabricación</x:v>
      </x:c>
      <x:c r="H799" s="37" t="str">
        <x:v>Cubo de conexión por apriete y brida de disco N</x:v>
      </x:c>
      <x:c r="I799" s="37" t="str">
        <x:v>AISI 4140 bonificado</x:v>
      </x:c>
      <x:c r="J799" t="str">
        <x:v>Cantidades por conjunto; no sumar como total de máquina.</x:v>
      </x:c>
    </x:row>
    <x:row r="800" ht="30" customHeight="1">
      <x:c r="A800" t="str">
        <x:v>TT10_C05_PC_11</x:v>
      </x:c>
      <x:c r="B800" t="str">
        <x:v>Soportes y montaje de frenos de salida</x:v>
      </x:c>
      <x:c r="C800" t="n">
        <x:v>181</x:v>
      </x:c>
      <x:c r="D800" t="str">
        <x:v>TT10_D_CUBO_P</x:v>
      </x:c>
      <x:c r="E800" t="n">
        <x:v>1</x:v>
      </x:c>
      <x:c r="F800" t="n">
        <x:v>1</x:v>
      </x:c>
      <x:c r="G800" t="str">
        <x:v>Fabricación</x:v>
      </x:c>
      <x:c r="H800" s="37" t="str">
        <x:v>Cubo de conexión por apriete y brida de disco P</x:v>
      </x:c>
      <x:c r="I800" s="37" t="str">
        <x:v>AISI 4140 bonificado</x:v>
      </x:c>
      <x:c r="J800" t="str">
        <x:v>Cantidades por conjunto; no sumar como total de máquina.</x:v>
      </x:c>
    </x:row>
    <x:row r="801" ht="30" customHeight="1">
      <x:c r="A801" t="str">
        <x:v>TT10_C05_PC_11</x:v>
      </x:c>
      <x:c r="B801" t="str">
        <x:v>Soportes y montaje de frenos de salida</x:v>
      </x:c>
      <x:c r="C801" t="n">
        <x:v>182</x:v>
      </x:c>
      <x:c r="D801" t="str">
        <x:v>TT10_D_DISCO_N</x:v>
      </x:c>
      <x:c r="E801" t="n">
        <x:v>1</x:v>
      </x:c>
      <x:c r="F801" t="n">
        <x:v>1</x:v>
      </x:c>
      <x:c r="G801" t="str">
        <x:v>Compra</x:v>
      </x:c>
      <x:c r="H801" s="37" t="str">
        <x:v>Disco de freno de salida N; diámetro nominal de dibujo</x:v>
      </x:c>
      <x:c r="I801" s="37" t="str">
        <x:v>Equipo comprado</x:v>
      </x:c>
      <x:c r="J801" t="str">
        <x:v>Cantidades por conjunto; no sumar como total de máquina.</x:v>
      </x:c>
    </x:row>
    <x:row r="802" ht="30" customHeight="1">
      <x:c r="A802" t="str">
        <x:v>TT10_C05_PC_11</x:v>
      </x:c>
      <x:c r="B802" t="str">
        <x:v>Soportes y montaje de frenos de salida</x:v>
      </x:c>
      <x:c r="C802" t="n">
        <x:v>183</x:v>
      </x:c>
      <x:c r="D802" t="str">
        <x:v>TT10_D_DISCO_P</x:v>
      </x:c>
      <x:c r="E802" t="n">
        <x:v>1</x:v>
      </x:c>
      <x:c r="F802" t="n">
        <x:v>1</x:v>
      </x:c>
      <x:c r="G802" t="str">
        <x:v>Compra</x:v>
      </x:c>
      <x:c r="H802" s="37" t="str">
        <x:v>Disco de freno de salida P; diámetro nominal de dibujo</x:v>
      </x:c>
      <x:c r="I802" s="37" t="str">
        <x:v>Equipo comprado</x:v>
      </x:c>
      <x:c r="J802" t="str">
        <x:v>Cantidades por conjunto; no sumar como total de máquina.</x:v>
      </x:c>
    </x:row>
    <x:row r="803" ht="30" customHeight="1">
      <x:c r="A803" t="str">
        <x:v>TT10_C05_PC_11</x:v>
      </x:c>
      <x:c r="B803" t="str">
        <x:v>Soportes y montaje de frenos de salida</x:v>
      </x:c>
      <x:c r="C803" t="n">
        <x:v>199</x:v>
      </x:c>
      <x:c r="D803" t="str">
        <x:v>TT10_D_PINZA_N</x:v>
      </x:c>
      <x:c r="E803" t="n">
        <x:v>1</x:v>
      </x:c>
      <x:c r="F803" t="n">
        <x:v>1</x:v>
      </x:c>
      <x:c r="G803" t="str">
        <x:v>Compra</x:v>
      </x:c>
      <x:c r="H803" s="37" t="str">
        <x:v>Pinza de freno por resorte, liberación eléctrica N; envolvente nominal</x:v>
      </x:c>
      <x:c r="I803" s="37" t="str">
        <x:v>Equipo comprado</x:v>
      </x:c>
      <x:c r="J803" t="str">
        <x:v>Cantidades por conjunto; no sumar como total de máquina.</x:v>
      </x:c>
    </x:row>
    <x:row r="804" ht="30" customHeight="1">
      <x:c r="A804" t="str">
        <x:v>TT10_C05_PC_11</x:v>
      </x:c>
      <x:c r="B804" t="str">
        <x:v>Soportes y montaje de frenos de salida</x:v>
      </x:c>
      <x:c r="C804" t="n">
        <x:v>200</x:v>
      </x:c>
      <x:c r="D804" t="str">
        <x:v>TT10_D_PINZA_P</x:v>
      </x:c>
      <x:c r="E804" t="n">
        <x:v>1</x:v>
      </x:c>
      <x:c r="F804" t="n">
        <x:v>1</x:v>
      </x:c>
      <x:c r="G804" t="str">
        <x:v>Compra</x:v>
      </x:c>
      <x:c r="H804" s="37" t="str">
        <x:v>Pinza de freno por resorte, liberación eléctrica P; envolvente nominal</x:v>
      </x:c>
      <x:c r="I804" s="37" t="str">
        <x:v>Equipo comprado</x:v>
      </x:c>
      <x:c r="J804" t="str">
        <x:v>Cantidades por conjunto; no sumar como total de máquina.</x:v>
      </x:c>
    </x:row>
    <x:row r="805" ht="30" customHeight="1">
      <x:c r="A805" t="str">
        <x:v>TT10_C05_PC_11</x:v>
      </x:c>
      <x:c r="B805" t="str">
        <x:v>Soportes y montaje de frenos de salida</x:v>
      </x:c>
      <x:c r="C805" t="n">
        <x:v>204</x:v>
      </x:c>
      <x:c r="D805" t="str">
        <x:v>TT10_D_POSTE_FRENO_N</x:v>
      </x:c>
      <x:c r="E805" t="n">
        <x:v>1</x:v>
      </x:c>
      <x:c r="F805" t="n">
        <x:v>1</x:v>
      </x:c>
      <x:c r="G805" t="str">
        <x:v>Fabricación</x:v>
      </x:c>
      <x:c r="H805" s="37" t="str">
        <x:v>Pedestal del freno N</x:v>
      </x:c>
      <x:c r="I805" s="37" t="str">
        <x:v>ASTM A36</x:v>
      </x:c>
      <x:c r="J805" t="str">
        <x:v>Cantidades por conjunto; no sumar como total de máquina.</x:v>
      </x:c>
    </x:row>
    <x:row r="806" ht="30" customHeight="1">
      <x:c r="A806" t="str">
        <x:v>TT10_C05_PC_11</x:v>
      </x:c>
      <x:c r="B806" t="str">
        <x:v>Soportes y montaje de frenos de salida</x:v>
      </x:c>
      <x:c r="C806" t="n">
        <x:v>205</x:v>
      </x:c>
      <x:c r="D806" t="str">
        <x:v>TT10_D_POSTE_FRENO_P</x:v>
      </x:c>
      <x:c r="E806" t="n">
        <x:v>1</x:v>
      </x:c>
      <x:c r="F806" t="n">
        <x:v>1</x:v>
      </x:c>
      <x:c r="G806" t="str">
        <x:v>Fabricación</x:v>
      </x:c>
      <x:c r="H806" s="37" t="str">
        <x:v>Pedestal del freno P</x:v>
      </x:c>
      <x:c r="I806" s="37" t="str">
        <x:v>ASTM A36</x:v>
      </x:c>
      <x:c r="J806" t="str">
        <x:v>Cantidades por conjunto; no sumar como total de máquina.</x:v>
      </x:c>
    </x:row>
    <x:row r="807" ht="30" customHeight="1">
      <x:c r="A807" t="str">
        <x:v>TT10_C05_PC_11</x:v>
      </x:c>
      <x:c r="B807" t="str">
        <x:v>Soportes y montaje de frenos de salida</x:v>
      </x:c>
      <x:c r="C807" t="n">
        <x:v>216</x:v>
      </x:c>
      <x:c r="D807" t="str">
        <x:v>TT10_D_SOPORTE_FRENO_N</x:v>
      </x:c>
      <x:c r="E807" t="n">
        <x:v>1</x:v>
      </x:c>
      <x:c r="F807" t="n">
        <x:v>1</x:v>
      </x:c>
      <x:c r="G807" t="str">
        <x:v>Fabricación</x:v>
      </x:c>
      <x:c r="H807" s="37" t="str">
        <x:v>Placa de montaje de pinza N</x:v>
      </x:c>
      <x:c r="I807" s="37" t="str">
        <x:v>ASTM A36</x:v>
      </x:c>
      <x:c r="J807" t="str">
        <x:v>Cantidades por conjunto; no sumar como total de máquina.</x:v>
      </x:c>
    </x:row>
    <x:row r="808" ht="30" customHeight="1">
      <x:c r="A808" t="str">
        <x:v>TT10_C05_PC_11</x:v>
      </x:c>
      <x:c r="B808" t="str">
        <x:v>Soportes y montaje de frenos de salida</x:v>
      </x:c>
      <x:c r="C808" t="n">
        <x:v>217</x:v>
      </x:c>
      <x:c r="D808" t="str">
        <x:v>TT10_D_SOPORTE_FRENO_P</x:v>
      </x:c>
      <x:c r="E808" t="n">
        <x:v>1</x:v>
      </x:c>
      <x:c r="F808" t="n">
        <x:v>1</x:v>
      </x:c>
      <x:c r="G808" t="str">
        <x:v>Fabricación</x:v>
      </x:c>
      <x:c r="H808" s="37" t="str">
        <x:v>Placa de montaje de pinza P</x:v>
      </x:c>
      <x:c r="I808" s="37" t="str">
        <x:v>ASTM A36</x:v>
      </x:c>
      <x:c r="J808" t="str">
        <x:v>Cantidades por conjunto; no sumar como total de máquina.</x:v>
      </x:c>
    </x:row>
    <x:row r="809" ht="30" customHeight="1">
      <x:c r="A809" t="str">
        <x:v>TT10_C05_PC_12</x:v>
      </x:c>
      <x:c r="B809" t="str">
        <x:v>Bastidores de extracción de pasadores</x:v>
      </x:c>
      <x:c r="C809" t="n">
        <x:v>165</x:v>
      </x:c>
      <x:c r="D809" t="str">
        <x:v>TT10_D_BLANCO_PIN</x:v>
      </x:c>
      <x:c r="E809" t="n">
        <x:v>2</x:v>
      </x:c>
      <x:c r="F809" t="n">
        <x:v>2</x:v>
      </x:c>
      <x:c r="G809" t="str">
        <x:v>Fabricación</x:v>
      </x:c>
      <x:c r="H809" s="37" t="str">
        <x:v>Bandera de detección del pasador retirado</x:v>
      </x:c>
      <x:c r="I809" s="37" t="str">
        <x:v>ASTM A36</x:v>
      </x:c>
      <x:c r="J809" t="str">
        <x:v>Cantidades por conjunto; no sumar como total de máquina.</x:v>
      </x:c>
    </x:row>
    <x:row r="810" ht="30" customHeight="1">
      <x:c r="A810" t="str">
        <x:v>TT10_C05_PC_12</x:v>
      </x:c>
      <x:c r="B810" t="str">
        <x:v>Bastidores de extracción de pasadores</x:v>
      </x:c>
      <x:c r="C810" t="n">
        <x:v>262</x:v>
      </x:c>
      <x:c r="D810" t="str">
        <x:v>TT10_GUIA_N</x:v>
      </x:c>
      <x:c r="E810" t="n">
        <x:v>1</x:v>
      </x:c>
      <x:c r="F810" t="n">
        <x:v>1</x:v>
      </x:c>
      <x:c r="G810" t="str">
        <x:v>Fabricación</x:v>
      </x:c>
      <x:c r="H810" s="37" t="str">
        <x:v>Guía con alojamiento Ø69 H7; casquillo69/65.5; fuera del camino resistente</x:v>
      </x:c>
      <x:c r="I810" s="37" t="str">
        <x:v>ASTM A36</x:v>
      </x:c>
      <x:c r="J810" t="str">
        <x:v>Cantidades por conjunto; no sumar como total de máquina.</x:v>
      </x:c>
    </x:row>
    <x:row r="811" ht="30" customHeight="1">
      <x:c r="A811" t="str">
        <x:v>TT10_C05_PC_12</x:v>
      </x:c>
      <x:c r="B811" t="str">
        <x:v>Bastidores de extracción de pasadores</x:v>
      </x:c>
      <x:c r="C811" t="n">
        <x:v>263</x:v>
      </x:c>
      <x:c r="D811" t="str">
        <x:v>TT10_GUIA_P</x:v>
      </x:c>
      <x:c r="E811" t="n">
        <x:v>1</x:v>
      </x:c>
      <x:c r="F811" t="n">
        <x:v>1</x:v>
      </x:c>
      <x:c r="G811" t="str">
        <x:v>Fabricación</x:v>
      </x:c>
      <x:c r="H811" s="37" t="str">
        <x:v>Guía con alojamiento Ø69 H7; casquillo69/65.5; fuera del camino resistente</x:v>
      </x:c>
      <x:c r="I811" s="37" t="str">
        <x:v>ASTM A36</x:v>
      </x:c>
      <x:c r="J811" t="str">
        <x:v>Cantidades por conjunto; no sumar como total de máquina.</x:v>
      </x:c>
    </x:row>
    <x:row r="812" ht="30" customHeight="1">
      <x:c r="A812" t="str">
        <x:v>TT10_C05_PC_12</x:v>
      </x:c>
      <x:c r="B812" t="str">
        <x:v>Bastidores de extracción de pasadores</x:v>
      </x:c>
      <x:c r="C812" t="n">
        <x:v>391</x:v>
      </x:c>
      <x:c r="D812" t="str">
        <x:v>TT10_PE_ACT_VASTAGO</x:v>
      </x:c>
      <x:c r="E812" t="n">
        <x:v>2</x:v>
      </x:c>
      <x:c r="F812" t="n">
        <x:v>2</x:v>
      </x:c>
      <x:c r="G812" t="str">
        <x:v>Compra</x:v>
      </x:c>
      <x:c r="H812" s="37" t="str">
        <x:v>Extremo y vástago comercial nominal D30.2; taladro12.2; parte móvil de candidato Thomson</x:v>
      </x:c>
      <x:c r="I812" s="37" t="str">
        <x:v>Subcomponente de actuador comercial</x:v>
      </x:c>
      <x:c r="J812" t="str">
        <x:v>Cantidades por conjunto; no sumar como total de máquina.</x:v>
      </x:c>
    </x:row>
    <x:row r="813" ht="30" customHeight="1">
      <x:c r="A813" t="str">
        <x:v>TT10_C05_PC_12</x:v>
      </x:c>
      <x:c r="B813" t="str">
        <x:v>Bastidores de extracción de pasadores</x:v>
      </x:c>
      <x:c r="C813" t="n">
        <x:v>396</x:v>
      </x:c>
      <x:c r="D813" t="str">
        <x:v>TT10_PE_BEF</x:v>
      </x:c>
      <x:c r="E813" t="n">
        <x:v>2</x:v>
      </x:c>
      <x:c r="F813" t="n">
        <x:v>2</x:v>
      </x:c>
      <x:c r="G813" t="str">
        <x:v>Compra</x:v>
      </x:c>
      <x:c r="H813" s="37" t="str">
        <x:v>ISO7380-1 M6x10 8.8; cabeza baja D10.5 H3.3 envolvente; hexágono4; fijador de rosca requerido</x:v>
      </x:c>
      <x:c r="I813" s="37" t="str">
        <x:v>Clase 8.8 / ISO 898-1</x:v>
      </x:c>
      <x:c r="J813" t="str">
        <x:v>Cantidades por conjunto; no sumar como total de máquina.</x:v>
      </x:c>
    </x:row>
    <x:row r="814" ht="30" customHeight="1">
      <x:c r="A814" t="str">
        <x:v>TT10_C05_PC_12</x:v>
      </x:c>
      <x:c r="B814" t="str">
        <x:v>Bastidores de extracción de pasadores</x:v>
      </x:c>
      <x:c r="C814" t="n">
        <x:v>398</x:v>
      </x:c>
      <x:c r="D814" t="str">
        <x:v>TT10_PE_BF0</x:v>
      </x:c>
      <x:c r="E814" t="n">
        <x:v>2</x:v>
      </x:c>
      <x:c r="F814" t="n">
        <x:v>2</x:v>
      </x:c>
      <x:c r="G814" t="str">
        <x:v>Compra</x:v>
      </x:c>
      <x:c r="H814" s="37" t="str">
        <x:v>Tornillo M10x25 clase8.8, rosca nominal; fijador de rosca según montaje</x:v>
      </x:c>
      <x:c r="I814" s="37" t="str">
        <x:v>Clase 8.8 / ISO 898-1</x:v>
      </x:c>
      <x:c r="J814" t="str">
        <x:v>Cantidades por conjunto; no sumar como total de máquina.</x:v>
      </x:c>
    </x:row>
    <x:row r="815" ht="30" customHeight="1">
      <x:c r="A815" t="str">
        <x:v>TT10_C05_PC_12</x:v>
      </x:c>
      <x:c r="B815" t="str">
        <x:v>Bastidores de extracción de pasadores</x:v>
      </x:c>
      <x:c r="C815" t="n">
        <x:v>399</x:v>
      </x:c>
      <x:c r="D815" t="str">
        <x:v>TT10_PE_BF1</x:v>
      </x:c>
      <x:c r="E815" t="n">
        <x:v>2</x:v>
      </x:c>
      <x:c r="F815" t="n">
        <x:v>2</x:v>
      </x:c>
      <x:c r="G815" t="str">
        <x:v>Compra</x:v>
      </x:c>
      <x:c r="H815" s="37" t="str">
        <x:v>Tornillo M10x25 clase8.8, rosca nominal; fijador de rosca según montaje</x:v>
      </x:c>
      <x:c r="I815" s="37" t="str">
        <x:v>Clase 8.8 / ISO 898-1</x:v>
      </x:c>
      <x:c r="J815" t="str">
        <x:v>Cantidades por conjunto; no sumar como total de máquina.</x:v>
      </x:c>
    </x:row>
    <x:row r="816" ht="30" customHeight="1">
      <x:c r="A816" t="str">
        <x:v>TT10_C05_PC_12</x:v>
      </x:c>
      <x:c r="B816" t="str">
        <x:v>Bastidores de extracción de pasadores</x:v>
      </x:c>
      <x:c r="C816" t="n">
        <x:v>402</x:v>
      </x:c>
      <x:c r="D816" t="str">
        <x:v>TT10_PE_EJE_F</x:v>
      </x:c>
      <x:c r="E816" t="n">
        <x:v>2</x:v>
      </x:c>
      <x:c r="F816" t="n">
        <x:v>2</x:v>
      </x:c>
      <x:c r="G816" t="str">
        <x:v>Compra</x:v>
      </x:c>
      <x:c r="H816" s="37" t="str">
        <x:v>Bulón articulación D12 h8, cabeza20x4, M6-6H axial profundidad12; arandela y tornillo de retención</x:v>
      </x:c>
      <x:c r="I816" s="37" t="str">
        <x:v>Arandela endurecida 300 HV / ISO 7089</x:v>
      </x:c>
      <x:c r="J816" t="str">
        <x:v>Cantidades por conjunto; no sumar como total de máquina.</x:v>
      </x:c>
    </x:row>
    <x:row r="817" ht="30" customHeight="1">
      <x:c r="A817" t="str">
        <x:v>TT10_C05_PC_12</x:v>
      </x:c>
      <x:c r="B817" t="str">
        <x:v>Bastidores de extracción de pasadores</x:v>
      </x:c>
      <x:c r="C817" t="n">
        <x:v>404</x:v>
      </x:c>
      <x:c r="D817" t="str">
        <x:v>TT10_PE_HORQ_F</x:v>
      </x:c>
      <x:c r="E817" t="n">
        <x:v>2</x:v>
      </x:c>
      <x:c r="F817" t="n">
        <x:v>2</x:v>
      </x:c>
      <x:c r="G817" t="str">
        <x:v>Fabricación</x:v>
      </x:c>
      <x:c r="H817" s="37" t="str">
        <x:v>Horquilla frontal integral S355: base60x10, separación31.2, dos orejas10, D12.2H8; 2M10 de fijación</x:v>
      </x:c>
      <x:c r="I817" s="37" t="str">
        <x:v>ASTM A36</x:v>
      </x:c>
      <x:c r="J817" t="str">
        <x:v>Cantidades por conjunto; no sumar como total de máquina.</x:v>
      </x:c>
    </x:row>
    <x:row r="818" ht="30" customHeight="1">
      <x:c r="A818" t="str">
        <x:v>TT10_C05_PC_12</x:v>
      </x:c>
      <x:c r="B818" t="str">
        <x:v>Bastidores de extracción de pasadores</x:v>
      </x:c>
      <x:c r="C818" t="n">
        <x:v>405</x:v>
      </x:c>
      <x:c r="D818" t="str">
        <x:v>TT10_PE_HORQ_R</x:v>
      </x:c>
      <x:c r="E818" t="n">
        <x:v>2</x:v>
      </x:c>
      <x:c r="F818" t="n">
        <x:v>2</x:v>
      </x:c>
      <x:c r="G818" t="str">
        <x:v>Fabricación</x:v>
      </x:c>
      <x:c r="H818" s="37" t="str">
        <x:v>Horquilla trasera mecanizada: base130x60x10; separación26.4; eje12; 2M10</x:v>
      </x:c>
      <x:c r="I818" s="37" t="str">
        <x:v>ASTM A36</x:v>
      </x:c>
      <x:c r="J818" t="str">
        <x:v>Cantidades por conjunto; no sumar como total de máquina.</x:v>
      </x:c>
    </x:row>
    <x:row r="819" ht="30" customHeight="1">
      <x:c r="A819" t="str">
        <x:v>TT10_C05_PC_12</x:v>
      </x:c>
      <x:c r="B819" t="str">
        <x:v>Bastidores de extracción de pasadores</x:v>
      </x:c>
      <x:c r="C819" t="n">
        <x:v>406</x:v>
      </x:c>
      <x:c r="D819" t="str">
        <x:v>TT10_PE_LARG_L</x:v>
      </x:c>
      <x:c r="E819" t="n">
        <x:v>2</x:v>
      </x:c>
      <x:c r="F819" t="n">
        <x:v>2</x:v>
      </x:c>
      <x:c r="G819" t="str">
        <x:v>Fabricación</x:v>
      </x:c>
      <x:c r="H819" s="37" t="str">
        <x:v>Larguero S355 plano12x80; corte a longitud503.0</x:v>
      </x:c>
      <x:c r="I819" s="37" t="str">
        <x:v>ASTM A36</x:v>
      </x:c>
      <x:c r="J819" t="str">
        <x:v>Cantidades por conjunto; no sumar como total de máquina.</x:v>
      </x:c>
    </x:row>
    <x:row r="820" ht="30" customHeight="1">
      <x:c r="A820" t="str">
        <x:v>TT10_C05_PC_12</x:v>
      </x:c>
      <x:c r="B820" t="str">
        <x:v>Bastidores de extracción de pasadores</x:v>
      </x:c>
      <x:c r="C820" t="n">
        <x:v>407</x:v>
      </x:c>
      <x:c r="D820" t="str">
        <x:v>TT10_PE_LARG_R</x:v>
      </x:c>
      <x:c r="E820" t="n">
        <x:v>2</x:v>
      </x:c>
      <x:c r="F820" t="n">
        <x:v>2</x:v>
      </x:c>
      <x:c r="G820" t="str">
        <x:v>Fabricación</x:v>
      </x:c>
      <x:c r="H820" s="37" t="str">
        <x:v>Larguero S355 plano12x80; corte a longitud503.0</x:v>
      </x:c>
      <x:c r="I820" s="37" t="str">
        <x:v>ASTM A36</x:v>
      </x:c>
      <x:c r="J820" t="str">
        <x:v>Cantidades por conjunto; no sumar como total de máquina.</x:v>
      </x:c>
    </x:row>
    <x:row r="821" ht="30" customHeight="1">
      <x:c r="A821" t="str">
        <x:v>TT10_C05_PC_12</x:v>
      </x:c>
      <x:c r="B821" t="str">
        <x:v>Bastidores de extracción de pasadores</x:v>
      </x:c>
      <x:c r="C821" t="n">
        <x:v>412</x:v>
      </x:c>
      <x:c r="D821" t="str">
        <x:v>TT10_PE_PIN</x:v>
      </x:c>
      <x:c r="E821" t="n">
        <x:v>2</x:v>
      </x:c>
      <x:c r="F821" t="n">
        <x:v>2</x:v>
      </x:c>
      <x:c r="G821" t="str">
        <x:v>Fabricación</x:v>
      </x:c>
      <x:c r="H821" s="37" t="str">
        <x:v>Pasador Ø65 f7 x 330; cabeza Ø90 x 15; R3; 34CrNiMo6+QT Rp0,2 mín.800 MPa</x:v>
      </x:c>
      <x:c r="I821" s="37" t="str">
        <x:v>34CrNiMo6+QT; Rp0,2 mín.800 MPa, sección&lt;=100mm</x:v>
      </x:c>
      <x:c r="J821" t="str">
        <x:v>Cantidades por conjunto; no sumar como total de máquina.</x:v>
      </x:c>
    </x:row>
    <x:row r="822" ht="30" customHeight="1">
      <x:c r="A822" t="str">
        <x:v>TT10_C05_PC_12</x:v>
      </x:c>
      <x:c r="B822" t="str">
        <x:v>Bastidores de extracción de pasadores</x:v>
      </x:c>
      <x:c r="C822" t="n">
        <x:v>413</x:v>
      </x:c>
      <x:c r="D822" t="str">
        <x:v>TT10_PE_PLACA_F</x:v>
      </x:c>
      <x:c r="E822" t="n">
        <x:v>2</x:v>
      </x:c>
      <x:c r="F822" t="n">
        <x:v>2</x:v>
      </x:c>
      <x:c r="G822" t="str">
        <x:v>Fabricación</x:v>
      </x:c>
      <x:c r="H822" s="37" t="str">
        <x:v>Placa de bastidor160x160x12; D70;4D9 y4aliviosD42 abiertos en esquinas para tuercas existentes</x:v>
      </x:c>
      <x:c r="I822" s="37" t="str">
        <x:v>ASTM A36</x:v>
      </x:c>
      <x:c r="J822" t="str">
        <x:v>Cantidades por conjunto; no sumar como total de máquina.</x:v>
      </x:c>
    </x:row>
    <x:row r="823" ht="30" customHeight="1">
      <x:c r="A823" t="str">
        <x:v>TT10_C05_PC_12</x:v>
      </x:c>
      <x:c r="B823" t="str">
        <x:v>Bastidores de extracción de pasadores</x:v>
      </x:c>
      <x:c r="C823" t="n">
        <x:v>414</x:v>
      </x:c>
      <x:c r="D823" t="str">
        <x:v>TT10_PE_PLACA_R</x:v>
      </x:c>
      <x:c r="E823" t="n">
        <x:v>2</x:v>
      </x:c>
      <x:c r="F823" t="n">
        <x:v>2</x:v>
      </x:c>
      <x:c r="G823" t="str">
        <x:v>Fabricación</x:v>
      </x:c>
      <x:c r="H823" s="37" t="str">
        <x:v>Travesaño160x80x12; 2M10-6H pasantes en X±45; frentes soldados a largueros</x:v>
      </x:c>
      <x:c r="I823" s="37" t="str">
        <x:v>ASTM A36</x:v>
      </x:c>
      <x:c r="J823" t="str">
        <x:v>Cantidades por conjunto; no sumar como total de máquina.</x:v>
      </x:c>
    </x:row>
    <x:row r="824" ht="30" customHeight="1">
      <x:c r="A824" t="str">
        <x:v>TT10_C05_PC_12</x:v>
      </x:c>
      <x:c r="B824" t="str">
        <x:v>Bastidores de extracción de pasadores</x:v>
      </x:c>
      <x:c r="C824" t="n">
        <x:v>415</x:v>
      </x:c>
      <x:c r="D824" t="str">
        <x:v>TT10_PE_RETEN</x:v>
      </x:c>
      <x:c r="E824" t="n">
        <x:v>2</x:v>
      </x:c>
      <x:c r="F824" t="n">
        <x:v>2</x:v>
      </x:c>
      <x:c r="G824" t="str">
        <x:v>Fabricación</x:v>
      </x:c>
      <x:c r="H824" s="37" t="str">
        <x:v>Placa cautiva160x160x15: amplía paso aD68,4D22 original; añade4D9 en X±45 Z±30</x:v>
      </x:c>
      <x:c r="I824" s="37" t="str">
        <x:v>ASTM A36</x:v>
      </x:c>
      <x:c r="J824" t="str">
        <x:v>Cantidades por conjunto; no sumar como total de máquina.</x:v>
      </x:c>
    </x:row>
    <x:row r="825" ht="30" customHeight="1">
      <x:c r="A825" t="str">
        <x:v>TT10_C05_PC_12</x:v>
      </x:c>
      <x:c r="B825" t="str">
        <x:v>Bastidores de extracción de pasadores</x:v>
      </x:c>
      <x:c r="C825" t="n">
        <x:v>420</x:v>
      </x:c>
      <x:c r="D825" t="str">
        <x:v>TT10_PE_WEF</x:v>
      </x:c>
      <x:c r="E825" t="n">
        <x:v>2</x:v>
      </x:c>
      <x:c r="F825" t="n">
        <x:v>2</x:v>
      </x:c>
      <x:c r="G825" t="str">
        <x:v>Compra</x:v>
      </x:c>
      <x:c r="H825" s="37" t="str">
        <x:v>Arandela D12/d6.4/t1.6</x:v>
      </x:c>
      <x:c r="I825" s="37" t="str">
        <x:v>Arandela endurecida 300 HV / ISO 7089</x:v>
      </x:c>
      <x:c r="J825" t="str">
        <x:v>Cantidades por conjunto; no sumar como total de máquina.</x:v>
      </x:c>
    </x:row>
    <x:row r="826" ht="30" customHeight="1">
      <x:c r="A826" t="str">
        <x:v>TT10_C05_PC_12</x:v>
      </x:c>
      <x:c r="B826" t="str">
        <x:v>Bastidores de extracción de pasadores</x:v>
      </x:c>
      <x:c r="C826" t="n">
        <x:v>422</x:v>
      </x:c>
      <x:c r="D826" t="str">
        <x:v>TT10_PE_WF0</x:v>
      </x:c>
      <x:c r="E826" t="n">
        <x:v>2</x:v>
      </x:c>
      <x:c r="F826" t="n">
        <x:v>2</x:v>
      </x:c>
      <x:c r="G826" t="str">
        <x:v>Compra</x:v>
      </x:c>
      <x:c r="H826" s="37" t="str">
        <x:v>Arandela D20/d10.5/t2</x:v>
      </x:c>
      <x:c r="I826" s="37" t="str">
        <x:v>Arandela endurecida 300 HV / ISO 7089</x:v>
      </x:c>
      <x:c r="J826" t="str">
        <x:v>Cantidades por conjunto; no sumar como total de máquina.</x:v>
      </x:c>
    </x:row>
    <x:row r="827" ht="30" customHeight="1">
      <x:c r="A827" t="str">
        <x:v>TT10_C05_PC_12</x:v>
      </x:c>
      <x:c r="B827" t="str">
        <x:v>Bastidores de extracción de pasadores</x:v>
      </x:c>
      <x:c r="C827" t="n">
        <x:v>423</x:v>
      </x:c>
      <x:c r="D827" t="str">
        <x:v>TT10_PE_WF1</x:v>
      </x:c>
      <x:c r="E827" t="n">
        <x:v>2</x:v>
      </x:c>
      <x:c r="F827" t="n">
        <x:v>2</x:v>
      </x:c>
      <x:c r="G827" t="str">
        <x:v>Compra</x:v>
      </x:c>
      <x:c r="H827" s="37" t="str">
        <x:v>Arandela D20/d10.5/t2</x:v>
      </x:c>
      <x:c r="I827" s="37" t="str">
        <x:v>Arandela endurecida 300 HV / ISO 7089</x:v>
      </x:c>
      <x:c r="J827" t="str">
        <x:v>Cantidades por conjunto; no sumar como total de máquina.</x:v>
      </x:c>
    </x:row>
    <x:row r="828" ht="30" customHeight="1">
      <x:c r="A828" t="str">
        <x:v>TT10_C05_PC_13</x:v>
      </x:c>
      <x:c r="B828" t="str">
        <x:v>Pasadores de bloqueo y casquillos</x:v>
      </x:c>
      <x:c r="C828" t="n">
        <x:v>4</x:v>
      </x:c>
      <x:c r="D828" t="str">
        <x:v>TT10_BUJE_PIN_N</x:v>
      </x:c>
      <x:c r="E828" t="n">
        <x:v>1</x:v>
      </x:c>
      <x:c r="F828" t="n">
        <x:v>1</x:v>
      </x:c>
      <x:c r="G828" t="str">
        <x:v>Fabricación</x:v>
      </x:c>
      <x:c r="H828" s="37" t="str">
        <x:v>Casquillo CuSn12 Ø69 s6 / Ø65.5 H9 final, L85, C0.5 interiores</x:v>
      </x:c>
      <x:c r="I828" s="37" t="str">
        <x:v>CuSn12 / EN 1982</x:v>
      </x:c>
      <x:c r="J828" t="str">
        <x:v>Cantidades por conjunto; no sumar como total de máquina.</x:v>
      </x:c>
    </x:row>
    <x:row r="829" ht="30" customHeight="1">
      <x:c r="A829" t="str">
        <x:v>TT10_C05_PC_13</x:v>
      </x:c>
      <x:c r="B829" t="str">
        <x:v>Pasadores de bloqueo y casquillos</x:v>
      </x:c>
      <x:c r="C829" t="n">
        <x:v>5</x:v>
      </x:c>
      <x:c r="D829" t="str">
        <x:v>TT10_BUJE_PIN_P</x:v>
      </x:c>
      <x:c r="E829" t="n">
        <x:v>1</x:v>
      </x:c>
      <x:c r="F829" t="n">
        <x:v>1</x:v>
      </x:c>
      <x:c r="G829" t="str">
        <x:v>Fabricación</x:v>
      </x:c>
      <x:c r="H829" s="37" t="str">
        <x:v>Casquillo CuSn12 Ø69 s6 / Ø65.5 H9 final, L85, C0.5 interiores</x:v>
      </x:c>
      <x:c r="I829" s="37" t="str">
        <x:v>CuSn12 / EN 1982</x:v>
      </x:c>
      <x:c r="J829" t="str">
        <x:v>Cantidades por conjunto; no sumar como total de máquina.</x:v>
      </x:c>
    </x:row>
    <x:row r="830" ht="30" customHeight="1">
      <x:c r="A830" t="str">
        <x:v>TT10_C05_PC_13</x:v>
      </x:c>
      <x:c r="B830" t="str">
        <x:v>Pasadores de bloqueo y casquillos</x:v>
      </x:c>
      <x:c r="C830" t="n">
        <x:v>228</x:v>
      </x:c>
      <x:c r="D830" t="str">
        <x:v>TT10_F486</x:v>
      </x:c>
      <x:c r="E830" t="n">
        <x:v>1</x:v>
      </x:c>
      <x:c r="F830" t="n">
        <x:v>1</x:v>
      </x:c>
      <x:c r="G830" t="str">
        <x:v>Fabricación</x:v>
      </x:c>
      <x:c r="H830" s="37" t="str">
        <x:v>Oreja fija 400 x 250 x 40; agujero Ø65 H8; Strenx 700E</x:v>
      </x:c>
      <x:c r="I830" s="37" t="str">
        <x:v>Strenx700E t40; Rp0.2min700MPa</x:v>
      </x:c>
      <x:c r="J830" t="str">
        <x:v>Cantidades por conjunto; no sumar como total de máquina.</x:v>
      </x:c>
    </x:row>
    <x:row r="831" ht="30" customHeight="1">
      <x:c r="A831" t="str">
        <x:v>TT10_C05_PC_13</x:v>
      </x:c>
      <x:c r="B831" t="str">
        <x:v>Pasadores de bloqueo y casquillos</x:v>
      </x:c>
      <x:c r="C831" t="n">
        <x:v>230</x:v>
      </x:c>
      <x:c r="D831" t="str">
        <x:v>TT10_F501</x:v>
      </x:c>
      <x:c r="E831" t="n">
        <x:v>1</x:v>
      </x:c>
      <x:c r="F831" t="n">
        <x:v>1</x:v>
      </x:c>
      <x:c r="G831" t="str">
        <x:v>Fabricación</x:v>
      </x:c>
      <x:c r="H831" s="37" t="str">
        <x:v>Oreja fija 400 x 250 x 40; agujero Ø65 H8; Strenx 700E</x:v>
      </x:c>
      <x:c r="I831" s="37" t="str">
        <x:v>Strenx700E t40; Rp0.2min700MPa</x:v>
      </x:c>
      <x:c r="J831" t="str">
        <x:v>Cantidades por conjunto; no sumar como total de máquina.</x:v>
      </x:c>
    </x:row>
    <x:row r="832" ht="30" customHeight="1">
      <x:c r="A832" t="str">
        <x:v>TT10_C05_PC_13</x:v>
      </x:c>
      <x:c r="B832" t="str">
        <x:v>Pasadores de bloqueo y casquillos</x:v>
      </x:c>
      <x:c r="C832" t="n">
        <x:v>245</x:v>
      </x:c>
      <x:c r="D832" t="str">
        <x:v>TT10_F576</x:v>
      </x:c>
      <x:c r="E832" t="n">
        <x:v>1</x:v>
      </x:c>
      <x:c r="F832" t="n">
        <x:v>1</x:v>
      </x:c>
      <x:c r="G832" t="str">
        <x:v>Fabricación</x:v>
      </x:c>
      <x:c r="H832" s="37" t="str">
        <x:v>Oreja fija 400 x 250 x 40; agujero Ø65 H8; Strenx 700E</x:v>
      </x:c>
      <x:c r="I832" s="37" t="str">
        <x:v>Strenx700E t40; Rp0.2min700MPa</x:v>
      </x:c>
      <x:c r="J832" t="str">
        <x:v>Cantidades por conjunto; no sumar como total de máquina.</x:v>
      </x:c>
    </x:row>
    <x:row r="833" ht="30" customHeight="1">
      <x:c r="A833" t="str">
        <x:v>TT10_C05_PC_13</x:v>
      </x:c>
      <x:c r="B833" t="str">
        <x:v>Pasadores de bloqueo y casquillos</x:v>
      </x:c>
      <x:c r="C833" t="n">
        <x:v>247</x:v>
      </x:c>
      <x:c r="D833" t="str">
        <x:v>TT10_F586</x:v>
      </x:c>
      <x:c r="E833" t="n">
        <x:v>1</x:v>
      </x:c>
      <x:c r="F833" t="n">
        <x:v>1</x:v>
      </x:c>
      <x:c r="G833" t="str">
        <x:v>Fabricación</x:v>
      </x:c>
      <x:c r="H833" s="37" t="str">
        <x:v>Oreja fija 400 x 250 x 40; agujero Ø65 H8; Strenx 700E</x:v>
      </x:c>
      <x:c r="I833" s="37" t="str">
        <x:v>Strenx700E t40; Rp0.2min700MPa</x:v>
      </x:c>
      <x:c r="J833" t="str">
        <x:v>Cantidades por conjunto; no sumar como total de máquina.</x:v>
      </x:c>
    </x:row>
    <x:row r="834" ht="30" customHeight="1">
      <x:c r="A834" t="str">
        <x:v>TT10_C05_PC_13</x:v>
      </x:c>
      <x:c r="B834" t="str">
        <x:v>Pasadores de bloqueo y casquillos</x:v>
      </x:c>
      <x:c r="C834" t="n">
        <x:v>262</x:v>
      </x:c>
      <x:c r="D834" t="str">
        <x:v>TT10_GUIA_N</x:v>
      </x:c>
      <x:c r="E834" t="n">
        <x:v>1</x:v>
      </x:c>
      <x:c r="F834" t="n">
        <x:v>1</x:v>
      </x:c>
      <x:c r="G834" t="str">
        <x:v>Fabricación</x:v>
      </x:c>
      <x:c r="H834" s="37" t="str">
        <x:v>Guía con alojamiento Ø69 H7; casquillo69/65.5; fuera del camino resistente</x:v>
      </x:c>
      <x:c r="I834" s="37" t="str">
        <x:v>ASTM A36</x:v>
      </x:c>
      <x:c r="J834" t="str">
        <x:v>Cantidades por conjunto; no sumar como total de máquina.</x:v>
      </x:c>
    </x:row>
    <x:row r="835" ht="30" customHeight="1">
      <x:c r="A835" t="str">
        <x:v>TT10_C05_PC_13</x:v>
      </x:c>
      <x:c r="B835" t="str">
        <x:v>Pasadores de bloqueo y casquillos</x:v>
      </x:c>
      <x:c r="C835" t="n">
        <x:v>263</x:v>
      </x:c>
      <x:c r="D835" t="str">
        <x:v>TT10_GUIA_P</x:v>
      </x:c>
      <x:c r="E835" t="n">
        <x:v>1</x:v>
      </x:c>
      <x:c r="F835" t="n">
        <x:v>1</x:v>
      </x:c>
      <x:c r="G835" t="str">
        <x:v>Fabricación</x:v>
      </x:c>
      <x:c r="H835" s="37" t="str">
        <x:v>Guía con alojamiento Ø69 H7; casquillo69/65.5; fuera del camino resistente</x:v>
      </x:c>
      <x:c r="I835" s="37" t="str">
        <x:v>ASTM A36</x:v>
      </x:c>
      <x:c r="J835" t="str">
        <x:v>Cantidades por conjunto; no sumar como total de máquina.</x:v>
      </x:c>
    </x:row>
    <x:row r="836" ht="30" customHeight="1">
      <x:c r="A836" t="str">
        <x:v>TT10_C05_PC_13</x:v>
      </x:c>
      <x:c r="B836" t="str">
        <x:v>Pasadores de bloqueo y casquillos</x:v>
      </x:c>
      <x:c r="C836" t="n">
        <x:v>412</x:v>
      </x:c>
      <x:c r="D836" t="str">
        <x:v>TT10_PE_PIN</x:v>
      </x:c>
      <x:c r="E836" t="n">
        <x:v>2</x:v>
      </x:c>
      <x:c r="F836" t="n">
        <x:v>2</x:v>
      </x:c>
      <x:c r="G836" t="str">
        <x:v>Fabricación</x:v>
      </x:c>
      <x:c r="H836" s="37" t="str">
        <x:v>Pasador Ø65 f7 x 330; cabeza Ø90 x 15; R3; 34CrNiMo6+QT Rp0,2 mín.800 MPa</x:v>
      </x:c>
      <x:c r="I836" s="37" t="str">
        <x:v>34CrNiMo6+QT; Rp0,2 mín.800 MPa, sección&lt;=100mm</x:v>
      </x:c>
      <x:c r="J836" t="str">
        <x:v>Cantidades por conjunto; no sumar como total de máquina.</x:v>
      </x:c>
    </x:row>
    <x:row r="837" ht="30" customHeight="1">
      <x:c r="A837" t="str">
        <x:v>TT10_C05_PC_13</x:v>
      </x:c>
      <x:c r="B837" t="str">
        <x:v>Pasadores de bloqueo y casquillos</x:v>
      </x:c>
      <x:c r="C837" t="n">
        <x:v>415</x:v>
      </x:c>
      <x:c r="D837" t="str">
        <x:v>TT10_PE_RETEN</x:v>
      </x:c>
      <x:c r="E837" t="n">
        <x:v>2</x:v>
      </x:c>
      <x:c r="F837" t="n">
        <x:v>2</x:v>
      </x:c>
      <x:c r="G837" t="str">
        <x:v>Fabricación</x:v>
      </x:c>
      <x:c r="H837" s="37" t="str">
        <x:v>Placa cautiva160x160x15: amplía paso aD68,4D22 original; añade4D9 en X±45 Z±30</x:v>
      </x:c>
      <x:c r="I837" s="37" t="str">
        <x:v>ASTM A36</x:v>
      </x:c>
      <x:c r="J837" t="str">
        <x:v>Cantidades por conjunto; no sumar como total de máquina.</x:v>
      </x:c>
    </x:row>
    <x:row r="838" ht="30" customHeight="1">
      <x:c r="A838" t="str">
        <x:v>TT10_C05_PC_14</x:v>
      </x:c>
      <x:c r="B838" t="str">
        <x:v>Pestillos positivos y recuperación</x:v>
      </x:c>
      <x:c r="C838" t="n">
        <x:v>190</x:v>
      </x:c>
      <x:c r="D838" t="str">
        <x:v>TT10_D_PALANCA_PESTILLO_N</x:v>
      </x:c>
      <x:c r="E838" t="n">
        <x:v>1</x:v>
      </x:c>
      <x:c r="F838" t="n">
        <x:v>1</x:v>
      </x:c>
      <x:c r="G838" t="str">
        <x:v>Fabricación</x:v>
      </x:c>
      <x:c r="H838" s="37" t="str">
        <x:v>Palanca accesible de recuperación del pestillo por cable</x:v>
      </x:c>
      <x:c r="I838" s="37" t="str">
        <x:v>AISI 4140 bonificado</x:v>
      </x:c>
      <x:c r="J838" t="str">
        <x:v>Cantidades por conjunto; no sumar como total de máquina.</x:v>
      </x:c>
    </x:row>
    <x:row r="839" ht="30" customHeight="1">
      <x:c r="A839" t="str">
        <x:v>TT10_C05_PC_14</x:v>
      </x:c>
      <x:c r="B839" t="str">
        <x:v>Pestillos positivos y recuperación</x:v>
      </x:c>
      <x:c r="C839" t="n">
        <x:v>191</x:v>
      </x:c>
      <x:c r="D839" t="str">
        <x:v>TT10_D_PALANCA_PESTILLO_P</x:v>
      </x:c>
      <x:c r="E839" t="n">
        <x:v>1</x:v>
      </x:c>
      <x:c r="F839" t="n">
        <x:v>1</x:v>
      </x:c>
      <x:c r="G839" t="str">
        <x:v>Fabricación</x:v>
      </x:c>
      <x:c r="H839" s="37" t="str">
        <x:v>Palanca accesible de recuperación del pestillo por cable</x:v>
      </x:c>
      <x:c r="I839" s="37" t="str">
        <x:v>AISI 4140 bonificado</x:v>
      </x:c>
      <x:c r="J839" t="str">
        <x:v>Cantidades por conjunto; no sumar como total de máquina.</x:v>
      </x:c>
    </x:row>
    <x:row r="840" ht="30" customHeight="1">
      <x:c r="A840" t="str">
        <x:v>TT10_C05_PC_14</x:v>
      </x:c>
      <x:c r="B840" t="str">
        <x:v>Pestillos positivos y recuperación</x:v>
      </x:c>
      <x:c r="C840" t="n">
        <x:v>270</x:v>
      </x:c>
      <x:c r="D840" t="str">
        <x:v>TT10_LK_BC0</x:v>
      </x:c>
      <x:c r="E840" t="n">
        <x:v>2</x:v>
      </x:c>
      <x:c r="F840" t="n">
        <x:v>2</x:v>
      </x:c>
      <x:c r="G840" t="str">
        <x:v>Compra</x:v>
      </x:c>
      <x:c r="H840" s="37" t="str">
        <x:v>TornilloM6x258.8; cabeza nominal, fijador de rosca y apriete por montaje</x:v>
      </x:c>
      <x:c r="I840" s="37" t="str">
        <x:v>Clase 8.8 / ISO 898-1</x:v>
      </x:c>
      <x:c r="J840" t="str">
        <x:v>Cantidades por conjunto; no sumar como total de máquina.</x:v>
      </x:c>
    </x:row>
    <x:row r="841" ht="30" customHeight="1">
      <x:c r="A841" t="str">
        <x:v>TT10_C05_PC_14</x:v>
      </x:c>
      <x:c r="B841" t="str">
        <x:v>Pestillos positivos y recuperación</x:v>
      </x:c>
      <x:c r="C841" t="n">
        <x:v>271</x:v>
      </x:c>
      <x:c r="D841" t="str">
        <x:v>TT10_LK_BC1</x:v>
      </x:c>
      <x:c r="E841" t="n">
        <x:v>2</x:v>
      </x:c>
      <x:c r="F841" t="n">
        <x:v>2</x:v>
      </x:c>
      <x:c r="G841" t="str">
        <x:v>Compra</x:v>
      </x:c>
      <x:c r="H841" s="37" t="str">
        <x:v>TornilloM6x258.8; cabeza nominal, fijador de rosca y apriete por montaje</x:v>
      </x:c>
      <x:c r="I841" s="37" t="str">
        <x:v>Clase 8.8 / ISO 898-1</x:v>
      </x:c>
      <x:c r="J841" t="str">
        <x:v>Cantidades por conjunto; no sumar como total de máquina.</x:v>
      </x:c>
    </x:row>
    <x:row r="842" ht="30" customHeight="1">
      <x:c r="A842" t="str">
        <x:v>TT10_C05_PC_14</x:v>
      </x:c>
      <x:c r="B842" t="str">
        <x:v>Pestillos positivos y recuperación</x:v>
      </x:c>
      <x:c r="C842" t="n">
        <x:v>272</x:v>
      </x:c>
      <x:c r="D842" t="str">
        <x:v>TT10_LK_BC2</x:v>
      </x:c>
      <x:c r="E842" t="n">
        <x:v>2</x:v>
      </x:c>
      <x:c r="F842" t="n">
        <x:v>2</x:v>
      </x:c>
      <x:c r="G842" t="str">
        <x:v>Compra</x:v>
      </x:c>
      <x:c r="H842" s="37" t="str">
        <x:v>TornilloM6x258.8; cabeza nominal, fijador de rosca y apriete por montaje</x:v>
      </x:c>
      <x:c r="I842" s="37" t="str">
        <x:v>Clase 8.8 / ISO 898-1</x:v>
      </x:c>
      <x:c r="J842" t="str">
        <x:v>Cantidades por conjunto; no sumar como total de máquina.</x:v>
      </x:c>
    </x:row>
    <x:row r="843" ht="30" customHeight="1">
      <x:c r="A843" t="str">
        <x:v>TT10_C05_PC_14</x:v>
      </x:c>
      <x:c r="B843" t="str">
        <x:v>Pestillos positivos y recuperación</x:v>
      </x:c>
      <x:c r="C843" t="n">
        <x:v>273</x:v>
      </x:c>
      <x:c r="D843" t="str">
        <x:v>TT10_LK_BC3</x:v>
      </x:c>
      <x:c r="E843" t="n">
        <x:v>2</x:v>
      </x:c>
      <x:c r="F843" t="n">
        <x:v>2</x:v>
      </x:c>
      <x:c r="G843" t="str">
        <x:v>Compra</x:v>
      </x:c>
      <x:c r="H843" s="37" t="str">
        <x:v>TornilloM6x258.8; cabeza nominal, fijador de rosca y apriete por montaje</x:v>
      </x:c>
      <x:c r="I843" s="37" t="str">
        <x:v>Clase 8.8 / ISO 898-1</x:v>
      </x:c>
      <x:c r="J843" t="str">
        <x:v>Cantidades por conjunto; no sumar como total de máquina.</x:v>
      </x:c>
    </x:row>
    <x:row r="844" ht="30" customHeight="1">
      <x:c r="A844" t="str">
        <x:v>TT10_C05_PC_14</x:v>
      </x:c>
      <x:c r="B844" t="str">
        <x:v>Pestillos positivos y recuperación</x:v>
      </x:c>
      <x:c r="C844" t="n">
        <x:v>274</x:v>
      </x:c>
      <x:c r="D844" t="str">
        <x:v>TT10_LK_BL0</x:v>
      </x:c>
      <x:c r="E844" t="n">
        <x:v>2</x:v>
      </x:c>
      <x:c r="F844" t="n">
        <x:v>2</x:v>
      </x:c>
      <x:c r="G844" t="str">
        <x:v>Compra</x:v>
      </x:c>
      <x:c r="H844" s="37" t="str">
        <x:v>TornilloM6x908.8; cabeza nominal, fijador de rosca y apriete por montaje</x:v>
      </x:c>
      <x:c r="I844" s="37" t="str">
        <x:v>Clase 8.8 / ISO 898-1</x:v>
      </x:c>
      <x:c r="J844" t="str">
        <x:v>Cantidades por conjunto; no sumar como total de máquina.</x:v>
      </x:c>
    </x:row>
    <x:row r="845" ht="30" customHeight="1">
      <x:c r="A845" t="str">
        <x:v>TT10_C05_PC_14</x:v>
      </x:c>
      <x:c r="B845" t="str">
        <x:v>Pestillos positivos y recuperación</x:v>
      </x:c>
      <x:c r="C845" t="n">
        <x:v>275</x:v>
      </x:c>
      <x:c r="D845" t="str">
        <x:v>TT10_LK_BS0</x:v>
      </x:c>
      <x:c r="E845" t="n">
        <x:v>2</x:v>
      </x:c>
      <x:c r="F845" t="n">
        <x:v>2</x:v>
      </x:c>
      <x:c r="G845" t="str">
        <x:v>Compra</x:v>
      </x:c>
      <x:c r="H845" s="37" t="str">
        <x:v>TornilloM10x258.8; cabeza nominal, fijador de rosca y apriete por montaje</x:v>
      </x:c>
      <x:c r="I845" s="37" t="str">
        <x:v>Clase 8.8 / ISO 898-1</x:v>
      </x:c>
      <x:c r="J845" t="str">
        <x:v>Cantidades por conjunto; no sumar como total de máquina.</x:v>
      </x:c>
    </x:row>
    <x:row r="846" ht="30" customHeight="1">
      <x:c r="A846" t="str">
        <x:v>TT10_C05_PC_14</x:v>
      </x:c>
      <x:c r="B846" t="str">
        <x:v>Pestillos positivos y recuperación</x:v>
      </x:c>
      <x:c r="C846" t="n">
        <x:v>276</x:v>
      </x:c>
      <x:c r="D846" t="str">
        <x:v>TT10_LK_BS1</x:v>
      </x:c>
      <x:c r="E846" t="n">
        <x:v>2</x:v>
      </x:c>
      <x:c r="F846" t="n">
        <x:v>2</x:v>
      </x:c>
      <x:c r="G846" t="str">
        <x:v>Compra</x:v>
      </x:c>
      <x:c r="H846" s="37" t="str">
        <x:v>TornilloM10x258.8; cabeza nominal, fijador de rosca y apriete por montaje</x:v>
      </x:c>
      <x:c r="I846" s="37" t="str">
        <x:v>Clase 8.8 / ISO 898-1</x:v>
      </x:c>
      <x:c r="J846" t="str">
        <x:v>Cantidades por conjunto; no sumar como total de máquina.</x:v>
      </x:c>
    </x:row>
    <x:row r="847" ht="30" customHeight="1">
      <x:c r="A847" t="str">
        <x:v>TT10_C05_PC_14</x:v>
      </x:c>
      <x:c r="B847" t="str">
        <x:v>Pestillos positivos y recuperación</x:v>
      </x:c>
      <x:c r="C847" t="n">
        <x:v>277</x:v>
      </x:c>
      <x:c r="D847" t="str">
        <x:v>TT10_LK_BS2</x:v>
      </x:c>
      <x:c r="E847" t="n">
        <x:v>2</x:v>
      </x:c>
      <x:c r="F847" t="n">
        <x:v>2</x:v>
      </x:c>
      <x:c r="G847" t="str">
        <x:v>Compra</x:v>
      </x:c>
      <x:c r="H847" s="37" t="str">
        <x:v>TornilloM10x258.8; cabeza nominal, fijador de rosca y apriete por montaje</x:v>
      </x:c>
      <x:c r="I847" s="37" t="str">
        <x:v>Clase 8.8 / ISO 898-1</x:v>
      </x:c>
      <x:c r="J847" t="str">
        <x:v>Cantidades por conjunto; no sumar como total de máquina.</x:v>
      </x:c>
    </x:row>
    <x:row r="848" ht="30" customHeight="1">
      <x:c r="A848" t="str">
        <x:v>TT10_C05_PC_14</x:v>
      </x:c>
      <x:c r="B848" t="str">
        <x:v>Pestillos positivos y recuperación</x:v>
      </x:c>
      <x:c r="C848" t="n">
        <x:v>278</x:v>
      </x:c>
      <x:c r="D848" t="str">
        <x:v>TT10_LK_BS3</x:v>
      </x:c>
      <x:c r="E848" t="n">
        <x:v>2</x:v>
      </x:c>
      <x:c r="F848" t="n">
        <x:v>2</x:v>
      </x:c>
      <x:c r="G848" t="str">
        <x:v>Compra</x:v>
      </x:c>
      <x:c r="H848" s="37" t="str">
        <x:v>TornilloM10x258.8; cabeza nominal, fijador de rosca y apriete por montaje</x:v>
      </x:c>
      <x:c r="I848" s="37" t="str">
        <x:v>Clase 8.8 / ISO 898-1</x:v>
      </x:c>
      <x:c r="J848" t="str">
        <x:v>Cantidades por conjunto; no sumar como total de máquina.</x:v>
      </x:c>
    </x:row>
    <x:row r="849" ht="30" customHeight="1">
      <x:c r="A849" t="str">
        <x:v>TT10_C05_PC_14</x:v>
      </x:c>
      <x:c r="B849" t="str">
        <x:v>Pestillos positivos y recuperación</x:v>
      </x:c>
      <x:c r="C849" t="n">
        <x:v>279</x:v>
      </x:c>
      <x:c r="D849" t="str">
        <x:v>TT10_LK_BSE0</x:v>
      </x:c>
      <x:c r="E849" t="n">
        <x:v>2</x:v>
      </x:c>
      <x:c r="F849" t="n">
        <x:v>2</x:v>
      </x:c>
      <x:c r="G849" t="str">
        <x:v>Compra</x:v>
      </x:c>
      <x:c r="H849" s="37" t="str">
        <x:v>TornilloISO4762 M6x20 8.8;5.4mm de rosca en guia, fijador y apriete4Nm</x:v>
      </x:c>
      <x:c r="I849" s="37" t="str">
        <x:v>Clase 8.8 / ISO 898-1</x:v>
      </x:c>
      <x:c r="J849" t="str">
        <x:v>Cantidades por conjunto; no sumar como total de máquina.</x:v>
      </x:c>
    </x:row>
    <x:row r="850" ht="30" customHeight="1">
      <x:c r="A850" t="str">
        <x:v>TT10_C05_PC_14</x:v>
      </x:c>
      <x:c r="B850" t="str">
        <x:v>Pestillos positivos y recuperación</x:v>
      </x:c>
      <x:c r="C850" t="n">
        <x:v>280</x:v>
      </x:c>
      <x:c r="D850" t="str">
        <x:v>TT10_LK_BSE1</x:v>
      </x:c>
      <x:c r="E850" t="n">
        <x:v>2</x:v>
      </x:c>
      <x:c r="F850" t="n">
        <x:v>2</x:v>
      </x:c>
      <x:c r="G850" t="str">
        <x:v>Compra</x:v>
      </x:c>
      <x:c r="H850" s="37" t="str">
        <x:v>TornilloISO4762 M6x20 8.8;5.4mm de rosca en guia, fijador y apriete4Nm</x:v>
      </x:c>
      <x:c r="I850" s="37" t="str">
        <x:v>Clase 8.8 / ISO 898-1</x:v>
      </x:c>
      <x:c r="J850" t="str">
        <x:v>Cantidades por conjunto; no sumar como total de máquina.</x:v>
      </x:c>
    </x:row>
    <x:row r="851" ht="30" customHeight="1">
      <x:c r="A851" t="str">
        <x:v>TT10_C05_PC_14</x:v>
      </x:c>
      <x:c r="B851" t="str">
        <x:v>Pestillos positivos y recuperación</x:v>
      </x:c>
      <x:c r="C851" t="n">
        <x:v>281</x:v>
      </x:c>
      <x:c r="D851" t="str">
        <x:v>TT10_LK_GTCA100</x:v>
      </x:c>
      <x:c r="E851" t="n">
        <x:v>2</x:v>
      </x:c>
      <x:c r="F851" t="n">
        <x:v>2</x:v>
      </x:c>
      <x:c r="G851" t="str">
        <x:v>Compra</x:v>
      </x:c>
      <x:c r="H851" s="37" t="str">
        <x:v>Magnet-Schultz GTCA100X43A02,24V,S1: envolvente e interfaces publicadas; no CAD oficial</x:v>
      </x:c>
      <x:c r="I851" s="37" t="str">
        <x:v>Equipo comercial condicional; polvo desconocido</x:v>
      </x:c>
      <x:c r="J851" t="str">
        <x:v>Cantidades por conjunto; no sumar como total de máquina.</x:v>
      </x:c>
    </x:row>
    <x:row r="852" ht="30" customHeight="1">
      <x:c r="A852" t="str">
        <x:v>TT10_C05_PC_14</x:v>
      </x:c>
      <x:c r="B852" t="str">
        <x:v>Pestillos positivos y recuperación</x:v>
      </x:c>
      <x:c r="C852" t="n">
        <x:v>282</x:v>
      </x:c>
      <x:c r="D852" t="str">
        <x:v>TT10_LK_GUIA</x:v>
      </x:c>
      <x:c r="E852" t="n">
        <x:v>2</x:v>
      </x:c>
      <x:c r="F852" t="n">
        <x:v>2</x:v>
      </x:c>
      <x:c r="G852" t="str">
        <x:v>Fabricación</x:v>
      </x:c>
      <x:c r="H852" s="37" t="str">
        <x:v>Pestillo: guia abierta20.4x20.4, brazo25x42, pie80x12; asiento solenoide110/88</x:v>
      </x:c>
      <x:c r="I852" s="37" t="str">
        <x:v>ASTM A36</x:v>
      </x:c>
      <x:c r="J852" t="str">
        <x:v>Cantidades por conjunto; no sumar como total de máquina.</x:v>
      </x:c>
    </x:row>
    <x:row r="853" ht="30" customHeight="1">
      <x:c r="A853" t="str">
        <x:v>TT10_C05_PC_14</x:v>
      </x:c>
      <x:c r="B853" t="str">
        <x:v>Pestillos positivos y recuperación</x:v>
      </x:c>
      <x:c r="C853" t="n">
        <x:v>283</x:v>
      </x:c>
      <x:c r="D853" t="str">
        <x:v>TT10_LK_LAMINA</x:v>
      </x:c>
      <x:c r="E853" t="n">
        <x:v>2</x:v>
      </x:c>
      <x:c r="F853" t="n">
        <x:v>2</x:v>
      </x:c>
      <x:c r="G853" t="str">
        <x:v>Fabricación</x:v>
      </x:c>
      <x:c r="H853" s="37" t="str">
        <x:v>Resorte de lamina20x1.8, longitud activa330, precarga equivalente50mm; forma instalada; horquillaU R6.5, sin esquina interna recta</x:v>
      </x:c>
      <x:c r="I853" s="37" t="str">
        <x:v>51CrV4 templado/revenido; Rp0.2≥1000MPa,Rm≥1250MPa; superficie y fatiga por verificar</x:v>
      </x:c>
      <x:c r="J853" t="str">
        <x:v>Cantidades por conjunto; no sumar como total de máquina.</x:v>
      </x:c>
    </x:row>
    <x:row r="854" ht="30" customHeight="1">
      <x:c r="A854" t="str">
        <x:v>TT10_C05_PC_14</x:v>
      </x:c>
      <x:c r="B854" t="str">
        <x:v>Pestillos positivos y recuperación</x:v>
      </x:c>
      <x:c r="C854" t="n">
        <x:v>284</x:v>
      </x:c>
      <x:c r="D854" t="str">
        <x:v>TT10_LK_MORDAZA_LAMINA</x:v>
      </x:c>
      <x:c r="E854" t="n">
        <x:v>2</x:v>
      </x:c>
      <x:c r="F854" t="n">
        <x:v>2</x:v>
      </x:c>
      <x:c r="G854" t="str">
        <x:v>Fabricación</x:v>
      </x:c>
      <x:c r="H854" s="37" t="str">
        <x:v>Mordaza30x20x9.1 para resorte; no soldar ni taladrar zona activa de la lamina</x:v>
      </x:c>
      <x:c r="I854" s="37" t="str">
        <x:v>ASTM A36</x:v>
      </x:c>
      <x:c r="J854" t="str">
        <x:v>Cantidades por conjunto; no sumar como total de máquina.</x:v>
      </x:c>
    </x:row>
    <x:row r="855" ht="30" customHeight="1">
      <x:c r="A855" t="str">
        <x:v>TT10_C05_PC_14</x:v>
      </x:c>
      <x:c r="B855" t="str">
        <x:v>Pestillos positivos y recuperación</x:v>
      </x:c>
      <x:c r="C855" t="n">
        <x:v>285</x:v>
      </x:c>
      <x:c r="D855" t="str">
        <x:v>TT10_LK_NL0</x:v>
      </x:c>
      <x:c r="E855" t="n">
        <x:v>2</x:v>
      </x:c>
      <x:c r="F855" t="n">
        <x:v>2</x:v>
      </x:c>
      <x:c r="G855" t="str">
        <x:v>Compra</x:v>
      </x:c>
      <x:c r="H855" s="37" t="str">
        <x:v>TuercaM6clase8, retencion positiva segun montaje</x:v>
      </x:c>
      <x:c r="I855" s="37" t="str">
        <x:v>Tuerca clase 8 / ISO 898-2</x:v>
      </x:c>
      <x:c r="J855" t="str">
        <x:v>Cantidades por conjunto; no sumar como total de máquina.</x:v>
      </x:c>
    </x:row>
    <x:row r="856" ht="30" customHeight="1">
      <x:c r="A856" t="str">
        <x:v>TT10_C05_PC_14</x:v>
      </x:c>
      <x:c r="B856" t="str">
        <x:v>Pestillos positivos y recuperación</x:v>
      </x:c>
      <x:c r="C856" t="n">
        <x:v>286</x:v>
      </x:c>
      <x:c r="D856" t="str">
        <x:v>TT10_LK_NT</x:v>
      </x:c>
      <x:c r="E856" t="n">
        <x:v>2</x:v>
      </x:c>
      <x:c r="F856" t="n">
        <x:v>2</x:v>
      </x:c>
      <x:c r="G856" t="str">
        <x:v>Compra</x:v>
      </x:c>
      <x:c r="H856" s="37" t="str">
        <x:v>TuercaM6clase8, retencion positiva segun montaje</x:v>
      </x:c>
      <x:c r="I856" s="37" t="str">
        <x:v>Tuerca clase 8 / ISO 898-2</x:v>
      </x:c>
      <x:c r="J856" t="str">
        <x:v>Cantidades por conjunto; no sumar como total de máquina.</x:v>
      </x:c>
    </x:row>
    <x:row r="857" ht="30" customHeight="1">
      <x:c r="A857" t="str">
        <x:v>TT10_C05_PC_14</x:v>
      </x:c>
      <x:c r="B857" t="str">
        <x:v>Pestillos positivos y recuperación</x:v>
      </x:c>
      <x:c r="C857" t="n">
        <x:v>287</x:v>
      </x:c>
      <x:c r="D857" t="str">
        <x:v>TT10_LK_PESTILLO</x:v>
      </x:c>
      <x:c r="E857" t="n">
        <x:v>2</x:v>
      </x:c>
      <x:c r="F857" t="n">
        <x:v>2</x:v>
      </x:c>
      <x:c r="G857" t="str">
        <x:v>Fabricación</x:v>
      </x:c>
      <x:c r="H857" s="37" t="str">
        <x:v>Pestillo42CrMo4+QT, punta20x20, enganche radial nominal9mm, retirada25mm; M12 liberacion</x:v>
      </x:c>
      <x:c r="I857" s="37" t="str">
        <x:v>AISI 4140 bonificado</x:v>
      </x:c>
      <x:c r="J857" t="str">
        <x:v>Cantidades por conjunto; no sumar como total de máquina.</x:v>
      </x:c>
    </x:row>
    <x:row r="858" ht="30" customHeight="1">
      <x:c r="A858" t="str">
        <x:v>TT10_C05_PC_14</x:v>
      </x:c>
      <x:c r="B858" t="str">
        <x:v>Pestillos positivos y recuperación</x:v>
      </x:c>
      <x:c r="C858" t="n">
        <x:v>288</x:v>
      </x:c>
      <x:c r="D858" t="str">
        <x:v>TT10_LK_SENSOR</x:v>
      </x:c>
      <x:c r="E858" t="n">
        <x:v>2</x:v>
      </x:c>
      <x:c r="F858" t="n">
        <x:v>2</x:v>
      </x:c>
      <x:c r="G858" t="str">
        <x:v>Compra</x:v>
      </x:c>
      <x:c r="H858" s="37" t="str">
        <x:v>ifmIE5338: sensor ordinarioPNP de enganche; M8x1, cara Y22, entrehierro nominal1mm</x:v>
      </x:c>
      <x:c r="I858" s="37" t="str">
        <x:v>Sensor comercial; materiales según referencia OEM</x:v>
      </x:c>
      <x:c r="J858" t="str">
        <x:v>Cantidades por conjunto; no sumar como total de máquina.</x:v>
      </x:c>
    </x:row>
    <x:row r="859" ht="30" customHeight="1">
      <x:c r="A859" t="str">
        <x:v>TT10_C05_PC_14</x:v>
      </x:c>
      <x:c r="B859" t="str">
        <x:v>Pestillos positivos y recuperación</x:v>
      </x:c>
      <x:c r="C859" t="n">
        <x:v>289</x:v>
      </x:c>
      <x:c r="D859" t="str">
        <x:v>TT10_LK_SOP_SENSOR</x:v>
      </x:c>
      <x:c r="E859" t="n">
        <x:v>2</x:v>
      </x:c>
      <x:c r="F859" t="n">
        <x:v>2</x:v>
      </x:c>
      <x:c r="G859" t="str">
        <x:v>Fabricación</x:v>
      </x:c>
      <x:c r="H859" s="37" t="str">
        <x:v>Soporte desmontable: sensor a cara real del pestillo; dosM6x20, sin soldar a la guia</x:v>
      </x:c>
      <x:c r="I859" s="37" t="str">
        <x:v>ASTM A36</x:v>
      </x:c>
      <x:c r="J859" t="str">
        <x:v>Cantidades por conjunto; no sumar como total de máquina.</x:v>
      </x:c>
    </x:row>
    <x:row r="860" ht="30" customHeight="1">
      <x:c r="A860" t="str">
        <x:v>TT10_C05_PC_14</x:v>
      </x:c>
      <x:c r="B860" t="str">
        <x:v>Pestillos positivos y recuperación</x:v>
      </x:c>
      <x:c r="C860" t="n">
        <x:v>290</x:v>
      </x:c>
      <x:c r="D860" t="str">
        <x:v>TT10_LK_TAPA</x:v>
      </x:c>
      <x:c r="E860" t="n">
        <x:v>2</x:v>
      </x:c>
      <x:c r="F860" t="n">
        <x:v>2</x:v>
      </x:c>
      <x:c r="G860" t="str">
        <x:v>Compra</x:v>
      </x:c>
      <x:c r="H860" s="37" t="str">
        <x:v>Tapa de guia desmontable; tornillo de recorrido y fijaciones de tapa pendientes de comprobacion</x:v>
      </x:c>
      <x:c r="I860" s="37" t="str">
        <x:v>Clase 8.8 / ISO 898-1</x:v>
      </x:c>
      <x:c r="J860" t="str">
        <x:v>Cantidades por conjunto; no sumar como total de máquina.</x:v>
      </x:c>
    </x:row>
    <x:row r="861" ht="30" customHeight="1">
      <x:c r="A861" t="str">
        <x:v>TT10_C05_PC_14</x:v>
      </x:c>
      <x:c r="B861" t="str">
        <x:v>Pestillos positivos y recuperación</x:v>
      </x:c>
      <x:c r="C861" t="n">
        <x:v>291</x:v>
      </x:c>
      <x:c r="D861" t="str">
        <x:v>TT10_LK_TIRANTE</x:v>
      </x:c>
      <x:c r="E861" t="n">
        <x:v>2</x:v>
      </x:c>
      <x:c r="F861" t="n">
        <x:v>2</x:v>
      </x:c>
      <x:c r="G861" t="str">
        <x:v>Fabricación</x:v>
      </x:c>
      <x:c r="H861" s="37" t="str">
        <x:v>TiranteM12 nominal entre pestillo y solenoide; longitud ajustable, conexion OEM por verificar</x:v>
      </x:c>
      <x:c r="I861" s="37" t="str">
        <x:v>ASTM A36</x:v>
      </x:c>
      <x:c r="J861" t="str">
        <x:v>Cantidades por conjunto; no sumar como total de máquina.</x:v>
      </x:c>
    </x:row>
    <x:row r="862" ht="30" customHeight="1">
      <x:c r="A862" t="str">
        <x:v>TT10_C05_PC_14</x:v>
      </x:c>
      <x:c r="B862" t="str">
        <x:v>Pestillos positivos y recuperación</x:v>
      </x:c>
      <x:c r="C862" t="n">
        <x:v>292</x:v>
      </x:c>
      <x:c r="D862" t="str">
        <x:v>TT10_LK_TOPE</x:v>
      </x:c>
      <x:c r="E862" t="n">
        <x:v>2</x:v>
      </x:c>
      <x:c r="F862" t="n">
        <x:v>2</x:v>
      </x:c>
      <x:c r="G862" t="str">
        <x:v>Compra</x:v>
      </x:c>
      <x:c r="H862" s="37" t="str">
        <x:v>Tornillo de hombroD8, paso de recorrido; conexion roscada nominal pendiente de detalle</x:v>
      </x:c>
      <x:c r="I862" s="37" t="str">
        <x:v>Clase 10.9 / ISO 898-1</x:v>
      </x:c>
      <x:c r="J862" t="str">
        <x:v>Cantidades por conjunto; no sumar como total de máquina.</x:v>
      </x:c>
    </x:row>
    <x:row r="863" ht="30" customHeight="1">
      <x:c r="A863" t="str">
        <x:v>TT10_C05_PC_14</x:v>
      </x:c>
      <x:c r="B863" t="str">
        <x:v>Pestillos positivos y recuperación</x:v>
      </x:c>
      <x:c r="C863" t="n">
        <x:v>293</x:v>
      </x:c>
      <x:c r="D863" t="str">
        <x:v>TT10_LK_WC0</x:v>
      </x:c>
      <x:c r="E863" t="n">
        <x:v>2</x:v>
      </x:c>
      <x:c r="F863" t="n">
        <x:v>2</x:v>
      </x:c>
      <x:c r="G863" t="str">
        <x:v>Compra</x:v>
      </x:c>
      <x:c r="H863" s="37" t="str">
        <x:v>ArandelaD12/d6.4/t1.6</x:v>
      </x:c>
      <x:c r="I863" s="37" t="str">
        <x:v>Arandela endurecida 300 HV / ISO 7089</x:v>
      </x:c>
      <x:c r="J863" t="str">
        <x:v>Cantidades por conjunto; no sumar como total de máquina.</x:v>
      </x:c>
    </x:row>
    <x:row r="864" ht="30" customHeight="1">
      <x:c r="A864" t="str">
        <x:v>TT10_C05_PC_14</x:v>
      </x:c>
      <x:c r="B864" t="str">
        <x:v>Pestillos positivos y recuperación</x:v>
      </x:c>
      <x:c r="C864" t="n">
        <x:v>294</x:v>
      </x:c>
      <x:c r="D864" t="str">
        <x:v>TT10_LK_WC1</x:v>
      </x:c>
      <x:c r="E864" t="n">
        <x:v>2</x:v>
      </x:c>
      <x:c r="F864" t="n">
        <x:v>2</x:v>
      </x:c>
      <x:c r="G864" t="str">
        <x:v>Compra</x:v>
      </x:c>
      <x:c r="H864" s="37" t="str">
        <x:v>ArandelaD12/d6.4/t1.6</x:v>
      </x:c>
      <x:c r="I864" s="37" t="str">
        <x:v>Arandela endurecida 300 HV / ISO 7089</x:v>
      </x:c>
      <x:c r="J864" t="str">
        <x:v>Cantidades por conjunto; no sumar como total de máquina.</x:v>
      </x:c>
    </x:row>
    <x:row r="865" ht="30" customHeight="1">
      <x:c r="A865" t="str">
        <x:v>TT10_C05_PC_14</x:v>
      </x:c>
      <x:c r="B865" t="str">
        <x:v>Pestillos positivos y recuperación</x:v>
      </x:c>
      <x:c r="C865" t="n">
        <x:v>295</x:v>
      </x:c>
      <x:c r="D865" t="str">
        <x:v>TT10_LK_WC2</x:v>
      </x:c>
      <x:c r="E865" t="n">
        <x:v>2</x:v>
      </x:c>
      <x:c r="F865" t="n">
        <x:v>2</x:v>
      </x:c>
      <x:c r="G865" t="str">
        <x:v>Compra</x:v>
      </x:c>
      <x:c r="H865" s="37" t="str">
        <x:v>ArandelaD12/d6.4/t1.6</x:v>
      </x:c>
      <x:c r="I865" s="37" t="str">
        <x:v>Arandela endurecida 300 HV / ISO 7089</x:v>
      </x:c>
      <x:c r="J865" t="str">
        <x:v>Cantidades por conjunto; no sumar como total de máquina.</x:v>
      </x:c>
    </x:row>
    <x:row r="866" ht="30" customHeight="1">
      <x:c r="A866" t="str">
        <x:v>TT10_C05_PC_14</x:v>
      </x:c>
      <x:c r="B866" t="str">
        <x:v>Pestillos positivos y recuperación</x:v>
      </x:c>
      <x:c r="C866" t="n">
        <x:v>296</x:v>
      </x:c>
      <x:c r="D866" t="str">
        <x:v>TT10_LK_WC3</x:v>
      </x:c>
      <x:c r="E866" t="n">
        <x:v>2</x:v>
      </x:c>
      <x:c r="F866" t="n">
        <x:v>2</x:v>
      </x:c>
      <x:c r="G866" t="str">
        <x:v>Compra</x:v>
      </x:c>
      <x:c r="H866" s="37" t="str">
        <x:v>ArandelaD12/d6.4/t1.6</x:v>
      </x:c>
      <x:c r="I866" s="37" t="str">
        <x:v>Arandela endurecida 300 HV / ISO 7089</x:v>
      </x:c>
      <x:c r="J866" t="str">
        <x:v>Cantidades por conjunto; no sumar como total de máquina.</x:v>
      </x:c>
    </x:row>
    <x:row r="867" ht="30" customHeight="1">
      <x:c r="A867" t="str">
        <x:v>TT10_C05_PC_14</x:v>
      </x:c>
      <x:c r="B867" t="str">
        <x:v>Pestillos positivos y recuperación</x:v>
      </x:c>
      <x:c r="C867" t="n">
        <x:v>297</x:v>
      </x:c>
      <x:c r="D867" t="str">
        <x:v>TT10_LK_WL0</x:v>
      </x:c>
      <x:c r="E867" t="n">
        <x:v>2</x:v>
      </x:c>
      <x:c r="F867" t="n">
        <x:v>2</x:v>
      </x:c>
      <x:c r="G867" t="str">
        <x:v>Compra</x:v>
      </x:c>
      <x:c r="H867" s="37" t="str">
        <x:v>ArandelaD12/d6.4/t1.6</x:v>
      </x:c>
      <x:c r="I867" s="37" t="str">
        <x:v>Arandela endurecida 300 HV / ISO 7089</x:v>
      </x:c>
      <x:c r="J867" t="str">
        <x:v>Cantidades por conjunto; no sumar como total de máquina.</x:v>
      </x:c>
    </x:row>
    <x:row r="868" ht="30" customHeight="1">
      <x:c r="A868" t="str">
        <x:v>TT10_C05_PC_14</x:v>
      </x:c>
      <x:c r="B868" t="str">
        <x:v>Pestillos positivos y recuperación</x:v>
      </x:c>
      <x:c r="C868" t="n">
        <x:v>298</x:v>
      </x:c>
      <x:c r="D868" t="str">
        <x:v>TT10_LK_WS0</x:v>
      </x:c>
      <x:c r="E868" t="n">
        <x:v>2</x:v>
      </x:c>
      <x:c r="F868" t="n">
        <x:v>2</x:v>
      </x:c>
      <x:c r="G868" t="str">
        <x:v>Compra</x:v>
      </x:c>
      <x:c r="H868" s="37" t="str">
        <x:v>ArandelaD20/d10.5/t2</x:v>
      </x:c>
      <x:c r="I868" s="37" t="str">
        <x:v>Arandela endurecida 300 HV / ISO 7089</x:v>
      </x:c>
      <x:c r="J868" t="str">
        <x:v>Cantidades por conjunto; no sumar como total de máquina.</x:v>
      </x:c>
    </x:row>
    <x:row r="869" ht="30" customHeight="1">
      <x:c r="A869" t="str">
        <x:v>TT10_C05_PC_14</x:v>
      </x:c>
      <x:c r="B869" t="str">
        <x:v>Pestillos positivos y recuperación</x:v>
      </x:c>
      <x:c r="C869" t="n">
        <x:v>299</x:v>
      </x:c>
      <x:c r="D869" t="str">
        <x:v>TT10_LK_WS1</x:v>
      </x:c>
      <x:c r="E869" t="n">
        <x:v>2</x:v>
      </x:c>
      <x:c r="F869" t="n">
        <x:v>2</x:v>
      </x:c>
      <x:c r="G869" t="str">
        <x:v>Compra</x:v>
      </x:c>
      <x:c r="H869" s="37" t="str">
        <x:v>ArandelaD20/d10.5/t2</x:v>
      </x:c>
      <x:c r="I869" s="37" t="str">
        <x:v>Arandela endurecida 300 HV / ISO 7089</x:v>
      </x:c>
      <x:c r="J869" t="str">
        <x:v>Cantidades por conjunto; no sumar como total de máquina.</x:v>
      </x:c>
    </x:row>
    <x:row r="870" ht="30" customHeight="1">
      <x:c r="A870" t="str">
        <x:v>TT10_C05_PC_14</x:v>
      </x:c>
      <x:c r="B870" t="str">
        <x:v>Pestillos positivos y recuperación</x:v>
      </x:c>
      <x:c r="C870" t="n">
        <x:v>300</x:v>
      </x:c>
      <x:c r="D870" t="str">
        <x:v>TT10_LK_WS2</x:v>
      </x:c>
      <x:c r="E870" t="n">
        <x:v>2</x:v>
      </x:c>
      <x:c r="F870" t="n">
        <x:v>2</x:v>
      </x:c>
      <x:c r="G870" t="str">
        <x:v>Compra</x:v>
      </x:c>
      <x:c r="H870" s="37" t="str">
        <x:v>ArandelaD20/d10.5/t2</x:v>
      </x:c>
      <x:c r="I870" s="37" t="str">
        <x:v>Arandela endurecida 300 HV / ISO 7089</x:v>
      </x:c>
      <x:c r="J870" t="str">
        <x:v>Cantidades por conjunto; no sumar como total de máquina.</x:v>
      </x:c>
    </x:row>
    <x:row r="871" ht="30" customHeight="1">
      <x:c r="A871" t="str">
        <x:v>TT10_C05_PC_14</x:v>
      </x:c>
      <x:c r="B871" t="str">
        <x:v>Pestillos positivos y recuperación</x:v>
      </x:c>
      <x:c r="C871" t="n">
        <x:v>301</x:v>
      </x:c>
      <x:c r="D871" t="str">
        <x:v>TT10_LK_WS3</x:v>
      </x:c>
      <x:c r="E871" t="n">
        <x:v>2</x:v>
      </x:c>
      <x:c r="F871" t="n">
        <x:v>2</x:v>
      </x:c>
      <x:c r="G871" t="str">
        <x:v>Compra</x:v>
      </x:c>
      <x:c r="H871" s="37" t="str">
        <x:v>ArandelaD20/d10.5/t2</x:v>
      </x:c>
      <x:c r="I871" s="37" t="str">
        <x:v>Arandela endurecida 300 HV / ISO 7089</x:v>
      </x:c>
      <x:c r="J871" t="str">
        <x:v>Cantidades por conjunto; no sumar como total de máquina.</x:v>
      </x:c>
    </x:row>
    <x:row r="872" ht="30" customHeight="1">
      <x:c r="A872" t="str">
        <x:v>TT10_C05_PC_14</x:v>
      </x:c>
      <x:c r="B872" t="str">
        <x:v>Pestillos positivos y recuperación</x:v>
      </x:c>
      <x:c r="C872" t="n">
        <x:v>302</x:v>
      </x:c>
      <x:c r="D872" t="str">
        <x:v>TT10_LK_WSE0</x:v>
      </x:c>
      <x:c r="E872" t="n">
        <x:v>2</x:v>
      </x:c>
      <x:c r="F872" t="n">
        <x:v>2</x:v>
      </x:c>
      <x:c r="G872" t="str">
        <x:v>Compra</x:v>
      </x:c>
      <x:c r="H872" s="37" t="str">
        <x:v>ArandelaISO7089 M6 200HV</x:v>
      </x:c>
      <x:c r="I872" s="37" t="str">
        <x:v>Arandela endurecida 200 HV / ISO 7089</x:v>
      </x:c>
      <x:c r="J872" t="str">
        <x:v>Cantidades por conjunto; no sumar como total de máquina.</x:v>
      </x:c>
    </x:row>
    <x:row r="873" ht="30" customHeight="1">
      <x:c r="A873" t="str">
        <x:v>TT10_C05_PC_14</x:v>
      </x:c>
      <x:c r="B873" t="str">
        <x:v>Pestillos positivos y recuperación</x:v>
      </x:c>
      <x:c r="C873" t="n">
        <x:v>303</x:v>
      </x:c>
      <x:c r="D873" t="str">
        <x:v>TT10_LK_WSE1</x:v>
      </x:c>
      <x:c r="E873" t="n">
        <x:v>2</x:v>
      </x:c>
      <x:c r="F873" t="n">
        <x:v>2</x:v>
      </x:c>
      <x:c r="G873" t="str">
        <x:v>Compra</x:v>
      </x:c>
      <x:c r="H873" s="37" t="str">
        <x:v>ArandelaISO7089 M6 200HV</x:v>
      </x:c>
      <x:c r="I873" s="37" t="str">
        <x:v>Arandela endurecida 200 HV / ISO 7089</x:v>
      </x:c>
      <x:c r="J873" t="str">
        <x:v>Cantidades por conjunto; no sumar como total de máquina.</x:v>
      </x:c>
    </x:row>
    <x:row r="874" ht="30" customHeight="1">
      <x:c r="A874" t="str">
        <x:v>TT10_C05_PC_14</x:v>
      </x:c>
      <x:c r="B874" t="str">
        <x:v>Pestillos positivos y recuperación</x:v>
      </x:c>
      <x:c r="C874" t="n">
        <x:v>304</x:v>
      </x:c>
      <x:c r="D874" t="str">
        <x:v>TT10_LK_WT</x:v>
      </x:c>
      <x:c r="E874" t="n">
        <x:v>2</x:v>
      </x:c>
      <x:c r="F874" t="n">
        <x:v>2</x:v>
      </x:c>
      <x:c r="G874" t="str">
        <x:v>Compra</x:v>
      </x:c>
      <x:c r="H874" s="37" t="str">
        <x:v>ArandelaD12/d6.4/t1.6</x:v>
      </x:c>
      <x:c r="I874" s="37" t="str">
        <x:v>Arandela endurecida 300 HV / ISO 7089</x:v>
      </x:c>
      <x:c r="J874" t="str">
        <x:v>Cantidades por conjunto; no sumar como total de máquina.</x:v>
      </x:c>
    </x:row>
    <x:row r="875" ht="30" customHeight="1">
      <x:c r="A875" t="str">
        <x:v>TT10_C05_PC_15</x:v>
      </x:c>
      <x:c r="B875" t="str">
        <x:v>Soportes y regulación de detectores</x:v>
      </x:c>
      <x:c r="C875" t="n">
        <x:v>165</x:v>
      </x:c>
      <x:c r="D875" t="str">
        <x:v>TT10_D_BLANCO_PIN</x:v>
      </x:c>
      <x:c r="E875" t="n">
        <x:v>2</x:v>
      </x:c>
      <x:c r="F875" t="n">
        <x:v>2</x:v>
      </x:c>
      <x:c r="G875" t="str">
        <x:v>Fabricación</x:v>
      </x:c>
      <x:c r="H875" s="37" t="str">
        <x:v>Bandera de detección del pasador retirado</x:v>
      </x:c>
      <x:c r="I875" s="37" t="str">
        <x:v>ASTM A36</x:v>
      </x:c>
      <x:c r="J875" t="str">
        <x:v>Cantidades por conjunto; no sumar como total de máquina.</x:v>
      </x:c>
    </x:row>
    <x:row r="876" ht="30" customHeight="1">
      <x:c r="A876" t="str">
        <x:v>TT10_C05_PC_15</x:v>
      </x:c>
      <x:c r="B876" t="str">
        <x:v>Soportes y regulación de detectores</x:v>
      </x:c>
      <x:c r="C876" t="n">
        <x:v>214</x:v>
      </x:c>
      <x:c r="D876" t="str">
        <x:v>TT10_D_SENSOR_FRENO_N</x:v>
      </x:c>
      <x:c r="E876" t="n">
        <x:v>1</x:v>
      </x:c>
      <x:c r="F876" t="n">
        <x:v>1</x:v>
      </x:c>
      <x:c r="G876" t="str">
        <x:v>Compra</x:v>
      </x:c>
      <x:c r="H876" s="37" t="str">
        <x:v>Eje de conexión geométrica SENSOR_FRENO_N</x:v>
      </x:c>
      <x:c r="I876" s="37" t="str">
        <x:v>Sensor comercial; materiales según referencia OEM</x:v>
      </x:c>
      <x:c r="J876" t="str">
        <x:v>Cantidades por conjunto; no sumar como total de máquina.</x:v>
      </x:c>
    </x:row>
    <x:row r="877" ht="30" customHeight="1">
      <x:c r="A877" t="str">
        <x:v>TT10_C05_PC_15</x:v>
      </x:c>
      <x:c r="B877" t="str">
        <x:v>Soportes y regulación de detectores</x:v>
      </x:c>
      <x:c r="C877" t="n">
        <x:v>215</x:v>
      </x:c>
      <x:c r="D877" t="str">
        <x:v>TT10_D_SENSOR_FRENO_P</x:v>
      </x:c>
      <x:c r="E877" t="n">
        <x:v>1</x:v>
      </x:c>
      <x:c r="F877" t="n">
        <x:v>1</x:v>
      </x:c>
      <x:c r="G877" t="str">
        <x:v>Compra</x:v>
      </x:c>
      <x:c r="H877" s="37" t="str">
        <x:v>Eje de conexión geométrica SENSOR_FRENO_P</x:v>
      </x:c>
      <x:c r="I877" s="37" t="str">
        <x:v>Sensor comercial; materiales según referencia OEM</x:v>
      </x:c>
      <x:c r="J877" t="str">
        <x:v>Cantidades por conjunto; no sumar como total de máquina.</x:v>
      </x:c>
    </x:row>
    <x:row r="878" ht="30" customHeight="1">
      <x:c r="A878" t="str">
        <x:v>TT10_C05_PC_15</x:v>
      </x:c>
      <x:c r="B878" t="str">
        <x:v>Soportes y regulación de detectores</x:v>
      </x:c>
      <x:c r="C878" t="n">
        <x:v>288</x:v>
      </x:c>
      <x:c r="D878" t="str">
        <x:v>TT10_LK_SENSOR</x:v>
      </x:c>
      <x:c r="E878" t="n">
        <x:v>2</x:v>
      </x:c>
      <x:c r="F878" t="n">
        <x:v>2</x:v>
      </x:c>
      <x:c r="G878" t="str">
        <x:v>Compra</x:v>
      </x:c>
      <x:c r="H878" s="37" t="str">
        <x:v>ifmIE5338: sensor ordinarioPNP de enganche; M8x1, cara Y22, entrehierro nominal1mm</x:v>
      </x:c>
      <x:c r="I878" s="37" t="str">
        <x:v>Sensor comercial; materiales según referencia OEM</x:v>
      </x:c>
      <x:c r="J878" t="str">
        <x:v>Cantidades por conjunto; no sumar como total de máquina.</x:v>
      </x:c>
    </x:row>
    <x:row r="879" ht="30" customHeight="1">
      <x:c r="A879" t="str">
        <x:v>TT10_C05_PC_15</x:v>
      </x:c>
      <x:c r="B879" t="str">
        <x:v>Soportes y regulación de detectores</x:v>
      </x:c>
      <x:c r="C879" t="n">
        <x:v>432</x:v>
      </x:c>
      <x:c r="D879" t="str">
        <x:v>TT10_R6M_BRAZO_SENSOR_N_INSERTADO</x:v>
      </x:c>
      <x:c r="E879" t="n">
        <x:v>1</x:v>
      </x:c>
      <x:c r="F879" t="n">
        <x:v>1</x:v>
      </x:c>
      <x:c r="G879" t="str">
        <x:v>Fabricación</x:v>
      </x:c>
      <x:c r="H879" s="37" t="str">
        <x:v>Brazo fijo de detector; unión soldada a pie sobre larguero</x:v>
      </x:c>
      <x:c r="I879" s="37" t="str">
        <x:v>ASTM A36</x:v>
      </x:c>
      <x:c r="J879" t="str">
        <x:v>Cantidades por conjunto; no sumar como total de máquina.</x:v>
      </x:c>
    </x:row>
    <x:row r="880" ht="30" customHeight="1">
      <x:c r="A880" t="str">
        <x:v>TT10_C05_PC_15</x:v>
      </x:c>
      <x:c r="B880" t="str">
        <x:v>Soportes y regulación de detectores</x:v>
      </x:c>
      <x:c r="C880" t="n">
        <x:v>433</x:v>
      </x:c>
      <x:c r="D880" t="str">
        <x:v>TT10_R6M_BRAZO_SENSOR_N_RETIRADO</x:v>
      </x:c>
      <x:c r="E880" t="n">
        <x:v>1</x:v>
      </x:c>
      <x:c r="F880" t="n">
        <x:v>1</x:v>
      </x:c>
      <x:c r="G880" t="str">
        <x:v>Fabricación</x:v>
      </x:c>
      <x:c r="H880" s="37" t="str">
        <x:v>Brazo fijo de detector; unión soldada a pie sobre larguero</x:v>
      </x:c>
      <x:c r="I880" s="37" t="str">
        <x:v>ASTM A36</x:v>
      </x:c>
      <x:c r="J880" t="str">
        <x:v>Cantidades por conjunto; no sumar como total de máquina.</x:v>
      </x:c>
    </x:row>
    <x:row r="881" ht="30" customHeight="1">
      <x:c r="A881" t="str">
        <x:v>TT10_C05_PC_15</x:v>
      </x:c>
      <x:c r="B881" t="str">
        <x:v>Soportes y regulación de detectores</x:v>
      </x:c>
      <x:c r="C881" t="n">
        <x:v>434</x:v>
      </x:c>
      <x:c r="D881" t="str">
        <x:v>TT10_R6M_BRAZO_SENSOR_P_INSERTADO</x:v>
      </x:c>
      <x:c r="E881" t="n">
        <x:v>1</x:v>
      </x:c>
      <x:c r="F881" t="n">
        <x:v>1</x:v>
      </x:c>
      <x:c r="G881" t="str">
        <x:v>Fabricación</x:v>
      </x:c>
      <x:c r="H881" s="37" t="str">
        <x:v>Brazo fijo de detector; unión soldada a pie sobre larguero</x:v>
      </x:c>
      <x:c r="I881" s="37" t="str">
        <x:v>ASTM A36</x:v>
      </x:c>
      <x:c r="J881" t="str">
        <x:v>Cantidades por conjunto; no sumar como total de máquina.</x:v>
      </x:c>
    </x:row>
    <x:row r="882" ht="30" customHeight="1">
      <x:c r="A882" t="str">
        <x:v>TT10_C05_PC_15</x:v>
      </x:c>
      <x:c r="B882" t="str">
        <x:v>Soportes y regulación de detectores</x:v>
      </x:c>
      <x:c r="C882" t="n">
        <x:v>435</x:v>
      </x:c>
      <x:c r="D882" t="str">
        <x:v>TT10_R6M_BRAZO_SENSOR_P_RETIRADO</x:v>
      </x:c>
      <x:c r="E882" t="n">
        <x:v>1</x:v>
      </x:c>
      <x:c r="F882" t="n">
        <x:v>1</x:v>
      </x:c>
      <x:c r="G882" t="str">
        <x:v>Fabricación</x:v>
      </x:c>
      <x:c r="H882" s="37" t="str">
        <x:v>Brazo fijo de detector; unión soldada a pie sobre larguero</x:v>
      </x:c>
      <x:c r="I882" s="37" t="str">
        <x:v>ASTM A36</x:v>
      </x:c>
      <x:c r="J882" t="str">
        <x:v>Cantidades por conjunto; no sumar como total de máquina.</x:v>
      </x:c>
    </x:row>
    <x:row r="883" ht="30" customHeight="1">
      <x:c r="A883" t="str">
        <x:v>TT10_C05_PC_15</x:v>
      </x:c>
      <x:c r="B883" t="str">
        <x:v>Soportes y regulación de detectores</x:v>
      </x:c>
      <x:c r="C883" t="n">
        <x:v>438</x:v>
      </x:c>
      <x:c r="D883" t="str">
        <x:v>TT10_R6M_IE5338_N_INSERTADO</x:v>
      </x:c>
      <x:c r="E883" t="n">
        <x:v>1</x:v>
      </x:c>
      <x:c r="F883" t="n">
        <x:v>1</x:v>
      </x:c>
      <x:c r="G883" t="str">
        <x:v>Compra</x:v>
      </x:c>
      <x:c r="H883" s="37" t="str">
        <x:v>ifmIE5338,M8x1L40,SN3mm;N INSERTADO</x:v>
      </x:c>
      <x:c r="I883" s="37" t="str">
        <x:v>Conjunto comercial ifm</x:v>
      </x:c>
      <x:c r="J883" t="str">
        <x:v>Cantidades por conjunto; no sumar como total de máquina.</x:v>
      </x:c>
    </x:row>
    <x:row r="884" ht="30" customHeight="1">
      <x:c r="A884" t="str">
        <x:v>TT10_C05_PC_15</x:v>
      </x:c>
      <x:c r="B884" t="str">
        <x:v>Soportes y regulación de detectores</x:v>
      </x:c>
      <x:c r="C884" t="n">
        <x:v>439</x:v>
      </x:c>
      <x:c r="D884" t="str">
        <x:v>TT10_R6M_IE5338_N_RETIRADO</x:v>
      </x:c>
      <x:c r="E884" t="n">
        <x:v>1</x:v>
      </x:c>
      <x:c r="F884" t="n">
        <x:v>1</x:v>
      </x:c>
      <x:c r="G884" t="str">
        <x:v>Compra</x:v>
      </x:c>
      <x:c r="H884" s="37" t="str">
        <x:v>ifmIE5338,M8x1L40,SN3mm;N RETIRADO</x:v>
      </x:c>
      <x:c r="I884" s="37" t="str">
        <x:v>Conjunto comercial ifm</x:v>
      </x:c>
      <x:c r="J884" t="str">
        <x:v>Cantidades por conjunto; no sumar como total de máquina.</x:v>
      </x:c>
    </x:row>
    <x:row r="885" ht="30" customHeight="1">
      <x:c r="A885" t="str">
        <x:v>TT10_C05_PC_15</x:v>
      </x:c>
      <x:c r="B885" t="str">
        <x:v>Soportes y regulación de detectores</x:v>
      </x:c>
      <x:c r="C885" t="n">
        <x:v>440</x:v>
      </x:c>
      <x:c r="D885" t="str">
        <x:v>TT10_R6M_IE5338_P_INSERTADO</x:v>
      </x:c>
      <x:c r="E885" t="n">
        <x:v>1</x:v>
      </x:c>
      <x:c r="F885" t="n">
        <x:v>1</x:v>
      </x:c>
      <x:c r="G885" t="str">
        <x:v>Compra</x:v>
      </x:c>
      <x:c r="H885" s="37" t="str">
        <x:v>ifmIE5338,M8x1L40,SN3mm;P INSERTADO</x:v>
      </x:c>
      <x:c r="I885" s="37" t="str">
        <x:v>Conjunto comercial ifm</x:v>
      </x:c>
      <x:c r="J885" t="str">
        <x:v>Cantidades por conjunto; no sumar como total de máquina.</x:v>
      </x:c>
    </x:row>
    <x:row r="886" ht="30" customHeight="1">
      <x:c r="A886" t="str">
        <x:v>TT10_C05_PC_15</x:v>
      </x:c>
      <x:c r="B886" t="str">
        <x:v>Soportes y regulación de detectores</x:v>
      </x:c>
      <x:c r="C886" t="n">
        <x:v>441</x:v>
      </x:c>
      <x:c r="D886" t="str">
        <x:v>TT10_R6M_IE5338_P_RETIRADO</x:v>
      </x:c>
      <x:c r="E886" t="n">
        <x:v>1</x:v>
      </x:c>
      <x:c r="F886" t="n">
        <x:v>1</x:v>
      </x:c>
      <x:c r="G886" t="str">
        <x:v>Compra</x:v>
      </x:c>
      <x:c r="H886" s="37" t="str">
        <x:v>ifmIE5338,M8x1L40,SN3mm;P RETIRADO</x:v>
      </x:c>
      <x:c r="I886" s="37" t="str">
        <x:v>Conjunto comercial ifm</x:v>
      </x:c>
      <x:c r="J886" t="str">
        <x:v>Cantidades por conjunto; no sumar como total de máquina.</x:v>
      </x:c>
    </x:row>
    <x:row r="887" ht="30" customHeight="1">
      <x:c r="A887" t="str">
        <x:v>TT10_C05_PC_15</x:v>
      </x:c>
      <x:c r="B887" t="str">
        <x:v>Soportes y regulación de detectores</x:v>
      </x:c>
      <x:c r="C887" t="n">
        <x:v>444</x:v>
      </x:c>
      <x:c r="D887" t="str">
        <x:v>TT10_R6M_PIE_SENSORES_N</x:v>
      </x:c>
      <x:c r="E887" t="n">
        <x:v>1</x:v>
      </x:c>
      <x:c r="F887" t="n">
        <x:v>1</x:v>
      </x:c>
      <x:c r="G887" t="str">
        <x:v>Fabricación</x:v>
      </x:c>
      <x:c r="H887" s="37" t="str">
        <x:v>Pie12 sobre cara superior del larguero; soldadura a3,20mm por ambas caras</x:v>
      </x:c>
      <x:c r="I887" s="37" t="str">
        <x:v>ASTM A36</x:v>
      </x:c>
      <x:c r="J887" t="str">
        <x:v>Cantidades por conjunto; no sumar como total de máquina.</x:v>
      </x:c>
    </x:row>
    <x:row r="888" ht="30" customHeight="1">
      <x:c r="A888" t="str">
        <x:v>TT10_C05_PC_15</x:v>
      </x:c>
      <x:c r="B888" t="str">
        <x:v>Soportes y regulación de detectores</x:v>
      </x:c>
      <x:c r="C888" t="n">
        <x:v>445</x:v>
      </x:c>
      <x:c r="D888" t="str">
        <x:v>TT10_R6M_PIE_SENSORES_P</x:v>
      </x:c>
      <x:c r="E888" t="n">
        <x:v>1</x:v>
      </x:c>
      <x:c r="F888" t="n">
        <x:v>1</x:v>
      </x:c>
      <x:c r="G888" t="str">
        <x:v>Fabricación</x:v>
      </x:c>
      <x:c r="H888" s="37" t="str">
        <x:v>Pie12 sobre cara superior del larguero; soldadura a3,20mm por ambas caras</x:v>
      </x:c>
      <x:c r="I888" s="37" t="str">
        <x:v>ASTM A36</x:v>
      </x:c>
      <x:c r="J888" t="str">
        <x:v>Cantidades por conjunto; no sumar como total de máquina.</x:v>
      </x:c>
    </x:row>
    <x:row r="889" ht="30" customHeight="1">
      <x:c r="A889" t="str">
        <x:v>TT10_C05_PC_15</x:v>
      </x:c>
      <x:c r="B889" t="str">
        <x:v>Soportes y regulación de detectores</x:v>
      </x:c>
      <x:c r="C889" t="n">
        <x:v>447</x:v>
      </x:c>
      <x:c r="D889" t="str">
        <x:v>TT10_R6M_SOP_SENSOR_N_INSERTADO</x:v>
      </x:c>
      <x:c r="E889" t="n">
        <x:v>1</x:v>
      </x:c>
      <x:c r="F889" t="n">
        <x:v>1</x:v>
      </x:c>
      <x:c r="G889" t="str">
        <x:v>Fabricación</x:v>
      </x:c>
      <x:c r="H889" s="37" t="str">
        <x:v>Escuadra6;taladroØ8.5 para sensorM8;frente de detección a1mm del blanco</x:v>
      </x:c>
      <x:c r="I889" s="37" t="str">
        <x:v>ASTM A36</x:v>
      </x:c>
      <x:c r="J889" t="str">
        <x:v>Cantidades por conjunto; no sumar como total de máquina.</x:v>
      </x:c>
    </x:row>
    <x:row r="890" ht="30" customHeight="1">
      <x:c r="A890" t="str">
        <x:v>TT10_C05_PC_15</x:v>
      </x:c>
      <x:c r="B890" t="str">
        <x:v>Soportes y regulación de detectores</x:v>
      </x:c>
      <x:c r="C890" t="n">
        <x:v>448</x:v>
      </x:c>
      <x:c r="D890" t="str">
        <x:v>TT10_R6M_SOP_SENSOR_N_RETIRADO</x:v>
      </x:c>
      <x:c r="E890" t="n">
        <x:v>1</x:v>
      </x:c>
      <x:c r="F890" t="n">
        <x:v>1</x:v>
      </x:c>
      <x:c r="G890" t="str">
        <x:v>Fabricación</x:v>
      </x:c>
      <x:c r="H890" s="37" t="str">
        <x:v>Escuadra6;taladroØ8.5 para sensorM8;frente de detección a1mm del blanco</x:v>
      </x:c>
      <x:c r="I890" s="37" t="str">
        <x:v>ASTM A36</x:v>
      </x:c>
      <x:c r="J890" t="str">
        <x:v>Cantidades por conjunto; no sumar como total de máquina.</x:v>
      </x:c>
    </x:row>
    <x:row r="891" ht="30" customHeight="1">
      <x:c r="A891" t="str">
        <x:v>TT10_C05_PC_15</x:v>
      </x:c>
      <x:c r="B891" t="str">
        <x:v>Soportes y regulación de detectores</x:v>
      </x:c>
      <x:c r="C891" t="n">
        <x:v>449</x:v>
      </x:c>
      <x:c r="D891" t="str">
        <x:v>TT10_R6M_SOP_SENSOR_P_INSERTADO</x:v>
      </x:c>
      <x:c r="E891" t="n">
        <x:v>1</x:v>
      </x:c>
      <x:c r="F891" t="n">
        <x:v>1</x:v>
      </x:c>
      <x:c r="G891" t="str">
        <x:v>Fabricación</x:v>
      </x:c>
      <x:c r="H891" s="37" t="str">
        <x:v>Escuadra6;taladroØ8.5 para sensorM8;frente de detección a1mm del blanco</x:v>
      </x:c>
      <x:c r="I891" s="37" t="str">
        <x:v>ASTM A36</x:v>
      </x:c>
      <x:c r="J891" t="str">
        <x:v>Cantidades por conjunto; no sumar como total de máquina.</x:v>
      </x:c>
    </x:row>
    <x:row r="892" ht="30" customHeight="1">
      <x:c r="A892" t="str">
        <x:v>TT10_C05_PC_15</x:v>
      </x:c>
      <x:c r="B892" t="str">
        <x:v>Soportes y regulación de detectores</x:v>
      </x:c>
      <x:c r="C892" t="n">
        <x:v>450</x:v>
      </x:c>
      <x:c r="D892" t="str">
        <x:v>TT10_R6M_SOP_SENSOR_P_RETIRADO</x:v>
      </x:c>
      <x:c r="E892" t="n">
        <x:v>1</x:v>
      </x:c>
      <x:c r="F892" t="n">
        <x:v>1</x:v>
      </x:c>
      <x:c r="G892" t="str">
        <x:v>Fabricación</x:v>
      </x:c>
      <x:c r="H892" s="37" t="str">
        <x:v>Escuadra6;taladroØ8.5 para sensorM8;frente de detección a1mm del blanco</x:v>
      </x:c>
      <x:c r="I892" s="37" t="str">
        <x:v>ASTM A36</x:v>
      </x:c>
      <x:c r="J892" t="str">
        <x:v>Cantidades por conjunto; no sumar como total de máquina.</x:v>
      </x:c>
    </x:row>
    <x:row r="893" ht="30" customHeight="1">
      <x:c r="A893" t="str">
        <x:v>TT10_C05_PC_15</x:v>
      </x:c>
      <x:c r="B893" t="str">
        <x:v>Soportes y regulación de detectores</x:v>
      </x:c>
      <x:c r="C893" t="n">
        <x:v>451</x:v>
      </x:c>
      <x:c r="D893" t="str">
        <x:v>TT10_SEN_B6_P0</x:v>
      </x:c>
      <x:c r="E893" t="n">
        <x:v>4</x:v>
      </x:c>
      <x:c r="F893" t="n">
        <x:v>4</x:v>
      </x:c>
      <x:c r="G893" t="str">
        <x:v>Compra</x:v>
      </x:c>
      <x:c r="H893" s="37" t="str">
        <x:v>Tornillo ISO4762 M6x16 8.8, cabeza D10 H6, hexágono5; rosca nominal</x:v>
      </x:c>
      <x:c r="I893" s="37" t="str">
        <x:v>Clase 8.8 / ISO 898-1</x:v>
      </x:c>
      <x:c r="J893" t="str">
        <x:v>Cantidades por conjunto; no sumar como total de máquina.</x:v>
      </x:c>
    </x:row>
    <x:row r="894" ht="30" customHeight="1">
      <x:c r="A894" t="str">
        <x:v>TT10_C05_PC_15</x:v>
      </x:c>
      <x:c r="B894" t="str">
        <x:v>Soportes y regulación de detectores</x:v>
      </x:c>
      <x:c r="C894" t="n">
        <x:v>452</x:v>
      </x:c>
      <x:c r="D894" t="str">
        <x:v>TT10_SEN_P_IN</x:v>
      </x:c>
      <x:c r="E894" t="n">
        <x:v>4</x:v>
      </x:c>
      <x:c r="F894" t="n">
        <x:v>4</x:v>
      </x:c>
      <x:c r="G894" t="str">
        <x:v>Compra</x:v>
      </x:c>
      <x:c r="H894" s="37" t="str">
        <x:v>IFM IE5338 M8x1 L40, Sn3, NO PNP/NPN, 10-30VDC; incluye dos contratuercas</x:v>
      </x:c>
      <x:c r="I894" s="37" t="str">
        <x:v>Conjunto comercial IFM; latón y polímeros</x:v>
      </x:c>
      <x:c r="J894" t="str">
        <x:v>Cantidades por conjunto; no sumar como total de máquina.</x:v>
      </x:c>
    </x:row>
    <x:row r="895" ht="30" customHeight="1">
      <x:c r="A895" t="str">
        <x:v>TT10_C05_PC_15</x:v>
      </x:c>
      <x:c r="B895" t="str">
        <x:v>Soportes y regulación de detectores</x:v>
      </x:c>
      <x:c r="C895" t="n">
        <x:v>453</x:v>
      </x:c>
      <x:c r="D895" t="str">
        <x:v>TT10_SEN_SOP_P</x:v>
      </x:c>
      <x:c r="E895" t="n">
        <x:v>2</x:v>
      </x:c>
      <x:c r="F895" t="n">
        <x:v>2</x:v>
      </x:c>
      <x:c r="G895" t="str">
        <x:v>Fabricación</x:v>
      </x:c>
      <x:c r="H895" s="37" t="str">
        <x:v>Soporte soldado desmontable: carril6x40x229 y pie4x40x16.5; dos M6x16; dos D8.5</x:v>
      </x:c>
      <x:c r="I895" s="37" t="str">
        <x:v>ASTM A36</x:v>
      </x:c>
      <x:c r="J895" t="str">
        <x:v>Cantidades por conjunto; no sumar como total de máquina.</x:v>
      </x:c>
    </x:row>
    <x:row r="896" ht="30" customHeight="1">
      <x:c r="A896" t="str">
        <x:v>TT10_C05_PC_16</x:v>
      </x:c>
      <x:c r="B896" t="str">
        <x:v>Tensor de cadena y puesto manual</x:v>
      </x:c>
      <x:c r="C896" t="n">
        <x:v>40</x:v>
      </x:c>
      <x:c r="D896" t="str">
        <x:v>TT10_C04_BANCADA</x:v>
      </x:c>
      <x:c r="E896" t="n">
        <x:v>1</x:v>
      </x:c>
      <x:c r="F896" t="n">
        <x:v>1</x:v>
      </x:c>
      <x:c r="G896" t="str">
        <x:v>Fabricación</x:v>
      </x:c>
      <x:c r="H896" s="37" t="str">
        <x:v>Bancada215x200x20, sobre poste corto; soldaduraa3</x:v>
      </x:c>
      <x:c r="I896" s="37" t="str">
        <x:v>ASTM A36</x:v>
      </x:c>
      <x:c r="J896" t="str">
        <x:v>Cantidades por conjunto; no sumar como total de máquina.</x:v>
      </x:c>
    </x:row>
    <x:row r="897" ht="30" customHeight="1">
      <x:c r="A897" t="str">
        <x:v>TT10_C05_PC_16</x:v>
      </x:c>
      <x:c r="B897" t="str">
        <x:v>Tensor de cadena y puesto manual</x:v>
      </x:c>
      <x:c r="C897" t="n">
        <x:v>41</x:v>
      </x:c>
      <x:c r="D897" t="str">
        <x:v>TT10_C04_CARTELA_0</x:v>
      </x:c>
      <x:c r="E897" t="n">
        <x:v>1</x:v>
      </x:c>
      <x:c r="F897" t="n">
        <x:v>1</x:v>
      </x:c>
      <x:c r="G897" t="str">
        <x:v>Fabricación</x:v>
      </x:c>
      <x:c r="H897" s="37" t="str">
        <x:v>Cartela12,165x55, a3 continuo a placa y poste</x:v>
      </x:c>
      <x:c r="I897" s="37" t="str">
        <x:v>ASTM A36</x:v>
      </x:c>
      <x:c r="J897" t="str">
        <x:v>Cantidades por conjunto; no sumar como total de máquina.</x:v>
      </x:c>
    </x:row>
    <x:row r="898" ht="30" customHeight="1">
      <x:c r="A898" t="str">
        <x:v>TT10_C05_PC_16</x:v>
      </x:c>
      <x:c r="B898" t="str">
        <x:v>Tensor de cadena y puesto manual</x:v>
      </x:c>
      <x:c r="C898" t="n">
        <x:v>42</x:v>
      </x:c>
      <x:c r="D898" t="str">
        <x:v>TT10_C04_CARTELA_1</x:v>
      </x:c>
      <x:c r="E898" t="n">
        <x:v>1</x:v>
      </x:c>
      <x:c r="F898" t="n">
        <x:v>1</x:v>
      </x:c>
      <x:c r="G898" t="str">
        <x:v>Fabricación</x:v>
      </x:c>
      <x:c r="H898" s="37" t="str">
        <x:v>Cartela12,165x55, a3 continuo a placa y poste</x:v>
      </x:c>
      <x:c r="I898" s="37" t="str">
        <x:v>ASTM A36</x:v>
      </x:c>
      <x:c r="J898" t="str">
        <x:v>Cantidades por conjunto; no sumar como total de máquina.</x:v>
      </x:c>
    </x:row>
    <x:row r="899" ht="30" customHeight="1">
      <x:c r="A899" t="str">
        <x:v>TT10_C05_PC_16</x:v>
      </x:c>
      <x:c r="B899" t="str">
        <x:v>Tensor de cadena y puesto manual</x:v>
      </x:c>
      <x:c r="C899" t="n">
        <x:v>79</x:v>
      </x:c>
      <x:c r="D899" t="str">
        <x:v>TT10_C04_TRAVESANO</x:v>
      </x:c>
      <x:c r="E899" t="n">
        <x:v>1</x:v>
      </x:c>
      <x:c r="F899" t="n">
        <x:v>1</x:v>
      </x:c>
      <x:c r="G899" t="str">
        <x:v>Fabricación</x:v>
      </x:c>
      <x:c r="H899" s="37" t="str">
        <x:v>RHS100x50x5,L230; une los dos postes del puesto manual, a3</x:v>
      </x:c>
      <x:c r="I899" s="37" t="str">
        <x:v>S275J0H / EN 10219-1</x:v>
      </x:c>
      <x:c r="J899" t="str">
        <x:v>Cantidades por conjunto; no sumar como total de máquina.</x:v>
      </x:c>
    </x:row>
    <x:row r="900" ht="30" customHeight="1">
      <x:c r="A900" t="str">
        <x:v>TT10_C05_PC_16</x:v>
      </x:c>
      <x:c r="B900" t="str">
        <x:v>Tensor de cadena y puesto manual</x:v>
      </x:c>
      <x:c r="C900" t="n">
        <x:v>80</x:v>
      </x:c>
      <x:c r="D900" t="str">
        <x:v>TT10_C05_ARANDELA_TENSOR_0</x:v>
      </x:c>
      <x:c r="E900" t="n">
        <x:v>1</x:v>
      </x:c>
      <x:c r="F900" t="n">
        <x:v>1</x:v>
      </x:c>
      <x:c r="G900" t="str">
        <x:v>Compra</x:v>
      </x:c>
      <x:c r="H900" s="37" t="str">
        <x:v>Arandela puente44x21x4, endurecida, cubre ranura22</x:v>
      </x:c>
      <x:c r="I900" s="37" t="str">
        <x:v>Arandela endurecida 300 HV / ISO 7089</x:v>
      </x:c>
      <x:c r="J900" t="str">
        <x:v>Cantidades por conjunto; no sumar como total de máquina.</x:v>
      </x:c>
    </x:row>
    <x:row r="901" ht="30" customHeight="1">
      <x:c r="A901" t="str">
        <x:v>TT10_C05_PC_16</x:v>
      </x:c>
      <x:c r="B901" t="str">
        <x:v>Tensor de cadena y puesto manual</x:v>
      </x:c>
      <x:c r="C901" t="n">
        <x:v>81</x:v>
      </x:c>
      <x:c r="D901" t="str">
        <x:v>TT10_C05_ARANDELA_TENSOR_1</x:v>
      </x:c>
      <x:c r="E901" t="n">
        <x:v>1</x:v>
      </x:c>
      <x:c r="F901" t="n">
        <x:v>1</x:v>
      </x:c>
      <x:c r="G901" t="str">
        <x:v>Compra</x:v>
      </x:c>
      <x:c r="H901" s="37" t="str">
        <x:v>Arandela puente44x21x4, endurecida, cubre ranura22</x:v>
      </x:c>
      <x:c r="I901" s="37" t="str">
        <x:v>Arandela endurecida 300 HV / ISO 7089</x:v>
      </x:c>
      <x:c r="J901" t="str">
        <x:v>Cantidades por conjunto; no sumar como total de máquina.</x:v>
      </x:c>
    </x:row>
    <x:row r="902" ht="30" customHeight="1">
      <x:c r="A902" t="str">
        <x:v>TT10_C05_PC_16</x:v>
      </x:c>
      <x:c r="B902" t="str">
        <x:v>Tensor de cadena y puesto manual</x:v>
      </x:c>
      <x:c r="C902" t="n">
        <x:v>82</x:v>
      </x:c>
      <x:c r="D902" t="str">
        <x:v>TT10_C05_ARANDELA_TENSOR_2</x:v>
      </x:c>
      <x:c r="E902" t="n">
        <x:v>1</x:v>
      </x:c>
      <x:c r="F902" t="n">
        <x:v>1</x:v>
      </x:c>
      <x:c r="G902" t="str">
        <x:v>Compra</x:v>
      </x:c>
      <x:c r="H902" s="37" t="str">
        <x:v>Arandela puente44x21x4, endurecida, cubre ranura22</x:v>
      </x:c>
      <x:c r="I902" s="37" t="str">
        <x:v>Arandela endurecida 300 HV / ISO 7089</x:v>
      </x:c>
      <x:c r="J902" t="str">
        <x:v>Cantidades por conjunto; no sumar como total de máquina.</x:v>
      </x:c>
    </x:row>
    <x:row r="903" ht="30" customHeight="1">
      <x:c r="A903" t="str">
        <x:v>TT10_C05_PC_16</x:v>
      </x:c>
      <x:c r="B903" t="str">
        <x:v>Tensor de cadena y puesto manual</x:v>
      </x:c>
      <x:c r="C903" t="n">
        <x:v>83</x:v>
      </x:c>
      <x:c r="D903" t="str">
        <x:v>TT10_C05_ARANDELA_TENSOR_3</x:v>
      </x:c>
      <x:c r="E903" t="n">
        <x:v>1</x:v>
      </x:c>
      <x:c r="F903" t="n">
        <x:v>1</x:v>
      </x:c>
      <x:c r="G903" t="str">
        <x:v>Compra</x:v>
      </x:c>
      <x:c r="H903" s="37" t="str">
        <x:v>Arandela puente44x21x4, endurecida, cubre ranura22</x:v>
      </x:c>
      <x:c r="I903" s="37" t="str">
        <x:v>Arandela endurecida 300 HV / ISO 7089</x:v>
      </x:c>
      <x:c r="J903" t="str">
        <x:v>Cantidades por conjunto; no sumar como total de máquina.</x:v>
      </x:c>
    </x:row>
    <x:row r="904" ht="30" customHeight="1">
      <x:c r="A904" t="str">
        <x:v>TT10_C05_PC_16</x:v>
      </x:c>
      <x:c r="B904" t="str">
        <x:v>Tensor de cadena y puesto manual</x:v>
      </x:c>
      <x:c r="C904" t="n">
        <x:v>84</x:v>
      </x:c>
      <x:c r="D904" t="str">
        <x:v>TT10_C05_B20_TENSOR_0</x:v>
      </x:c>
      <x:c r="E904" t="n">
        <x:v>1</x:v>
      </x:c>
      <x:c r="F904" t="n">
        <x:v>1</x:v>
      </x:c>
      <x:c r="G904" t="str">
        <x:v>Compra</x:v>
      </x:c>
      <x:c r="H904" s="37" t="str">
        <x:v>Tornillo M20x45,ISO4017 8.8; geometria nominal</x:v>
      </x:c>
      <x:c r="I904" s="37" t="str">
        <x:v>Clase 8.8 / ISO 898-1</x:v>
      </x:c>
      <x:c r="J904" t="str">
        <x:v>Cantidades por conjunto; no sumar como total de máquina.</x:v>
      </x:c>
    </x:row>
    <x:row r="905" ht="30" customHeight="1">
      <x:c r="A905" t="str">
        <x:v>TT10_C05_PC_16</x:v>
      </x:c>
      <x:c r="B905" t="str">
        <x:v>Tensor de cadena y puesto manual</x:v>
      </x:c>
      <x:c r="C905" t="n">
        <x:v>85</x:v>
      </x:c>
      <x:c r="D905" t="str">
        <x:v>TT10_C05_B20_TENSOR_1</x:v>
      </x:c>
      <x:c r="E905" t="n">
        <x:v>1</x:v>
      </x:c>
      <x:c r="F905" t="n">
        <x:v>1</x:v>
      </x:c>
      <x:c r="G905" t="str">
        <x:v>Compra</x:v>
      </x:c>
      <x:c r="H905" s="37" t="str">
        <x:v>Tornillo M20x45,ISO4017 8.8; geometria nominal</x:v>
      </x:c>
      <x:c r="I905" s="37" t="str">
        <x:v>Clase 8.8 / ISO 898-1</x:v>
      </x:c>
      <x:c r="J905" t="str">
        <x:v>Cantidades por conjunto; no sumar como total de máquina.</x:v>
      </x:c>
    </x:row>
    <x:row r="906" ht="30" customHeight="1">
      <x:c r="A906" t="str">
        <x:v>TT10_C05_PC_16</x:v>
      </x:c>
      <x:c r="B906" t="str">
        <x:v>Tensor de cadena y puesto manual</x:v>
      </x:c>
      <x:c r="C906" t="n">
        <x:v>86</x:v>
      </x:c>
      <x:c r="D906" t="str">
        <x:v>TT10_C05_B20_TENSOR_2</x:v>
      </x:c>
      <x:c r="E906" t="n">
        <x:v>1</x:v>
      </x:c>
      <x:c r="F906" t="n">
        <x:v>1</x:v>
      </x:c>
      <x:c r="G906" t="str">
        <x:v>Compra</x:v>
      </x:c>
      <x:c r="H906" s="37" t="str">
        <x:v>Tornillo M20x45,ISO4017 8.8; geometria nominal</x:v>
      </x:c>
      <x:c r="I906" s="37" t="str">
        <x:v>Clase 8.8 / ISO 898-1</x:v>
      </x:c>
      <x:c r="J906" t="str">
        <x:v>Cantidades por conjunto; no sumar como total de máquina.</x:v>
      </x:c>
    </x:row>
    <x:row r="907" ht="30" customHeight="1">
      <x:c r="A907" t="str">
        <x:v>TT10_C05_PC_16</x:v>
      </x:c>
      <x:c r="B907" t="str">
        <x:v>Tensor de cadena y puesto manual</x:v>
      </x:c>
      <x:c r="C907" t="n">
        <x:v>87</x:v>
      </x:c>
      <x:c r="D907" t="str">
        <x:v>TT10_C05_B20_TENSOR_3</x:v>
      </x:c>
      <x:c r="E907" t="n">
        <x:v>1</x:v>
      </x:c>
      <x:c r="F907" t="n">
        <x:v>1</x:v>
      </x:c>
      <x:c r="G907" t="str">
        <x:v>Compra</x:v>
      </x:c>
      <x:c r="H907" s="37" t="str">
        <x:v>Tornillo M20x45,ISO4017 8.8; geometria nominal</x:v>
      </x:c>
      <x:c r="I907" s="37" t="str">
        <x:v>Clase 8.8 / ISO 898-1</x:v>
      </x:c>
      <x:c r="J907" t="str">
        <x:v>Cantidades por conjunto; no sumar como total de máquina.</x:v>
      </x:c>
    </x:row>
    <x:row r="908" ht="30" customHeight="1">
      <x:c r="A908" t="str">
        <x:v>TT10_C05_PC_16</x:v>
      </x:c>
      <x:c r="B908" t="str">
        <x:v>Tensor de cadena y puesto manual</x:v>
      </x:c>
      <x:c r="C908" t="n">
        <x:v>92</x:v>
      </x:c>
      <x:c r="D908" t="str">
        <x:v>TT10_C05_BASE_FIJA_TENSOR</x:v>
      </x:c>
      <x:c r="E908" t="n">
        <x:v>1</x:v>
      </x:c>
      <x:c r="F908" t="n">
        <x:v>1</x:v>
      </x:c>
      <x:c r="G908" t="str">
        <x:v>Fabricación</x:v>
      </x:c>
      <x:c r="H908" s="37" t="str">
        <x:v>Base fija630x420x20; cuatro M20 roscados20;apriete100Nm;no son anclajes a losa</x:v>
      </x:c>
      <x:c r="I908" s="37" t="str">
        <x:v>ASTM A36</x:v>
      </x:c>
      <x:c r="J908" t="str">
        <x:v>Cantidades por conjunto; no sumar como total de máquina.</x:v>
      </x:c>
    </x:row>
    <x:row r="909" ht="30" customHeight="1">
      <x:c r="A909" t="str">
        <x:v>TT10_C05_PC_16</x:v>
      </x:c>
      <x:c r="B909" t="str">
        <x:v>Tensor de cadena y puesto manual</x:v>
      </x:c>
      <x:c r="C909" t="n">
        <x:v>127</x:v>
      </x:c>
      <x:c r="D909" t="str">
        <x:v>TT10_C05_CORREDERA_TENSOR</x:v>
      </x:c>
      <x:c r="E909" t="n">
        <x:v>1</x:v>
      </x:c>
      <x:c r="F909" t="n">
        <x:v>1</x:v>
      </x:c>
      <x:c r="G909" t="str">
        <x:v>Fabricación</x:v>
      </x:c>
      <x:c r="H909" s="37" t="str">
        <x:v>Corredera comun590x320x20;4ranuras22x62; carrera Y+/-20mm; ambos postes solidarios</x:v>
      </x:c>
      <x:c r="I909" s="37" t="str">
        <x:v>ASTM A36</x:v>
      </x:c>
      <x:c r="J909" t="str">
        <x:v>Cantidades por conjunto; no sumar como total de máquina.</x:v>
      </x:c>
    </x:row>
    <x:row r="910" ht="30" customHeight="1">
      <x:c r="A910" t="str">
        <x:v>TT10_C05_PC_16</x:v>
      </x:c>
      <x:c r="B910" t="str">
        <x:v>Tensor de cadena y puesto manual</x:v>
      </x:c>
      <x:c r="C910" t="n">
        <x:v>128</x:v>
      </x:c>
      <x:c r="D910" t="str">
        <x:v>TT10_C05_GUIA_TENSOR_0</x:v>
      </x:c>
      <x:c r="E910" t="n">
        <x:v>1</x:v>
      </x:c>
      <x:c r="F910" t="n">
        <x:v>1</x:v>
      </x:c>
      <x:c r="G910" t="str">
        <x:v>Fabricación</x:v>
      </x:c>
      <x:c r="H910" s="37" t="str">
        <x:v>Guia lateral mecanizada;holgura transversal total0.3..0.5mm; soldar a base fija y mecanizar despues</x:v>
      </x:c>
      <x:c r="I910" s="37" t="str">
        <x:v>ASTM A36</x:v>
      </x:c>
      <x:c r="J910" t="str">
        <x:v>Cantidades por conjunto; no sumar como total de máquina.</x:v>
      </x:c>
    </x:row>
    <x:row r="911" ht="30" customHeight="1">
      <x:c r="A911" t="str">
        <x:v>TT10_C05_PC_16</x:v>
      </x:c>
      <x:c r="B911" t="str">
        <x:v>Tensor de cadena y puesto manual</x:v>
      </x:c>
      <x:c r="C911" t="n">
        <x:v>129</x:v>
      </x:c>
      <x:c r="D911" t="str">
        <x:v>TT10_C05_GUIA_TENSOR_1</x:v>
      </x:c>
      <x:c r="E911" t="n">
        <x:v>1</x:v>
      </x:c>
      <x:c r="F911" t="n">
        <x:v>1</x:v>
      </x:c>
      <x:c r="G911" t="str">
        <x:v>Fabricación</x:v>
      </x:c>
      <x:c r="H911" s="37" t="str">
        <x:v>Guia lateral mecanizada;holgura transversal total0.3..0.5mm; soldar a base fija y mecanizar despues</x:v>
      </x:c>
      <x:c r="I911" s="37" t="str">
        <x:v>ASTM A36</x:v>
      </x:c>
      <x:c r="J911" t="str">
        <x:v>Cantidades por conjunto; no sumar como total de máquina.</x:v>
      </x:c>
    </x:row>
    <x:row r="912" ht="30" customHeight="1">
      <x:c r="A912" t="str">
        <x:v>TT10_C05_PC_16</x:v>
      </x:c>
      <x:c r="B912" t="str">
        <x:v>Tensor de cadena y puesto manual</x:v>
      </x:c>
      <x:c r="C912" t="n">
        <x:v>130</x:v>
      </x:c>
      <x:c r="D912" t="str">
        <x:v>TT10_C05_JACK_M16_0_0</x:v>
      </x:c>
      <x:c r="E912" t="n">
        <x:v>1</x:v>
      </x:c>
      <x:c r="F912" t="n">
        <x:v>1</x:v>
      </x:c>
      <x:c r="G912" t="str">
        <x:v>Compra</x:v>
      </x:c>
      <x:c r="H912" s="37" t="str">
        <x:v>M16x80,8.8 de regulacion; rosca total; punta plana; bloquear con contratuerca</x:v>
      </x:c>
      <x:c r="I912" s="37" t="str">
        <x:v>8.8</x:v>
      </x:c>
      <x:c r="J912" t="str">
        <x:v>Cantidades por conjunto; no sumar como total de máquina.</x:v>
      </x:c>
    </x:row>
    <x:row r="913" ht="30" customHeight="1">
      <x:c r="A913" t="str">
        <x:v>TT10_C05_PC_16</x:v>
      </x:c>
      <x:c r="B913" t="str">
        <x:v>Tensor de cadena y puesto manual</x:v>
      </x:c>
      <x:c r="C913" t="n">
        <x:v>131</x:v>
      </x:c>
      <x:c r="D913" t="str">
        <x:v>TT10_C05_JACK_M16_0_1</x:v>
      </x:c>
      <x:c r="E913" t="n">
        <x:v>1</x:v>
      </x:c>
      <x:c r="F913" t="n">
        <x:v>1</x:v>
      </x:c>
      <x:c r="G913" t="str">
        <x:v>Compra</x:v>
      </x:c>
      <x:c r="H913" s="37" t="str">
        <x:v>M16x80,8.8 de regulacion; rosca total; punta plana; bloquear con contratuerca</x:v>
      </x:c>
      <x:c r="I913" s="37" t="str">
        <x:v>8.8</x:v>
      </x:c>
      <x:c r="J913" t="str">
        <x:v>Cantidades por conjunto; no sumar como total de máquina.</x:v>
      </x:c>
    </x:row>
    <x:row r="914" ht="30" customHeight="1">
      <x:c r="A914" t="str">
        <x:v>TT10_C05_PC_16</x:v>
      </x:c>
      <x:c r="B914" t="str">
        <x:v>Tensor de cadena y puesto manual</x:v>
      </x:c>
      <x:c r="C914" t="n">
        <x:v>132</x:v>
      </x:c>
      <x:c r="D914" t="str">
        <x:v>TT10_C05_JACK_M16_1_0</x:v>
      </x:c>
      <x:c r="E914" t="n">
        <x:v>1</x:v>
      </x:c>
      <x:c r="F914" t="n">
        <x:v>1</x:v>
      </x:c>
      <x:c r="G914" t="str">
        <x:v>Compra</x:v>
      </x:c>
      <x:c r="H914" s="37" t="str">
        <x:v>M16x80,8.8 de regulacion; rosca total; punta plana; bloquear con contratuerca</x:v>
      </x:c>
      <x:c r="I914" s="37" t="str">
        <x:v>8.8</x:v>
      </x:c>
      <x:c r="J914" t="str">
        <x:v>Cantidades por conjunto; no sumar como total de máquina.</x:v>
      </x:c>
    </x:row>
    <x:row r="915" ht="30" customHeight="1">
      <x:c r="A915" t="str">
        <x:v>TT10_C05_PC_16</x:v>
      </x:c>
      <x:c r="B915" t="str">
        <x:v>Tensor de cadena y puesto manual</x:v>
      </x:c>
      <x:c r="C915" t="n">
        <x:v>133</x:v>
      </x:c>
      <x:c r="D915" t="str">
        <x:v>TT10_C05_JACK_M16_1_1</x:v>
      </x:c>
      <x:c r="E915" t="n">
        <x:v>1</x:v>
      </x:c>
      <x:c r="F915" t="n">
        <x:v>1</x:v>
      </x:c>
      <x:c r="G915" t="str">
        <x:v>Compra</x:v>
      </x:c>
      <x:c r="H915" s="37" t="str">
        <x:v>M16x80,8.8 de regulacion; rosca total; punta plana; bloquear con contratuerca</x:v>
      </x:c>
      <x:c r="I915" s="37" t="str">
        <x:v>8.8</x:v>
      </x:c>
      <x:c r="J915" t="str">
        <x:v>Cantidades por conjunto; no sumar como total de máquina.</x:v>
      </x:c>
    </x:row>
    <x:row r="916" ht="30" customHeight="1">
      <x:c r="A916" t="str">
        <x:v>TT10_C05_PC_16</x:v>
      </x:c>
      <x:c r="B916" t="str">
        <x:v>Tensor de cadena y puesto manual</x:v>
      </x:c>
      <x:c r="C916" t="n">
        <x:v>134</x:v>
      </x:c>
      <x:c r="D916" t="str">
        <x:v>TT10_C05_JAM_M16_0_0</x:v>
      </x:c>
      <x:c r="E916" t="n">
        <x:v>1</x:v>
      </x:c>
      <x:c r="F916" t="n">
        <x:v>1</x:v>
      </x:c>
      <x:c r="G916" t="str">
        <x:v>Compra</x:v>
      </x:c>
      <x:c r="H916" s="37" t="str">
        <x:v>ContratuercaM16 clase8; mantener ajuste con cuatro M20 apretados</x:v>
      </x:c>
      <x:c r="I916" s="37" t="str">
        <x:v>Tuerca clase 8 / ISO 898-2</x:v>
      </x:c>
      <x:c r="J916" t="str">
        <x:v>Cantidades por conjunto; no sumar como total de máquina.</x:v>
      </x:c>
    </x:row>
    <x:row r="917" ht="30" customHeight="1">
      <x:c r="A917" t="str">
        <x:v>TT10_C05_PC_16</x:v>
      </x:c>
      <x:c r="B917" t="str">
        <x:v>Tensor de cadena y puesto manual</x:v>
      </x:c>
      <x:c r="C917" t="n">
        <x:v>135</x:v>
      </x:c>
      <x:c r="D917" t="str">
        <x:v>TT10_C05_JAM_M16_0_1</x:v>
      </x:c>
      <x:c r="E917" t="n">
        <x:v>1</x:v>
      </x:c>
      <x:c r="F917" t="n">
        <x:v>1</x:v>
      </x:c>
      <x:c r="G917" t="str">
        <x:v>Compra</x:v>
      </x:c>
      <x:c r="H917" s="37" t="str">
        <x:v>ContratuercaM16 clase8; mantener ajuste con cuatro M20 apretados</x:v>
      </x:c>
      <x:c r="I917" s="37" t="str">
        <x:v>Tuerca clase 8 / ISO 898-2</x:v>
      </x:c>
      <x:c r="J917" t="str">
        <x:v>Cantidades por conjunto; no sumar como total de máquina.</x:v>
      </x:c>
    </x:row>
    <x:row r="918" ht="30" customHeight="1">
      <x:c r="A918" t="str">
        <x:v>TT10_C05_PC_16</x:v>
      </x:c>
      <x:c r="B918" t="str">
        <x:v>Tensor de cadena y puesto manual</x:v>
      </x:c>
      <x:c r="C918" t="n">
        <x:v>136</x:v>
      </x:c>
      <x:c r="D918" t="str">
        <x:v>TT10_C05_JAM_M16_1_0</x:v>
      </x:c>
      <x:c r="E918" t="n">
        <x:v>1</x:v>
      </x:c>
      <x:c r="F918" t="n">
        <x:v>1</x:v>
      </x:c>
      <x:c r="G918" t="str">
        <x:v>Compra</x:v>
      </x:c>
      <x:c r="H918" s="37" t="str">
        <x:v>ContratuercaM16 clase8; mantener ajuste con cuatro M20 apretados</x:v>
      </x:c>
      <x:c r="I918" s="37" t="str">
        <x:v>Tuerca clase 8 / ISO 898-2</x:v>
      </x:c>
      <x:c r="J918" t="str">
        <x:v>Cantidades por conjunto; no sumar como total de máquina.</x:v>
      </x:c>
    </x:row>
    <x:row r="919" ht="30" customHeight="1">
      <x:c r="A919" t="str">
        <x:v>TT10_C05_PC_16</x:v>
      </x:c>
      <x:c r="B919" t="str">
        <x:v>Tensor de cadena y puesto manual</x:v>
      </x:c>
      <x:c r="C919" t="n">
        <x:v>137</x:v>
      </x:c>
      <x:c r="D919" t="str">
        <x:v>TT10_C05_JAM_M16_1_1</x:v>
      </x:c>
      <x:c r="E919" t="n">
        <x:v>1</x:v>
      </x:c>
      <x:c r="F919" t="n">
        <x:v>1</x:v>
      </x:c>
      <x:c r="G919" t="str">
        <x:v>Compra</x:v>
      </x:c>
      <x:c r="H919" s="37" t="str">
        <x:v>ContratuercaM16 clase8; mantener ajuste con cuatro M20 apretados</x:v>
      </x:c>
      <x:c r="I919" s="37" t="str">
        <x:v>Tuerca clase 8 / ISO 898-2</x:v>
      </x:c>
      <x:c r="J919" t="str">
        <x:v>Cantidades por conjunto; no sumar como total de máquina.</x:v>
      </x:c>
    </x:row>
    <x:row r="920" ht="30" customHeight="1">
      <x:c r="A920" t="str">
        <x:v>TT10_C05_PC_16</x:v>
      </x:c>
      <x:c r="B920" t="str">
        <x:v>Tensor de cadena y puesto manual</x:v>
      </x:c>
      <x:c r="C920" t="n">
        <x:v>138</x:v>
      </x:c>
      <x:c r="D920" t="str">
        <x:v>TT10_C05_OREJA_TENSOR_0_0</x:v>
      </x:c>
      <x:c r="E920" t="n">
        <x:v>1</x:v>
      </x:c>
      <x:c r="F920" t="n">
        <x:v>1</x:v>
      </x:c>
      <x:c r="G920" t="str">
        <x:v>Fabricación</x:v>
      </x:c>
      <x:c r="H920" s="37" t="str">
        <x:v>Oreja36x20x36;M16x2; soldaduraa6 a base fija</x:v>
      </x:c>
      <x:c r="I920" s="37" t="str">
        <x:v>ASTM A36</x:v>
      </x:c>
      <x:c r="J920" t="str">
        <x:v>Cantidades por conjunto; no sumar como total de máquina.</x:v>
      </x:c>
    </x:row>
    <x:row r="921" ht="30" customHeight="1">
      <x:c r="A921" t="str">
        <x:v>TT10_C05_PC_16</x:v>
      </x:c>
      <x:c r="B921" t="str">
        <x:v>Tensor de cadena y puesto manual</x:v>
      </x:c>
      <x:c r="C921" t="n">
        <x:v>139</x:v>
      </x:c>
      <x:c r="D921" t="str">
        <x:v>TT10_C05_OREJA_TENSOR_0_1</x:v>
      </x:c>
      <x:c r="E921" t="n">
        <x:v>1</x:v>
      </x:c>
      <x:c r="F921" t="n">
        <x:v>1</x:v>
      </x:c>
      <x:c r="G921" t="str">
        <x:v>Fabricación</x:v>
      </x:c>
      <x:c r="H921" s="37" t="str">
        <x:v>Oreja36x20x36;M16x2; soldaduraa6 a base fija</x:v>
      </x:c>
      <x:c r="I921" s="37" t="str">
        <x:v>ASTM A36</x:v>
      </x:c>
      <x:c r="J921" t="str">
        <x:v>Cantidades por conjunto; no sumar como total de máquina.</x:v>
      </x:c>
    </x:row>
    <x:row r="922" ht="30" customHeight="1">
      <x:c r="A922" t="str">
        <x:v>TT10_C05_PC_16</x:v>
      </x:c>
      <x:c r="B922" t="str">
        <x:v>Tensor de cadena y puesto manual</x:v>
      </x:c>
      <x:c r="C922" t="n">
        <x:v>140</x:v>
      </x:c>
      <x:c r="D922" t="str">
        <x:v>TT10_C05_OREJA_TENSOR_1_0</x:v>
      </x:c>
      <x:c r="E922" t="n">
        <x:v>1</x:v>
      </x:c>
      <x:c r="F922" t="n">
        <x:v>1</x:v>
      </x:c>
      <x:c r="G922" t="str">
        <x:v>Fabricación</x:v>
      </x:c>
      <x:c r="H922" s="37" t="str">
        <x:v>Oreja36x20x36;M16x2; soldaduraa6 a base fija</x:v>
      </x:c>
      <x:c r="I922" s="37" t="str">
        <x:v>ASTM A36</x:v>
      </x:c>
      <x:c r="J922" t="str">
        <x:v>Cantidades por conjunto; no sumar como total de máquina.</x:v>
      </x:c>
    </x:row>
    <x:row r="923" ht="30" customHeight="1">
      <x:c r="A923" t="str">
        <x:v>TT10_C05_PC_16</x:v>
      </x:c>
      <x:c r="B923" t="str">
        <x:v>Tensor de cadena y puesto manual</x:v>
      </x:c>
      <x:c r="C923" t="n">
        <x:v>141</x:v>
      </x:c>
      <x:c r="D923" t="str">
        <x:v>TT10_C05_OREJA_TENSOR_1_1</x:v>
      </x:c>
      <x:c r="E923" t="n">
        <x:v>1</x:v>
      </x:c>
      <x:c r="F923" t="n">
        <x:v>1</x:v>
      </x:c>
      <x:c r="G923" t="str">
        <x:v>Fabricación</x:v>
      </x:c>
      <x:c r="H923" s="37" t="str">
        <x:v>Oreja36x20x36;M16x2; soldaduraa6 a base fija</x:v>
      </x:c>
      <x:c r="I923" s="37" t="str">
        <x:v>ASTM A36</x:v>
      </x:c>
      <x:c r="J923" t="str">
        <x:v>Cantidades por conjunto; no sumar como total de máquina.</x:v>
      </x:c>
    </x:row>
    <x:row r="924" ht="30" customHeight="1">
      <x:c r="A924" t="str">
        <x:v>TT10_C05_PC_16</x:v>
      </x:c>
      <x:c r="B924" t="str">
        <x:v>Tensor de cadena y puesto manual</x:v>
      </x:c>
      <x:c r="C924" t="n">
        <x:v>142</x:v>
      </x:c>
      <x:c r="D924" t="str">
        <x:v>TT10_C05_POSTE_CORTO_TENSOR</x:v>
      </x:c>
      <x:c r="E924" t="n">
        <x:v>1</x:v>
      </x:c>
      <x:c r="F924" t="n">
        <x:v>1</x:v>
      </x:c>
      <x:c r="G924" t="str">
        <x:v>Fabricación</x:v>
      </x:c>
      <x:c r="H924" s="37" t="str">
        <x:v>RHS50x50x5;L1037.5;recortado20para conservar altura del eje</x:v>
      </x:c>
      <x:c r="I924" s="37" t="str">
        <x:v>S275J0H / EN 10219-1</x:v>
      </x:c>
      <x:c r="J924" t="str">
        <x:v>Cantidades por conjunto; no sumar como total de máquina.</x:v>
      </x:c>
    </x:row>
    <x:row r="925" ht="30" customHeight="1">
      <x:c r="A925" t="str">
        <x:v>TT10_C05_PC_16</x:v>
      </x:c>
      <x:c r="B925" t="str">
        <x:v>Tensor de cadena y puesto manual</x:v>
      </x:c>
      <x:c r="C925" t="n">
        <x:v>143</x:v>
      </x:c>
      <x:c r="D925" t="str">
        <x:v>TT10_C05_POSTE_VOLANTE_TENSOR</x:v>
      </x:c>
      <x:c r="E925" t="n">
        <x:v>1</x:v>
      </x:c>
      <x:c r="F925" t="n">
        <x:v>1</x:v>
      </x:c>
      <x:c r="G925" t="str">
        <x:v>Fabricación</x:v>
      </x:c>
      <x:c r="H925" s="37" t="str">
        <x:v>Poste del volante recortado20mm; conservar mecanizado superior y centros</x:v>
      </x:c>
      <x:c r="I925" s="37" t="str">
        <x:v>ASTM A36</x:v>
      </x:c>
      <x:c r="J925" t="str">
        <x:v>Cantidades por conjunto; no sumar como total de máquina.</x:v>
      </x:c>
    </x:row>
    <x:row r="926" ht="30" customHeight="1">
      <x:c r="A926" t="str">
        <x:v>TT10_C05_PC_17</x:v>
      </x:c>
      <x:c r="B926" t="str">
        <x:v>Volante, eje y freno del timón</x:v>
      </x:c>
      <x:c r="C926" t="n">
        <x:v>50</x:v>
      </x:c>
      <x:c r="D926" t="str">
        <x:v>TT10_C04_EJE_TIMON</x:v>
      </x:c>
      <x:c r="E926" t="n">
        <x:v>1</x:v>
      </x:c>
      <x:c r="F926" t="n">
        <x:v>1</x:v>
      </x:c>
      <x:c r="G926" t="str">
        <x:v>Fabricación</x:v>
      </x:c>
      <x:c r="H926" s="37" t="str">
        <x:v>Eje heredado con extremoX1026 y chavetero adicional8x7x30; Mayr conservado</x:v>
      </x:c>
      <x:c r="I926" s="37" t="str">
        <x:v>AISI 4140 bonificado</x:v>
      </x:c>
      <x:c r="J926" t="str">
        <x:v>Cantidades por conjunto; no sumar como total de máquina.</x:v>
      </x:c>
    </x:row>
    <x:row r="927" ht="30" customHeight="1">
      <x:c r="A927" t="str">
        <x:v>TT10_C05_PC_17</x:v>
      </x:c>
      <x:c r="B927" t="str">
        <x:v>Volante, eje y freno del timón</x:v>
      </x:c>
      <x:c r="C927" t="n">
        <x:v>66</x:v>
      </x:c>
      <x:c r="D927" t="str">
        <x:v>TT10_C04_PLACA_TIMON</x:v>
      </x:c>
      <x:c r="E927" t="n">
        <x:v>1</x:v>
      </x:c>
      <x:c r="F927" t="n">
        <x:v>1</x:v>
      </x:c>
      <x:c r="G927" t="str">
        <x:v>Fabricación</x:v>
      </x:c>
      <x:c r="H927" s="37" t="str">
        <x:v>Placa de estacion existente con ventanaR57x25 para bridas110; apoyos yMayr conservados</x:v>
      </x:c>
      <x:c r="I927" s="37" t="str">
        <x:v>ASTM A36</x:v>
      </x:c>
      <x:c r="J927" t="str">
        <x:v>Cantidades por conjunto; no sumar como total de máquina.</x:v>
      </x:c>
    </x:row>
    <x:row r="928" ht="30" customHeight="1">
      <x:c r="A928" t="str">
        <x:v>TT10_C05_PC_17</x:v>
      </x:c>
      <x:c r="B928" t="str">
        <x:v>Volante, eje y freno del timón</x:v>
      </x:c>
      <x:c r="C928" t="n">
        <x:v>436</x:v>
      </x:c>
      <x:c r="D928" t="str">
        <x:v>TT10_R6M_CHAVETA_FRENO_TIMON</x:v>
      </x:c>
      <x:c r="E928" t="n">
        <x:v>1</x:v>
      </x:c>
      <x:c r="F928" t="n">
        <x:v>1</x:v>
      </x:c>
      <x:c r="G928" t="str">
        <x:v>Compra</x:v>
      </x:c>
      <x:c r="H928" s="37" t="str">
        <x:v>ChavetaDIN6885/1 8x7x25 C45E</x:v>
      </x:c>
      <x:c r="I928" s="37" t="str">
        <x:v>AISI 4140 bonificado</x:v>
      </x:c>
      <x:c r="J928" t="str">
        <x:v>Cantidades por conjunto; no sumar como total de máquina.</x:v>
      </x:c>
    </x:row>
    <x:row r="929" ht="30" customHeight="1">
      <x:c r="A929" t="str">
        <x:v>TT10_C05_PC_17</x:v>
      </x:c>
      <x:c r="B929" t="str">
        <x:v>Volante, eje y freno del timón</x:v>
      </x:c>
      <x:c r="C929" t="n">
        <x:v>437</x:v>
      </x:c>
      <x:c r="D929" t="str">
        <x:v>TT10_R6M_CUBO_FRENO_TIMON</x:v>
      </x:c>
      <x:c r="E929" t="n">
        <x:v>1</x:v>
      </x:c>
      <x:c r="F929" t="n">
        <x:v>1</x:v>
      </x:c>
      <x:c r="G929" t="str">
        <x:v>Compra</x:v>
      </x:c>
      <x:c r="H929" s="37" t="str">
        <x:v>Cubo comercial simplificado: Ø30H7,8JS9;L25; verificar suministro con referencia mayr</x:v>
      </x:c>
      <x:c r="I929" s="37" t="str">
        <x:v>AISI 4140 bonificado</x:v>
      </x:c>
      <x:c r="J929" t="str">
        <x:v>Cantidades por conjunto; no sumar como total de máquina.</x:v>
      </x:c>
    </x:row>
    <x:row r="930" ht="30" customHeight="1">
      <x:c r="A930" t="str">
        <x:v>TT10_C05_PC_17</x:v>
      </x:c>
      <x:c r="B930" t="str">
        <x:v>Volante, eje y freno del timón</x:v>
      </x:c>
      <x:c r="C930" t="n">
        <x:v>442</x:v>
      </x:c>
      <x:c r="D930" t="str">
        <x:v>TT10_R6M_MAYR_32</x:v>
      </x:c>
      <x:c r="E930" t="n">
        <x:v>1</x:v>
      </x:c>
      <x:c r="F930" t="n">
        <x:v>1</x:v>
      </x:c>
      <x:c r="G930" t="str">
        <x:v>Compra</x:v>
      </x:c>
      <x:c r="H930" s="37" t="str">
        <x:v>mayr32/891.101.0/24/30/6885/1 JS9;64Nm; rotor metálico; liberación manual</x:v>
      </x:c>
      <x:c r="I930" s="37" t="str">
        <x:v>Conjunto comercial mayr</x:v>
      </x:c>
      <x:c r="J930" t="str">
        <x:v>Cantidades por conjunto; no sumar como total de máquina.</x:v>
      </x:c>
    </x:row>
    <x:row r="931" ht="30" customHeight="1">
      <x:c r="A931" t="str">
        <x:v>TT10_C05_PC_17</x:v>
      </x:c>
      <x:c r="B931" t="str">
        <x:v>Volante, eje y freno del timón</x:v>
      </x:c>
      <x:c r="C931" t="n">
        <x:v>443</x:v>
      </x:c>
      <x:c r="D931" t="str">
        <x:v>TT10_R6M_PEDESTAL_FRENO</x:v>
      </x:c>
      <x:c r="E931" t="n">
        <x:v>1</x:v>
      </x:c>
      <x:c r="F931" t="n">
        <x:v>1</x:v>
      </x:c>
      <x:c r="G931" t="str">
        <x:v>Fabricación</x:v>
      </x:c>
      <x:c r="H931" s="37" t="str">
        <x:v>Travesaño108x40x10 entre caras interiores del poste existente; soldadura a3,40mm por extremo</x:v>
      </x:c>
      <x:c r="I931" s="37" t="str">
        <x:v>ASTM A36</x:v>
      </x:c>
      <x:c r="J931" t="str">
        <x:v>Cantidades por conjunto; no sumar como total de máquina.</x:v>
      </x:c>
    </x:row>
    <x:row r="932" ht="30" customHeight="1">
      <x:c r="A932" t="str">
        <x:v>TT10_C05_PC_17</x:v>
      </x:c>
      <x:c r="B932" t="str">
        <x:v>Volante, eje y freno del timón</x:v>
      </x:c>
      <x:c r="C932" t="n">
        <x:v>446</x:v>
      </x:c>
      <x:c r="D932" t="str">
        <x:v>TT10_R6M_PLACA_FRENO_TIMON</x:v>
      </x:c>
      <x:c r="E932" t="n">
        <x:v>1</x:v>
      </x:c>
      <x:c r="F932" t="n">
        <x:v>1</x:v>
      </x:c>
      <x:c r="G932" t="str">
        <x:v>Fabricación</x:v>
      </x:c>
      <x:c r="H932" s="37" t="str">
        <x:v>Placa12, caraX1127; centrado y3M6PCD132; sujeción a pedestal por cartelas</x:v>
      </x:c>
      <x:c r="I932" s="37" t="str">
        <x:v>ASTM A36</x:v>
      </x:c>
      <x:c r="J932" t="str">
        <x:v>Cantidades por conjunto; no sumar como total de máquina.</x:v>
      </x:c>
    </x:row>
    <x:row r="933" ht="30" customHeight="1">
      <x:c r="A933" t="str">
        <x:v>TT10_C05_PC_17</x:v>
      </x:c>
      <x:c r="B933" t="str">
        <x:v>Volante, eje y freno del timón</x:v>
      </x:c>
      <x:c r="C933" t="n">
        <x:v>462</x:v>
      </x:c>
      <x:c r="D933" t="str">
        <x:v>TT10_TM_ARANDELA16</x:v>
      </x:c>
      <x:c r="E933" t="n">
        <x:v>1</x:v>
      </x:c>
      <x:c r="F933" t="n">
        <x:v>1</x:v>
      </x:c>
      <x:c r="G933" t="str">
        <x:v>Compra</x:v>
      </x:c>
      <x:c r="H933" s="37" t="str">
        <x:v>Arandela de retención D44/d17/t4</x:v>
      </x:c>
      <x:c r="I933" s="37" t="str">
        <x:v>Arandela endurecida 300 HV / ISO 7089</x:v>
      </x:c>
      <x:c r="J933" t="str">
        <x:v>Cantidades por conjunto; no sumar como total de máquina.</x:v>
      </x:c>
    </x:row>
    <x:row r="934" ht="30" customHeight="1">
      <x:c r="A934" t="str">
        <x:v>TT10_C05_PC_17</x:v>
      </x:c>
      <x:c r="B934" t="str">
        <x:v>Volante, eje y freno del timón</x:v>
      </x:c>
      <x:c r="C934" t="n">
        <x:v>463</x:v>
      </x:c>
      <x:c r="D934" t="str">
        <x:v>TT10_TM_B12_0</x:v>
      </x:c>
      <x:c r="E934" t="n">
        <x:v>1</x:v>
      </x:c>
      <x:c r="F934" t="n">
        <x:v>1</x:v>
      </x:c>
      <x:c r="G934" t="str">
        <x:v>Compra</x:v>
      </x:c>
      <x:c r="H934" s="37" t="str">
        <x:v>Tornillo M12x40 8.8, s18, rosca nominal; enganche20.5mm en placa</x:v>
      </x:c>
      <x:c r="I934" s="37" t="str">
        <x:v>Clase 8.8 / ISO 898-1</x:v>
      </x:c>
      <x:c r="J934" t="str">
        <x:v>Cantidades por conjunto; no sumar como total de máquina.</x:v>
      </x:c>
    </x:row>
    <x:row r="935" ht="30" customHeight="1">
      <x:c r="A935" t="str">
        <x:v>TT10_C05_PC_17</x:v>
      </x:c>
      <x:c r="B935" t="str">
        <x:v>Volante, eje y freno del timón</x:v>
      </x:c>
      <x:c r="C935" t="n">
        <x:v>464</x:v>
      </x:c>
      <x:c r="D935" t="str">
        <x:v>TT10_TM_B12_1</x:v>
      </x:c>
      <x:c r="E935" t="n">
        <x:v>1</x:v>
      </x:c>
      <x:c r="F935" t="n">
        <x:v>1</x:v>
      </x:c>
      <x:c r="G935" t="str">
        <x:v>Compra</x:v>
      </x:c>
      <x:c r="H935" s="37" t="str">
        <x:v>Tornillo M12x40 8.8, s18, rosca nominal; enganche20.5mm en placa</x:v>
      </x:c>
      <x:c r="I935" s="37" t="str">
        <x:v>Clase 8.8 / ISO 898-1</x:v>
      </x:c>
      <x:c r="J935" t="str">
        <x:v>Cantidades por conjunto; no sumar como total de máquina.</x:v>
      </x:c>
    </x:row>
    <x:row r="936" ht="30" customHeight="1">
      <x:c r="A936" t="str">
        <x:v>TT10_C05_PC_17</x:v>
      </x:c>
      <x:c r="B936" t="str">
        <x:v>Volante, eje y freno del timón</x:v>
      </x:c>
      <x:c r="C936" t="n">
        <x:v>465</x:v>
      </x:c>
      <x:c r="D936" t="str">
        <x:v>TT10_TM_B12_2</x:v>
      </x:c>
      <x:c r="E936" t="n">
        <x:v>1</x:v>
      </x:c>
      <x:c r="F936" t="n">
        <x:v>1</x:v>
      </x:c>
      <x:c r="G936" t="str">
        <x:v>Compra</x:v>
      </x:c>
      <x:c r="H936" s="37" t="str">
        <x:v>Tornillo M12x40 8.8, s18, rosca nominal; enganche20.5mm en placa</x:v>
      </x:c>
      <x:c r="I936" s="37" t="str">
        <x:v>Clase 8.8 / ISO 898-1</x:v>
      </x:c>
      <x:c r="J936" t="str">
        <x:v>Cantidades por conjunto; no sumar como total de máquina.</x:v>
      </x:c>
    </x:row>
    <x:row r="937" ht="30" customHeight="1">
      <x:c r="A937" t="str">
        <x:v>TT10_C05_PC_17</x:v>
      </x:c>
      <x:c r="B937" t="str">
        <x:v>Volante, eje y freno del timón</x:v>
      </x:c>
      <x:c r="C937" t="n">
        <x:v>466</x:v>
      </x:c>
      <x:c r="D937" t="str">
        <x:v>TT10_TM_B12_3</x:v>
      </x:c>
      <x:c r="E937" t="n">
        <x:v>1</x:v>
      </x:c>
      <x:c r="F937" t="n">
        <x:v>1</x:v>
      </x:c>
      <x:c r="G937" t="str">
        <x:v>Compra</x:v>
      </x:c>
      <x:c r="H937" s="37" t="str">
        <x:v>Tornillo M12x40 8.8, s18, rosca nominal; enganche20.5mm en placa</x:v>
      </x:c>
      <x:c r="I937" s="37" t="str">
        <x:v>Clase 8.8 / ISO 898-1</x:v>
      </x:c>
      <x:c r="J937" t="str">
        <x:v>Cantidades por conjunto; no sumar como total de máquina.</x:v>
      </x:c>
    </x:row>
    <x:row r="938" ht="30" customHeight="1">
      <x:c r="A938" t="str">
        <x:v>TT10_C05_PC_17</x:v>
      </x:c>
      <x:c r="B938" t="str">
        <x:v>Volante, eje y freno del timón</x:v>
      </x:c>
      <x:c r="C938" t="n">
        <x:v>467</x:v>
      </x:c>
      <x:c r="D938" t="str">
        <x:v>TT10_TM_CHAVETA</x:v>
      </x:c>
      <x:c r="E938" t="n">
        <x:v>1</x:v>
      </x:c>
      <x:c r="F938" t="n">
        <x:v>1</x:v>
      </x:c>
      <x:c r="G938" t="str">
        <x:v>Compra</x:v>
      </x:c>
      <x:c r="H938" s="37" t="str">
        <x:v>Chaveta paralela8x7x40, extremos R4, formaA; acero C45E</x:v>
      </x:c>
      <x:c r="I938" s="37" t="str">
        <x:v>AISI 4140 bonificado</x:v>
      </x:c>
      <x:c r="J938" t="str">
        <x:v>Cantidades por conjunto; no sumar como total de máquina.</x:v>
      </x:c>
    </x:row>
    <x:row r="939" ht="30" customHeight="1">
      <x:c r="A939" t="str">
        <x:v>TT10_C05_PC_17</x:v>
      </x:c>
      <x:c r="B939" t="str">
        <x:v>Volante, eje y freno del timón</x:v>
      </x:c>
      <x:c r="C939" t="n">
        <x:v>468</x:v>
      </x:c>
      <x:c r="D939" t="str">
        <x:v>TT10_TM_CUBO</x:v>
      </x:c>
      <x:c r="E939" t="n">
        <x:v>1</x:v>
      </x:c>
      <x:c r="F939" t="n">
        <x:v>1</x:v>
      </x:c>
      <x:c r="G939" t="str">
        <x:v>Fabricación</x:v>
      </x:c>
      <x:c r="H939" s="37" t="str">
        <x:v>Cubo D80/D30 H7 L45; chavetero8 JS9, profundidad3.3 sobre radio nominal</x:v>
      </x:c>
      <x:c r="I939" s="37" t="str">
        <x:v>AISI 4140 bonificado</x:v>
      </x:c>
      <x:c r="J939" t="str">
        <x:v>Cantidades por conjunto; no sumar como total de máquina.</x:v>
      </x:c>
    </x:row>
    <x:row r="940" ht="30" customHeight="1">
      <x:c r="A940" t="str">
        <x:v>TT10_C05_PC_17</x:v>
      </x:c>
      <x:c r="B940" t="str">
        <x:v>Volante, eje y freno del timón</x:v>
      </x:c>
      <x:c r="C940" t="n">
        <x:v>469</x:v>
      </x:c>
      <x:c r="D940" t="str">
        <x:v>TT10_TM_EJE_PUNO</x:v>
      </x:c>
      <x:c r="E940" t="n">
        <x:v>1</x:v>
      </x:c>
      <x:c r="F940" t="n">
        <x:v>1</x:v>
      </x:c>
      <x:c r="G940" t="str">
        <x:v>Compra</x:v>
      </x:c>
      <x:c r="H940" s="37" t="str">
        <x:v>Perno escalonado: M8, hombro14, pistaD10 h9 L87.3 y cabeza16; pistaRa≤0.8</x:v>
      </x:c>
      <x:c r="I940" s="37" t="str">
        <x:v>Clase 10.9 / ISO 898-1</x:v>
      </x:c>
      <x:c r="J940" t="str">
        <x:v>Cantidades por conjunto; no sumar como total de máquina.</x:v>
      </x:c>
    </x:row>
    <x:row r="941" ht="30" customHeight="1">
      <x:c r="A941" t="str">
        <x:v>TT10_C05_PC_17</x:v>
      </x:c>
      <x:c r="B941" t="str">
        <x:v>Volante, eje y freno del timón</x:v>
      </x:c>
      <x:c r="C941" t="n">
        <x:v>470</x:v>
      </x:c>
      <x:c r="D941" t="str">
        <x:v>TT10_TM_PUNO</x:v>
      </x:c>
      <x:c r="E941" t="n">
        <x:v>1</x:v>
      </x:c>
      <x:c r="F941" t="n">
        <x:v>1</x:v>
      </x:c>
      <x:c r="G941" t="str">
        <x:v>Fabricación</x:v>
      </x:c>
      <x:c r="H941" s="37" t="str">
        <x:v>Empuñadura giratoria POM D32/d10.4 L85</x:v>
      </x:c>
      <x:c r="I941" s="37" t="str">
        <x:v>POM-C; ficha de proveedor requerida</x:v>
      </x:c>
      <x:c r="J941" t="str">
        <x:v>Cantidades por conjunto; no sumar como total de máquina.</x:v>
      </x:c>
    </x:row>
    <x:row r="942" ht="30" customHeight="1">
      <x:c r="A942" t="str">
        <x:v>TT10_C05_PC_17</x:v>
      </x:c>
      <x:c r="B942" t="str">
        <x:v>Volante, eje y freno del timón</x:v>
      </x:c>
      <x:c r="C942" t="n">
        <x:v>471</x:v>
      </x:c>
      <x:c r="D942" t="str">
        <x:v>TT10_TM_PUNO_N8</x:v>
      </x:c>
      <x:c r="E942" t="n">
        <x:v>1</x:v>
      </x:c>
      <x:c r="F942" t="n">
        <x:v>1</x:v>
      </x:c>
      <x:c r="G942" t="str">
        <x:v>Compra</x:v>
      </x:c>
      <x:c r="H942" s="37" t="str">
        <x:v>Tuerca autoblocante metálica M8 h8 s13; geometría nominal</x:v>
      </x:c>
      <x:c r="I942" s="37" t="str">
        <x:v>Tuerca clase 8 / ISO 898-2</x:v>
      </x:c>
      <x:c r="J942" t="str">
        <x:v>Cantidades por conjunto; no sumar como total de máquina.</x:v>
      </x:c>
    </x:row>
    <x:row r="943" ht="30" customHeight="1">
      <x:c r="A943" t="str">
        <x:v>TT10_C05_PC_17</x:v>
      </x:c>
      <x:c r="B943" t="str">
        <x:v>Volante, eje y freno del timón</x:v>
      </x:c>
      <x:c r="C943" t="n">
        <x:v>472</x:v>
      </x:c>
      <x:c r="D943" t="str">
        <x:v>TT10_TM_PUNO_W0</x:v>
      </x:c>
      <x:c r="E943" t="n">
        <x:v>1</x:v>
      </x:c>
      <x:c r="F943" t="n">
        <x:v>1</x:v>
      </x:c>
      <x:c r="G943" t="str">
        <x:v>Compra</x:v>
      </x:c>
      <x:c r="H943" s="37" t="str">
        <x:v>Arandela lisa D20/d10.5/t1 para empuñadura</x:v>
      </x:c>
      <x:c r="I943" s="37" t="str">
        <x:v>Arandela endurecida 300 HV / ISO 7089</x:v>
      </x:c>
      <x:c r="J943" t="str">
        <x:v>Cantidades por conjunto; no sumar como total de máquina.</x:v>
      </x:c>
    </x:row>
    <x:row r="944" ht="30" customHeight="1">
      <x:c r="A944" t="str">
        <x:v>TT10_C05_PC_17</x:v>
      </x:c>
      <x:c r="B944" t="str">
        <x:v>Volante, eje y freno del timón</x:v>
      </x:c>
      <x:c r="C944" t="n">
        <x:v>473</x:v>
      </x:c>
      <x:c r="D944" t="str">
        <x:v>TT10_TM_PUNO_W1</x:v>
      </x:c>
      <x:c r="E944" t="n">
        <x:v>1</x:v>
      </x:c>
      <x:c r="F944" t="n">
        <x:v>1</x:v>
      </x:c>
      <x:c r="G944" t="str">
        <x:v>Compra</x:v>
      </x:c>
      <x:c r="H944" s="37" t="str">
        <x:v>Arandela lisa D20/d10.5/t1 para empuñadura</x:v>
      </x:c>
      <x:c r="I944" s="37" t="str">
        <x:v>Arandela endurecida 300 HV / ISO 7089</x:v>
      </x:c>
      <x:c r="J944" t="str">
        <x:v>Cantidades por conjunto; no sumar como total de máquina.</x:v>
      </x:c>
    </x:row>
    <x:row r="945" ht="30" customHeight="1">
      <x:c r="A945" t="str">
        <x:v>TT10_C05_PC_17</x:v>
      </x:c>
      <x:c r="B945" t="str">
        <x:v>Volante, eje y freno del timón</x:v>
      </x:c>
      <x:c r="C945" t="n">
        <x:v>474</x:v>
      </x:c>
      <x:c r="D945" t="str">
        <x:v>TT10_TM_PUNO_W8</x:v>
      </x:c>
      <x:c r="E945" t="n">
        <x:v>1</x:v>
      </x:c>
      <x:c r="F945" t="n">
        <x:v>1</x:v>
      </x:c>
      <x:c r="G945" t="str">
        <x:v>Compra</x:v>
      </x:c>
      <x:c r="H945" s="37" t="str">
        <x:v>Arandela M8 D16/d8.4/t1.6</x:v>
      </x:c>
      <x:c r="I945" s="37" t="str">
        <x:v>Arandela endurecida 300 HV / ISO 7089</x:v>
      </x:c>
      <x:c r="J945" t="str">
        <x:v>Cantidades por conjunto; no sumar como total de máquina.</x:v>
      </x:c>
    </x:row>
    <x:row r="946" ht="30" customHeight="1">
      <x:c r="A946" t="str">
        <x:v>TT10_C05_PC_17</x:v>
      </x:c>
      <x:c r="B946" t="str">
        <x:v>Volante, eje y freno del timón</x:v>
      </x:c>
      <x:c r="C946" t="n">
        <x:v>475</x:v>
      </x:c>
      <x:c r="D946" t="str">
        <x:v>TT10_TM_SY30_0</x:v>
      </x:c>
      <x:c r="E946" t="n">
        <x:v>3</x:v>
      </x:c>
      <x:c r="F946" t="n">
        <x:v>3</x:v>
      </x:c>
      <x:c r="G946" t="str">
        <x:v>Compra</x:v>
      </x:c>
      <x:c r="H946" s="37" t="str">
        <x:v>SKF SY30TF, d30, H42.9, base152x40, pasos117.5; interfaces nominales</x:v>
      </x:c>
      <x:c r="I946" s="37" t="str">
        <x:v>Conjunto comprado; acero/ fundición según OEM</x:v>
      </x:c>
      <x:c r="J946" t="str">
        <x:v>Cantidades por conjunto; no sumar como total de máquina.</x:v>
      </x:c>
    </x:row>
    <x:row r="947" ht="30" customHeight="1">
      <x:c r="A947" t="str">
        <x:v>TT10_C05_PC_17</x:v>
      </x:c>
      <x:c r="B947" t="str">
        <x:v>Volante, eje y freno del timón</x:v>
      </x:c>
      <x:c r="C947" t="n">
        <x:v>476</x:v>
      </x:c>
      <x:c r="D947" t="str">
        <x:v>TT10_TM_SY30_1</x:v>
      </x:c>
      <x:c r="E947" t="n">
        <x:v>1</x:v>
      </x:c>
      <x:c r="F947" t="n">
        <x:v>1</x:v>
      </x:c>
      <x:c r="G947" t="str">
        <x:v>Compra</x:v>
      </x:c>
      <x:c r="H947" s="37" t="str">
        <x:v>SKF SY30TF, d30, H42.9, base152x40, pasos117.5; interfaces nominales</x:v>
      </x:c>
      <x:c r="I947" s="37" t="str">
        <x:v>Conjunto comprado; acero/ fundición según OEM</x:v>
      </x:c>
      <x:c r="J947" t="str">
        <x:v>Cantidades por conjunto; no sumar como total de máquina.</x:v>
      </x:c>
    </x:row>
    <x:row r="948" ht="30" customHeight="1">
      <x:c r="A948" t="str">
        <x:v>TT10_C05_PC_17</x:v>
      </x:c>
      <x:c r="B948" t="str">
        <x:v>Volante, eje y freno del timón</x:v>
      </x:c>
      <x:c r="C948" t="n">
        <x:v>477</x:v>
      </x:c>
      <x:c r="D948" t="str">
        <x:v>TT10_TM_TORNILLO16</x:v>
      </x:c>
      <x:c r="E948" t="n">
        <x:v>1</x:v>
      </x:c>
      <x:c r="F948" t="n">
        <x:v>1</x:v>
      </x:c>
      <x:c r="G948" t="str">
        <x:v>Compra</x:v>
      </x:c>
      <x:c r="H948" s="37" t="str">
        <x:v>Tornillo M16x35 clase8.8, s24; retiene axialmente rueda y cubo</x:v>
      </x:c>
      <x:c r="I948" s="37" t="str">
        <x:v>Clase 8.8 / ISO 898-1</x:v>
      </x:c>
      <x:c r="J948" t="str">
        <x:v>Cantidades por conjunto; no sumar como total de máquina.</x:v>
      </x:c>
    </x:row>
    <x:row r="949" ht="30" customHeight="1">
      <x:c r="A949" t="str">
        <x:v>TT10_C05_PC_17</x:v>
      </x:c>
      <x:c r="B949" t="str">
        <x:v>Volante, eje y freno del timón</x:v>
      </x:c>
      <x:c r="C949" t="n">
        <x:v>478</x:v>
      </x:c>
      <x:c r="D949" t="str">
        <x:v>TT10_TM_VOLANTE</x:v>
      </x:c>
      <x:c r="E949" t="n">
        <x:v>1</x:v>
      </x:c>
      <x:c r="F949" t="n">
        <x:v>1</x:v>
      </x:c>
      <x:c r="G949" t="str">
        <x:v>Fabricación</x:v>
      </x:c>
      <x:c r="H949" s="37" t="str">
        <x:v>Volante D500 t12, cuatro radios; D8.5 para empuñadura; soldado al cubo</x:v>
      </x:c>
      <x:c r="I949" s="37" t="str">
        <x:v>ASTM A36</x:v>
      </x:c>
      <x:c r="J949" t="str">
        <x:v>Cantidades por conjunto; no sumar como total de máquina.</x:v>
      </x:c>
    </x:row>
    <x:row r="950" ht="30" customHeight="1">
      <x:c r="A950" t="str">
        <x:v>TT10_C05_PC_17</x:v>
      </x:c>
      <x:c r="B950" t="str">
        <x:v>Volante, eje y freno del timón</x:v>
      </x:c>
      <x:c r="C950" t="n">
        <x:v>479</x:v>
      </x:c>
      <x:c r="D950" t="str">
        <x:v>TT10_TM_W12_0</x:v>
      </x:c>
      <x:c r="E950" t="n">
        <x:v>1</x:v>
      </x:c>
      <x:c r="F950" t="n">
        <x:v>1</x:v>
      </x:c>
      <x:c r="G950" t="str">
        <x:v>Compra</x:v>
      </x:c>
      <x:c r="H950" s="37" t="str">
        <x:v>Arandela M12 D24/d13/t2.5</x:v>
      </x:c>
      <x:c r="I950" s="37" t="str">
        <x:v>Arandela endurecida 300 HV / ISO 7089</x:v>
      </x:c>
      <x:c r="J950" t="str">
        <x:v>Cantidades por conjunto; no sumar como total de máquina.</x:v>
      </x:c>
    </x:row>
    <x:row r="951" ht="30" customHeight="1">
      <x:c r="A951" t="str">
        <x:v>TT10_C05_PC_17</x:v>
      </x:c>
      <x:c r="B951" t="str">
        <x:v>Volante, eje y freno del timón</x:v>
      </x:c>
      <x:c r="C951" t="n">
        <x:v>480</x:v>
      </x:c>
      <x:c r="D951" t="str">
        <x:v>TT10_TM_W12_1</x:v>
      </x:c>
      <x:c r="E951" t="n">
        <x:v>1</x:v>
      </x:c>
      <x:c r="F951" t="n">
        <x:v>1</x:v>
      </x:c>
      <x:c r="G951" t="str">
        <x:v>Compra</x:v>
      </x:c>
      <x:c r="H951" s="37" t="str">
        <x:v>Arandela M12 D24/d13/t2.5</x:v>
      </x:c>
      <x:c r="I951" s="37" t="str">
        <x:v>Arandela endurecida 300 HV / ISO 7089</x:v>
      </x:c>
      <x:c r="J951" t="str">
        <x:v>Cantidades por conjunto; no sumar como total de máquina.</x:v>
      </x:c>
    </x:row>
    <x:row r="952" ht="30" customHeight="1">
      <x:c r="A952" t="str">
        <x:v>TT10_C05_PC_17</x:v>
      </x:c>
      <x:c r="B952" t="str">
        <x:v>Volante, eje y freno del timón</x:v>
      </x:c>
      <x:c r="C952" t="n">
        <x:v>481</x:v>
      </x:c>
      <x:c r="D952" t="str">
        <x:v>TT10_TM_W12_2</x:v>
      </x:c>
      <x:c r="E952" t="n">
        <x:v>1</x:v>
      </x:c>
      <x:c r="F952" t="n">
        <x:v>1</x:v>
      </x:c>
      <x:c r="G952" t="str">
        <x:v>Compra</x:v>
      </x:c>
      <x:c r="H952" s="37" t="str">
        <x:v>Arandela M12 D24/d13/t2.5</x:v>
      </x:c>
      <x:c r="I952" s="37" t="str">
        <x:v>Arandela endurecida 300 HV / ISO 7089</x:v>
      </x:c>
      <x:c r="J952" t="str">
        <x:v>Cantidades por conjunto; no sumar como total de máquina.</x:v>
      </x:c>
    </x:row>
    <x:row r="953" ht="30" customHeight="1">
      <x:c r="A953" t="str">
        <x:v>TT10_C05_PC_17</x:v>
      </x:c>
      <x:c r="B953" t="str">
        <x:v>Volante, eje y freno del timón</x:v>
      </x:c>
      <x:c r="C953" t="n">
        <x:v>482</x:v>
      </x:c>
      <x:c r="D953" t="str">
        <x:v>TT10_TM_W12_3</x:v>
      </x:c>
      <x:c r="E953" t="n">
        <x:v>1</x:v>
      </x:c>
      <x:c r="F953" t="n">
        <x:v>1</x:v>
      </x:c>
      <x:c r="G953" t="str">
        <x:v>Compra</x:v>
      </x:c>
      <x:c r="H953" s="37" t="str">
        <x:v>Arandela M12 D24/d13/t2.5</x:v>
      </x:c>
      <x:c r="I953" s="37" t="str">
        <x:v>Arandela endurecida 300 HV / ISO 7089</x:v>
      </x:c>
      <x:c r="J953" t="str">
        <x:v>Cantidades por conjunto; no sumar como total de máquina.</x:v>
      </x:c>
    </x:row>
    <x:row r="954" ht="30" customHeight="1">
      <x:c r="A954" t="str">
        <x:v>TT10_C05_PC_18</x:v>
      </x:c>
      <x:c r="B954" t="str">
        <x:v>Transmisión por cadena y acoples</x:v>
      </x:c>
      <x:c r="C954" t="n">
        <x:v>8</x:v>
      </x:c>
      <x:c r="D954" t="str">
        <x:v>TT10_C03_CADENA_ESLABON</x:v>
      </x:c>
      <x:c r="E954" t="n">
        <x:v>122</x:v>
      </x:c>
      <x:c r="F954" t="n">
        <x:v>122</x:v>
      </x:c>
      <x:c r="G954" t="str">
        <x:v>Compra</x:v>
      </x:c>
      <x:c r="H954" s="37" t="str">
        <x:v>Renold16B1: referencia visual de eslabon; no fabricar. Rodillos compartidos representados dos veces</x:v>
      </x:c>
      <x:c r="I954" s="37" t="str">
        <x:v>Equipo comprado Renold</x:v>
      </x:c>
      <x:c r="J954" t="str">
        <x:v>Cantidades por conjunto; no sumar como total de máquina.</x:v>
      </x:c>
    </x:row>
    <x:row r="955" ht="30" customHeight="1">
      <x:c r="A955" t="str">
        <x:v>TT10_C05_PC_18</x:v>
      </x:c>
      <x:c r="B955" t="str">
        <x:v>Transmisión por cadena y acoples</x:v>
      </x:c>
      <x:c r="C955" t="n">
        <x:v>28</x:v>
      </x:c>
      <x:c r="D955" t="str">
        <x:v>TT10_C04_ACOPLE_0</x:v>
      </x:c>
      <x:c r="E955" t="n">
        <x:v>1</x:v>
      </x:c>
      <x:c r="F955" t="n">
        <x:v>1</x:v>
      </x:c>
      <x:c r="G955" t="str">
        <x:v>Fabricación</x:v>
      </x:c>
      <x:c r="H955" s="37" t="str">
        <x:v>Brida110x8,PCD82/6M8; bore30H7; asiento25, desmontaje axial</x:v>
      </x:c>
      <x:c r="I955" s="37" t="str">
        <x:v>C45E / EN 10083-2</x:v>
      </x:c>
      <x:c r="J955" t="str">
        <x:v>Cantidades por conjunto; no sumar como total de máquina.</x:v>
      </x:c>
    </x:row>
    <x:row r="956" ht="30" customHeight="1">
      <x:c r="A956" t="str">
        <x:v>TT10_C05_PC_18</x:v>
      </x:c>
      <x:c r="B956" t="str">
        <x:v>Transmisión por cadena y acoples</x:v>
      </x:c>
      <x:c r="C956" t="n">
        <x:v>29</x:v>
      </x:c>
      <x:c r="D956" t="str">
        <x:v>TT10_C04_ACOPLE_1</x:v>
      </x:c>
      <x:c r="E956" t="n">
        <x:v>1</x:v>
      </x:c>
      <x:c r="F956" t="n">
        <x:v>1</x:v>
      </x:c>
      <x:c r="G956" t="str">
        <x:v>Fabricación</x:v>
      </x:c>
      <x:c r="H956" s="37" t="str">
        <x:v>Brida110x8,PCD82/6M8; bore30H7; asiento30, desmontaje axial</x:v>
      </x:c>
      <x:c r="I956" s="37" t="str">
        <x:v>C45E / EN 10083-2</x:v>
      </x:c>
      <x:c r="J956" t="str">
        <x:v>Cantidades por conjunto; no sumar como total de máquina.</x:v>
      </x:c>
    </x:row>
    <x:row r="957" ht="30" customHeight="1">
      <x:c r="A957" t="str">
        <x:v>TT10_C05_PC_18</x:v>
      </x:c>
      <x:c r="B957" t="str">
        <x:v>Transmisión por cadena y acoples</x:v>
      </x:c>
      <x:c r="C957" t="n">
        <x:v>30</x:v>
      </x:c>
      <x:c r="D957" t="str">
        <x:v>TT10_C04_ACOPLE_B8_0</x:v>
      </x:c>
      <x:c r="E957" t="n">
        <x:v>4</x:v>
      </x:c>
      <x:c r="F957" t="n">
        <x:v>4</x:v>
      </x:c>
      <x:c r="G957" t="str">
        <x:v>Compra</x:v>
      </x:c>
      <x:c r="H957" s="37" t="str">
        <x:v>M8x25,8.8; cabeza exterior; apriete por plano</x:v>
      </x:c>
      <x:c r="I957" s="37" t="str">
        <x:v>Clase 10.9 / ISO 898-1</x:v>
      </x:c>
      <x:c r="J957" t="str">
        <x:v>Cantidades por conjunto; no sumar como total de máquina.</x:v>
      </x:c>
    </x:row>
    <x:row r="958" ht="30" customHeight="1">
      <x:c r="A958" t="str">
        <x:v>TT10_C05_PC_18</x:v>
      </x:c>
      <x:c r="B958" t="str">
        <x:v>Transmisión por cadena y acoples</x:v>
      </x:c>
      <x:c r="C958" t="n">
        <x:v>31</x:v>
      </x:c>
      <x:c r="D958" t="str">
        <x:v>TT10_C04_ACOPLE_B8_4</x:v>
      </x:c>
      <x:c r="E958" t="n">
        <x:v>2</x:v>
      </x:c>
      <x:c r="F958" t="n">
        <x:v>2</x:v>
      </x:c>
      <x:c r="G958" t="str">
        <x:v>Compra</x:v>
      </x:c>
      <x:c r="H958" s="37" t="str">
        <x:v>M8x25,8.8; cabeza exterior; apriete por plano</x:v>
      </x:c>
      <x:c r="I958" s="37" t="str">
        <x:v>Clase 10.9 / ISO 898-1</x:v>
      </x:c>
      <x:c r="J958" t="str">
        <x:v>Cantidades por conjunto; no sumar como total de máquina.</x:v>
      </x:c>
    </x:row>
    <x:row r="959" ht="30" customHeight="1">
      <x:c r="A959" t="str">
        <x:v>TT10_C05_PC_18</x:v>
      </x:c>
      <x:c r="B959" t="str">
        <x:v>Transmisión por cadena y acoples</x:v>
      </x:c>
      <x:c r="C959" t="n">
        <x:v>32</x:v>
      </x:c>
      <x:c r="D959" t="str">
        <x:v>TT10_C04_ACOPLE_N8_0</x:v>
      </x:c>
      <x:c r="E959" t="n">
        <x:v>4</x:v>
      </x:c>
      <x:c r="F959" t="n">
        <x:v>4</x:v>
      </x:c>
      <x:c r="G959" t="str">
        <x:v>Compra</x:v>
      </x:c>
      <x:c r="H959" s="37" t="str">
        <x:v>TuercaM8 clase8, autoblocante nominal</x:v>
      </x:c>
      <x:c r="I959" s="37" t="str">
        <x:v>Tuerca clase 10 / ISO 898-2</x:v>
      </x:c>
      <x:c r="J959" t="str">
        <x:v>Cantidades por conjunto; no sumar como total de máquina.</x:v>
      </x:c>
    </x:row>
    <x:row r="960" ht="30" customHeight="1">
      <x:c r="A960" t="str">
        <x:v>TT10_C05_PC_18</x:v>
      </x:c>
      <x:c r="B960" t="str">
        <x:v>Transmisión por cadena y acoples</x:v>
      </x:c>
      <x:c r="C960" t="n">
        <x:v>33</x:v>
      </x:c>
      <x:c r="D960" t="str">
        <x:v>TT10_C04_ACOPLE_N8_2</x:v>
      </x:c>
      <x:c r="E960" t="n">
        <x:v>2</x:v>
      </x:c>
      <x:c r="F960" t="n">
        <x:v>2</x:v>
      </x:c>
      <x:c r="G960" t="str">
        <x:v>Compra</x:v>
      </x:c>
      <x:c r="H960" s="37" t="str">
        <x:v>TuercaM8 clase8, autoblocante nominal</x:v>
      </x:c>
      <x:c r="I960" s="37" t="str">
        <x:v>Tuerca clase 10 / ISO 898-2</x:v>
      </x:c>
      <x:c r="J960" t="str">
        <x:v>Cantidades por conjunto; no sumar como total de máquina.</x:v>
      </x:c>
    </x:row>
    <x:row r="961" ht="30" customHeight="1">
      <x:c r="A961" t="str">
        <x:v>TT10_C05_PC_18</x:v>
      </x:c>
      <x:c r="B961" t="str">
        <x:v>Transmisión por cadena y acoples</x:v>
      </x:c>
      <x:c r="C961" t="n">
        <x:v>34</x:v>
      </x:c>
      <x:c r="D961" t="str">
        <x:v>TT10_C04_ASIENTO_CHUMACERAS</x:v>
      </x:c>
      <x:c r="E961" t="n">
        <x:v>1</x:v>
      </x:c>
      <x:c r="F961" t="n">
        <x:v>1</x:v>
      </x:c>
      <x:c r="G961" t="str">
        <x:v>Compra</x:v>
      </x:c>
      <x:c r="H961" s="37" t="str">
        <x:v>Bloque90x180x52.1; cara superior mecanizada y4M12 ciegas28</x:v>
      </x:c>
      <x:c r="I961" s="37" t="str">
        <x:v>Conjunto comprado; acero/ fundición según OEM</x:v>
      </x:c>
      <x:c r="J961" t="str">
        <x:v>Cantidades por conjunto; no sumar como total de máquina.</x:v>
      </x:c>
    </x:row>
    <x:row r="962" ht="30" customHeight="1">
      <x:c r="A962" t="str">
        <x:v>TT10_C05_PC_18</x:v>
      </x:c>
      <x:c r="B962" t="str">
        <x:v>Transmisión por cadena y acoples</x:v>
      </x:c>
      <x:c r="C962" t="n">
        <x:v>40</x:v>
      </x:c>
      <x:c r="D962" t="str">
        <x:v>TT10_C04_BANCADA</x:v>
      </x:c>
      <x:c r="E962" t="n">
        <x:v>1</x:v>
      </x:c>
      <x:c r="F962" t="n">
        <x:v>1</x:v>
      </x:c>
      <x:c r="G962" t="str">
        <x:v>Fabricación</x:v>
      </x:c>
      <x:c r="H962" s="37" t="str">
        <x:v>Bancada215x200x20, sobre poste corto; soldaduraa3</x:v>
      </x:c>
      <x:c r="I962" s="37" t="str">
        <x:v>ASTM A36</x:v>
      </x:c>
      <x:c r="J962" t="str">
        <x:v>Cantidades por conjunto; no sumar como total de máquina.</x:v>
      </x:c>
    </x:row>
    <x:row r="963" ht="30" customHeight="1">
      <x:c r="A963" t="str">
        <x:v>TT10_C05_PC_18</x:v>
      </x:c>
      <x:c r="B963" t="str">
        <x:v>Transmisión por cadena y acoples</x:v>
      </x:c>
      <x:c r="C963" t="n">
        <x:v>41</x:v>
      </x:c>
      <x:c r="D963" t="str">
        <x:v>TT10_C04_CARTELA_0</x:v>
      </x:c>
      <x:c r="E963" t="n">
        <x:v>1</x:v>
      </x:c>
      <x:c r="F963" t="n">
        <x:v>1</x:v>
      </x:c>
      <x:c r="G963" t="str">
        <x:v>Fabricación</x:v>
      </x:c>
      <x:c r="H963" s="37" t="str">
        <x:v>Cartela12,165x55, a3 continuo a placa y poste</x:v>
      </x:c>
      <x:c r="I963" s="37" t="str">
        <x:v>ASTM A36</x:v>
      </x:c>
      <x:c r="J963" t="str">
        <x:v>Cantidades por conjunto; no sumar como total de máquina.</x:v>
      </x:c>
    </x:row>
    <x:row r="964" ht="30" customHeight="1">
      <x:c r="A964" t="str">
        <x:v>TT10_C05_PC_18</x:v>
      </x:c>
      <x:c r="B964" t="str">
        <x:v>Transmisión por cadena y acoples</x:v>
      </x:c>
      <x:c r="C964" t="n">
        <x:v>42</x:v>
      </x:c>
      <x:c r="D964" t="str">
        <x:v>TT10_C04_CARTELA_1</x:v>
      </x:c>
      <x:c r="E964" t="n">
        <x:v>1</x:v>
      </x:c>
      <x:c r="F964" t="n">
        <x:v>1</x:v>
      </x:c>
      <x:c r="G964" t="str">
        <x:v>Fabricación</x:v>
      </x:c>
      <x:c r="H964" s="37" t="str">
        <x:v>Cartela12,165x55, a3 continuo a placa y poste</x:v>
      </x:c>
      <x:c r="I964" s="37" t="str">
        <x:v>ASTM A36</x:v>
      </x:c>
      <x:c r="J964" t="str">
        <x:v>Cantidades por conjunto; no sumar como total de máquina.</x:v>
      </x:c>
    </x:row>
    <x:row r="965" ht="30" customHeight="1">
      <x:c r="A965" t="str">
        <x:v>TT10_C05_PC_18</x:v>
      </x:c>
      <x:c r="B965" t="str">
        <x:v>Transmisión por cadena y acoples</x:v>
      </x:c>
      <x:c r="C965" t="n">
        <x:v>43</x:v>
      </x:c>
      <x:c r="D965" t="str">
        <x:v>TT10_C04_CHAVETA_ACOPLE_0</x:v>
      </x:c>
      <x:c r="E965" t="n">
        <x:v>1</x:v>
      </x:c>
      <x:c r="F965" t="n">
        <x:v>1</x:v>
      </x:c>
      <x:c r="G965" t="str">
        <x:v>Compra</x:v>
      </x:c>
      <x:c r="H965" s="37" t="str">
        <x:v>Chaveta8x7x25</x:v>
      </x:c>
      <x:c r="I965" s="37" t="str">
        <x:v>AISI 4140 bonificado</x:v>
      </x:c>
      <x:c r="J965" t="str">
        <x:v>Cantidades por conjunto; no sumar como total de máquina.</x:v>
      </x:c>
    </x:row>
    <x:row r="966" ht="30" customHeight="1">
      <x:c r="A966" t="str">
        <x:v>TT10_C05_PC_18</x:v>
      </x:c>
      <x:c r="B966" t="str">
        <x:v>Transmisión por cadena y acoples</x:v>
      </x:c>
      <x:c r="C966" t="n">
        <x:v>44</x:v>
      </x:c>
      <x:c r="D966" t="str">
        <x:v>TT10_C04_CHAVETA_ACOPLE_1</x:v>
      </x:c>
      <x:c r="E966" t="n">
        <x:v>1</x:v>
      </x:c>
      <x:c r="F966" t="n">
        <x:v>1</x:v>
      </x:c>
      <x:c r="G966" t="str">
        <x:v>Compra</x:v>
      </x:c>
      <x:c r="H966" s="37" t="str">
        <x:v>Chaveta8x7x30</x:v>
      </x:c>
      <x:c r="I966" s="37" t="str">
        <x:v>AISI 4140 bonificado</x:v>
      </x:c>
      <x:c r="J966" t="str">
        <x:v>Cantidades por conjunto; no sumar como total de máquina.</x:v>
      </x:c>
    </x:row>
    <x:row r="967" ht="30" customHeight="1">
      <x:c r="A967" t="str">
        <x:v>TT10_C05_PC_18</x:v>
      </x:c>
      <x:c r="B967" t="str">
        <x:v>Transmisión por cadena y acoples</x:v>
      </x:c>
      <x:c r="C967" t="n">
        <x:v>45</x:v>
      </x:c>
      <x:c r="D967" t="str">
        <x:v>TT10_C04_CHAVETA_CORONA</x:v>
      </x:c>
      <x:c r="E967" t="n">
        <x:v>1</x:v>
      </x:c>
      <x:c r="F967" t="n">
        <x:v>1</x:v>
      </x:c>
      <x:c r="G967" t="str">
        <x:v>Compra</x:v>
      </x:c>
      <x:c r="H967" s="37" t="str">
        <x:v>Chaveta8x7x40 de corona</x:v>
      </x:c>
      <x:c r="I967" s="37" t="str">
        <x:v>AISI 4140 bonificado</x:v>
      </x:c>
      <x:c r="J967" t="str">
        <x:v>Cantidades por conjunto; no sumar como total de máquina.</x:v>
      </x:c>
    </x:row>
    <x:row r="968" ht="30" customHeight="1">
      <x:c r="A968" t="str">
        <x:v>TT10_C05_PC_18</x:v>
      </x:c>
      <x:c r="B968" t="str">
        <x:v>Transmisión por cadena y acoples</x:v>
      </x:c>
      <x:c r="C968" t="n">
        <x:v>47</x:v>
      </x:c>
      <x:c r="D968" t="str">
        <x:v>TT10_C04_CORONA_20D</x:v>
      </x:c>
      <x:c r="E968" t="n">
        <x:v>1</x:v>
      </x:c>
      <x:c r="F968" t="n">
        <x:v>1</x:v>
      </x:c>
      <x:c r="G968" t="str">
        <x:v>Compra</x:v>
      </x:c>
      <x:c r="H968" s="37" t="str">
        <x:v>Corona10888120; bore30H7 y chavetero8JS9 abierto al bore en todo su ancho; dentado comprado simplificado</x:v>
      </x:c>
      <x:c r="I968" s="37" t="str">
        <x:v>C45E</x:v>
      </x:c>
      <x:c r="J968" t="str">
        <x:v>Cantidades por conjunto; no sumar como total de máquina.</x:v>
      </x:c>
    </x:row>
    <x:row r="969" ht="30" customHeight="1">
      <x:c r="A969" t="str">
        <x:v>TT10_C05_PC_18</x:v>
      </x:c>
      <x:c r="B969" t="str">
        <x:v>Transmisión por cadena y acoples</x:v>
      </x:c>
      <x:c r="C969" t="n">
        <x:v>49</x:v>
      </x:c>
      <x:c r="D969" t="str">
        <x:v>TT10_C04_EJE_MANUAL</x:v>
      </x:c>
      <x:c r="E969" t="n">
        <x:v>1</x:v>
      </x:c>
      <x:c r="F969" t="n">
        <x:v>1</x:v>
      </x:c>
      <x:c r="G969" t="str">
        <x:v>Fabricación</x:v>
      </x:c>
      <x:c r="H969" s="37" t="str">
        <x:v>EjeD30h7,L184; chaveteros8x7, t1=4, extremos planos</x:v>
      </x:c>
      <x:c r="I969" s="37" t="str">
        <x:v>AISI 4140 bonificado</x:v>
      </x:c>
      <x:c r="J969" t="str">
        <x:v>Cantidades por conjunto; no sumar como total de máquina.</x:v>
      </x:c>
    </x:row>
    <x:row r="970" ht="30" customHeight="1">
      <x:c r="A970" t="str">
        <x:v>TT10_C05_PC_18</x:v>
      </x:c>
      <x:c r="B970" t="str">
        <x:v>Transmisión por cadena y acoples</x:v>
      </x:c>
      <x:c r="C970" t="n">
        <x:v>53</x:v>
      </x:c>
      <x:c r="D970" t="str">
        <x:v>TT10_C04_GUARDA_ANCLA6_4470</x:v>
      </x:c>
      <x:c r="E970" t="n">
        <x:v>1</x:v>
      </x:c>
      <x:c r="F970" t="n">
        <x:v>1</x:v>
      </x:c>
      <x:c r="G970" t="str">
        <x:v>Compra</x:v>
      </x:c>
      <x:c r="H970" s="37" t="str">
        <x:v>M6x16,8.8 a bancada; no anclaje a losa</x:v>
      </x:c>
      <x:c r="I970" s="37" t="str">
        <x:v>Tornilleria8.8</x:v>
      </x:c>
      <x:c r="J970" t="str">
        <x:v>Cantidades por conjunto; no sumar como total de máquina.</x:v>
      </x:c>
    </x:row>
    <x:row r="971" ht="30" customHeight="1">
      <x:c r="A971" t="str">
        <x:v>TT10_C05_PC_18</x:v>
      </x:c>
      <x:c r="B971" t="str">
        <x:v>Transmisión por cadena y acoples</x:v>
      </x:c>
      <x:c r="C971" t="n">
        <x:v>54</x:v>
      </x:c>
      <x:c r="D971" t="str">
        <x:v>TT10_C04_GUARDA_ANCLA6_4630</x:v>
      </x:c>
      <x:c r="E971" t="n">
        <x:v>1</x:v>
      </x:c>
      <x:c r="F971" t="n">
        <x:v>1</x:v>
      </x:c>
      <x:c r="G971" t="str">
        <x:v>Compra</x:v>
      </x:c>
      <x:c r="H971" s="37" t="str">
        <x:v>M6x16,8.8 a bancada; no anclaje a losa</x:v>
      </x:c>
      <x:c r="I971" s="37" t="str">
        <x:v>Tornilleria8.8</x:v>
      </x:c>
      <x:c r="J971" t="str">
        <x:v>Cantidades por conjunto; no sumar como total de máquina.</x:v>
      </x:c>
    </x:row>
    <x:row r="972" ht="30" customHeight="1">
      <x:c r="A972" t="str">
        <x:v>TT10_C05_PC_18</x:v>
      </x:c>
      <x:c r="B972" t="str">
        <x:v>Transmisión por cadena y acoples</x:v>
      </x:c>
      <x:c r="C972" t="n">
        <x:v>55</x:v>
      </x:c>
      <x:c r="D972" t="str">
        <x:v>TT10_C04_GUARDA_B6_0</x:v>
      </x:c>
      <x:c r="E972" t="n">
        <x:v>4</x:v>
      </x:c>
      <x:c r="F972" t="n">
        <x:v>4</x:v>
      </x:c>
      <x:c r="G972" t="str">
        <x:v>Compra</x:v>
      </x:c>
      <x:c r="H972" s="37" t="str">
        <x:v>M6x50,8.8 para tapa frontal</x:v>
      </x:c>
      <x:c r="I972" s="37" t="str">
        <x:v>Clase 8.8 / ISO 898-1</x:v>
      </x:c>
      <x:c r="J972" t="str">
        <x:v>Cantidades por conjunto; no sumar como total de máquina.</x:v>
      </x:c>
    </x:row>
    <x:row r="973" ht="30" customHeight="1">
      <x:c r="A973" t="str">
        <x:v>TT10_C05_PC_18</x:v>
      </x:c>
      <x:c r="B973" t="str">
        <x:v>Transmisión por cadena y acoples</x:v>
      </x:c>
      <x:c r="C973" t="n">
        <x:v>56</x:v>
      </x:c>
      <x:c r="D973" t="str">
        <x:v>TT10_C04_GUARDA_BANDA</x:v>
      </x:c>
      <x:c r="E973" t="n">
        <x:v>1</x:v>
      </x:c>
      <x:c r="F973" t="n">
        <x:v>1</x:v>
      </x:c>
      <x:c r="G973" t="str">
        <x:v>Fabricación</x:v>
      </x:c>
      <x:c r="H973" s="37" t="str">
        <x:v>Banda2, ancho36; tapa inferior; soldar a posterior, frontal desmontable</x:v>
      </x:c>
      <x:c r="I973" s="37" t="str">
        <x:v>ASTM A36</x:v>
      </x:c>
      <x:c r="J973" t="str">
        <x:v>Cantidades por conjunto; no sumar como total de máquina.</x:v>
      </x:c>
    </x:row>
    <x:row r="974" ht="30" customHeight="1">
      <x:c r="A974" t="str">
        <x:v>TT10_C05_PC_18</x:v>
      </x:c>
      <x:c r="B974" t="str">
        <x:v>Transmisión por cadena y acoples</x:v>
      </x:c>
      <x:c r="C974" t="n">
        <x:v>57</x:v>
      </x:c>
      <x:c r="D974" t="str">
        <x:v>TT10_C04_GUARDA_BASEW6_4470</x:v>
      </x:c>
      <x:c r="E974" t="n">
        <x:v>1</x:v>
      </x:c>
      <x:c r="F974" t="n">
        <x:v>1</x:v>
      </x:c>
      <x:c r="G974" t="str">
        <x:v>Compra</x:v>
      </x:c>
      <x:c r="H974" s="37" t="str">
        <x:v>Arandela6,12x6.6x2</x:v>
      </x:c>
      <x:c r="I974" s="37" t="str">
        <x:v>Arandela endurecida 300 HV / ISO 7089</x:v>
      </x:c>
      <x:c r="J974" t="str">
        <x:v>Cantidades por conjunto; no sumar como total de máquina.</x:v>
      </x:c>
    </x:row>
    <x:row r="975" ht="30" customHeight="1">
      <x:c r="A975" t="str">
        <x:v>TT10_C05_PC_18</x:v>
      </x:c>
      <x:c r="B975" t="str">
        <x:v>Transmisión por cadena y acoples</x:v>
      </x:c>
      <x:c r="C975" t="n">
        <x:v>58</x:v>
      </x:c>
      <x:c r="D975" t="str">
        <x:v>TT10_C04_GUARDA_BASEW6_4630</x:v>
      </x:c>
      <x:c r="E975" t="n">
        <x:v>1</x:v>
      </x:c>
      <x:c r="F975" t="n">
        <x:v>1</x:v>
      </x:c>
      <x:c r="G975" t="str">
        <x:v>Compra</x:v>
      </x:c>
      <x:c r="H975" s="37" t="str">
        <x:v>Arandela6,12x6.6x2</x:v>
      </x:c>
      <x:c r="I975" s="37" t="str">
        <x:v>Arandela endurecida 300 HV / ISO 7089</x:v>
      </x:c>
      <x:c r="J975" t="str">
        <x:v>Cantidades por conjunto; no sumar como total de máquina.</x:v>
      </x:c>
    </x:row>
    <x:row r="976" ht="30" customHeight="1">
      <x:c r="A976" t="str">
        <x:v>TT10_C05_PC_18</x:v>
      </x:c>
      <x:c r="B976" t="str">
        <x:v>Transmisión por cadena y acoples</x:v>
      </x:c>
      <x:c r="C976" t="n">
        <x:v>59</x:v>
      </x:c>
      <x:c r="D976" t="str">
        <x:v>TT10_C04_GUARDA_FRONTAL</x:v>
      </x:c>
      <x:c r="E976" t="n">
        <x:v>1</x:v>
      </x:c>
      <x:c r="F976" t="n">
        <x:v>1</x:v>
      </x:c>
      <x:c r="G976" t="str">
        <x:v>Fabricación</x:v>
      </x:c>
      <x:c r="H976" s="37" t="str">
        <x:v>Chapa2; contorno de cadena; inferiorZ1107; paso superior/FRONTAL</x:v>
      </x:c>
      <x:c r="I976" s="37" t="str">
        <x:v>ASTM A36</x:v>
      </x:c>
      <x:c r="J976" t="str">
        <x:v>Cantidades por conjunto; no sumar como total de máquina.</x:v>
      </x:c>
    </x:row>
    <x:row r="977" ht="30" customHeight="1">
      <x:c r="A977" t="str">
        <x:v>TT10_C05_PC_18</x:v>
      </x:c>
      <x:c r="B977" t="str">
        <x:v>Transmisión por cadena y acoples</x:v>
      </x:c>
      <x:c r="C977" t="n">
        <x:v>60</x:v>
      </x:c>
      <x:c r="D977" t="str">
        <x:v>TT10_C04_GUARDA_N6_0</x:v>
      </x:c>
      <x:c r="E977" t="n">
        <x:v>3</x:v>
      </x:c>
      <x:c r="F977" t="n">
        <x:v>3</x:v>
      </x:c>
      <x:c r="G977" t="str">
        <x:v>Compra</x:v>
      </x:c>
      <x:c r="H977" s="37" t="str">
        <x:v>TuercaM6 autoblocante metalica; contorno nominal</x:v>
      </x:c>
      <x:c r="I977" s="37" t="str">
        <x:v>Tornilleria8</x:v>
      </x:c>
      <x:c r="J977" t="str">
        <x:v>Cantidades por conjunto; no sumar como total de máquina.</x:v>
      </x:c>
    </x:row>
    <x:row r="978" ht="30" customHeight="1">
      <x:c r="A978" t="str">
        <x:v>TT10_C05_PC_18</x:v>
      </x:c>
      <x:c r="B978" t="str">
        <x:v>Transmisión por cadena y acoples</x:v>
      </x:c>
      <x:c r="C978" t="n">
        <x:v>61</x:v>
      </x:c>
      <x:c r="D978" t="str">
        <x:v>TT10_C04_GUARDA_N6_2</x:v>
      </x:c>
      <x:c r="E978" t="n">
        <x:v>1</x:v>
      </x:c>
      <x:c r="F978" t="n">
        <x:v>1</x:v>
      </x:c>
      <x:c r="G978" t="str">
        <x:v>Compra</x:v>
      </x:c>
      <x:c r="H978" s="37" t="str">
        <x:v>TuercaM6 autoblocante metalica; contorno nominal</x:v>
      </x:c>
      <x:c r="I978" s="37" t="str">
        <x:v>Tornilleria8</x:v>
      </x:c>
      <x:c r="J978" t="str">
        <x:v>Cantidades por conjunto; no sumar como total de máquina.</x:v>
      </x:c>
    </x:row>
    <x:row r="979" ht="30" customHeight="1">
      <x:c r="A979" t="str">
        <x:v>TT10_C05_PC_18</x:v>
      </x:c>
      <x:c r="B979" t="str">
        <x:v>Transmisión por cadena y acoples</x:v>
      </x:c>
      <x:c r="C979" t="n">
        <x:v>62</x:v>
      </x:c>
      <x:c r="D979" t="str">
        <x:v>TT10_C04_GUARDA_POSTERIOR</x:v>
      </x:c>
      <x:c r="E979" t="n">
        <x:v>1</x:v>
      </x:c>
      <x:c r="F979" t="n">
        <x:v>1</x:v>
      </x:c>
      <x:c r="G979" t="str">
        <x:v>Fabricación</x:v>
      </x:c>
      <x:c r="H979" s="37" t="str">
        <x:v>Chapa2; contorno de cadena; inferiorZ1107; paso superior/POSTERIOR</x:v>
      </x:c>
      <x:c r="I979" s="37" t="str">
        <x:v>ASTM A36</x:v>
      </x:c>
      <x:c r="J979" t="str">
        <x:v>Cantidades por conjunto; no sumar como total de máquina.</x:v>
      </x:c>
    </x:row>
    <x:row r="980" ht="30" customHeight="1">
      <x:c r="A980" t="str">
        <x:v>TT10_C05_PC_18</x:v>
      </x:c>
      <x:c r="B980" t="str">
        <x:v>Transmisión por cadena y acoples</x:v>
      </x:c>
      <x:c r="C980" t="n">
        <x:v>63</x:v>
      </x:c>
      <x:c r="D980" t="str">
        <x:v>TT10_C04_GUARDA_W6_0</x:v>
      </x:c>
      <x:c r="E980" t="n">
        <x:v>3</x:v>
      </x:c>
      <x:c r="F980" t="n">
        <x:v>3</x:v>
      </x:c>
      <x:c r="G980" t="str">
        <x:v>Compra</x:v>
      </x:c>
      <x:c r="H980" s="37" t="str">
        <x:v>ArandelaM6,12x6.6x1.6</x:v>
      </x:c>
      <x:c r="I980" s="37" t="str">
        <x:v>Arandela endurecida 300 HV / ISO 7089</x:v>
      </x:c>
      <x:c r="J980" t="str">
        <x:v>Cantidades por conjunto; no sumar como total de máquina.</x:v>
      </x:c>
    </x:row>
    <x:row r="981" ht="30" customHeight="1">
      <x:c r="A981" t="str">
        <x:v>TT10_C05_PC_18</x:v>
      </x:c>
      <x:c r="B981" t="str">
        <x:v>Transmisión por cadena y acoples</x:v>
      </x:c>
      <x:c r="C981" t="n">
        <x:v>64</x:v>
      </x:c>
      <x:c r="D981" t="str">
        <x:v>TT10_C04_GUARDA_W6_2</x:v>
      </x:c>
      <x:c r="E981" t="n">
        <x:v>1</x:v>
      </x:c>
      <x:c r="F981" t="n">
        <x:v>1</x:v>
      </x:c>
      <x:c r="G981" t="str">
        <x:v>Compra</x:v>
      </x:c>
      <x:c r="H981" s="37" t="str">
        <x:v>ArandelaM6,12x6.6x1.6</x:v>
      </x:c>
      <x:c r="I981" s="37" t="str">
        <x:v>Arandela endurecida 300 HV / ISO 7089</x:v>
      </x:c>
      <x:c r="J981" t="str">
        <x:v>Cantidades por conjunto; no sumar como total de máquina.</x:v>
      </x:c>
    </x:row>
    <x:row r="982" ht="30" customHeight="1">
      <x:c r="A982" t="str">
        <x:v>TT10_C05_PC_18</x:v>
      </x:c>
      <x:c r="B982" t="str">
        <x:v>Transmisión por cadena y acoples</x:v>
      </x:c>
      <x:c r="C982" t="n">
        <x:v>73</x:v>
      </x:c>
      <x:c r="D982" t="str">
        <x:v>TT10_C04_SY30_B12_930_4491.25</x:v>
      </x:c>
      <x:c r="E982" t="n">
        <x:v>2</x:v>
      </x:c>
      <x:c r="F982" t="n">
        <x:v>2</x:v>
      </x:c>
      <x:c r="G982" t="str">
        <x:v>Compra</x:v>
      </x:c>
      <x:c r="H982" s="37" t="str">
        <x:v>M12x45,8.8;25.5mm nominales de rosca util</x:v>
      </x:c>
      <x:c r="I982" s="37" t="str">
        <x:v>Clase 8.8 / ISO 898-1</x:v>
      </x:c>
      <x:c r="J982" t="str">
        <x:v>Cantidades por conjunto; no sumar como total de máquina.</x:v>
      </x:c>
    </x:row>
    <x:row r="983" ht="30" customHeight="1">
      <x:c r="A983" t="str">
        <x:v>TT10_C05_PC_18</x:v>
      </x:c>
      <x:c r="B983" t="str">
        <x:v>Transmisión por cadena y acoples</x:v>
      </x:c>
      <x:c r="C983" t="n">
        <x:v>74</x:v>
      </x:c>
      <x:c r="D983" t="str">
        <x:v>TT10_C04_SY30_B12_972_4491.25</x:v>
      </x:c>
      <x:c r="E983" t="n">
        <x:v>2</x:v>
      </x:c>
      <x:c r="F983" t="n">
        <x:v>2</x:v>
      </x:c>
      <x:c r="G983" t="str">
        <x:v>Compra</x:v>
      </x:c>
      <x:c r="H983" s="37" t="str">
        <x:v>M12x45,8.8;25.5mm nominales de rosca util</x:v>
      </x:c>
      <x:c r="I983" s="37" t="str">
        <x:v>Clase 8.8 / ISO 898-1</x:v>
      </x:c>
      <x:c r="J983" t="str">
        <x:v>Cantidades por conjunto; no sumar como total de máquina.</x:v>
      </x:c>
    </x:row>
    <x:row r="984" ht="30" customHeight="1">
      <x:c r="A984" t="str">
        <x:v>TT10_C05_PC_18</x:v>
      </x:c>
      <x:c r="B984" t="str">
        <x:v>Transmisión por cadena y acoples</x:v>
      </x:c>
      <x:c r="C984" t="n">
        <x:v>75</x:v>
      </x:c>
      <x:c r="D984" t="str">
        <x:v>TT10_C04_SY30_W12_930_4491.25</x:v>
      </x:c>
      <x:c r="E984" t="n">
        <x:v>2</x:v>
      </x:c>
      <x:c r="F984" t="n">
        <x:v>2</x:v>
      </x:c>
      <x:c r="G984" t="str">
        <x:v>Compra</x:v>
      </x:c>
      <x:c r="H984" s="37" t="str">
        <x:v>ArandelaM12,24x13x2.5</x:v>
      </x:c>
      <x:c r="I984" s="37" t="str">
        <x:v>Arandela endurecida 300 HV / ISO 7089</x:v>
      </x:c>
      <x:c r="J984" t="str">
        <x:v>Cantidades por conjunto; no sumar como total de máquina.</x:v>
      </x:c>
    </x:row>
    <x:row r="985" ht="30" customHeight="1">
      <x:c r="A985" t="str">
        <x:v>TT10_C05_PC_18</x:v>
      </x:c>
      <x:c r="B985" t="str">
        <x:v>Transmisión por cadena y acoples</x:v>
      </x:c>
      <x:c r="C985" t="n">
        <x:v>76</x:v>
      </x:c>
      <x:c r="D985" t="str">
        <x:v>TT10_C04_SY30_W12_930_4608.75</x:v>
      </x:c>
      <x:c r="E985" t="n">
        <x:v>2</x:v>
      </x:c>
      <x:c r="F985" t="n">
        <x:v>2</x:v>
      </x:c>
      <x:c r="G985" t="str">
        <x:v>Compra</x:v>
      </x:c>
      <x:c r="H985" s="37" t="str">
        <x:v>ArandelaM12,24x13x2.5</x:v>
      </x:c>
      <x:c r="I985" s="37" t="str">
        <x:v>Arandela endurecida 300 HV / ISO 7089</x:v>
      </x:c>
      <x:c r="J985" t="str">
        <x:v>Cantidades por conjunto; no sumar como total de máquina.</x:v>
      </x:c>
    </x:row>
    <x:row r="986" ht="30" customHeight="1">
      <x:c r="A986" t="str">
        <x:v>TT10_C05_PC_18</x:v>
      </x:c>
      <x:c r="B986" t="str">
        <x:v>Transmisión por cadena y acoples</x:v>
      </x:c>
      <x:c r="C986" t="n">
        <x:v>79</x:v>
      </x:c>
      <x:c r="D986" t="str">
        <x:v>TT10_C04_TRAVESANO</x:v>
      </x:c>
      <x:c r="E986" t="n">
        <x:v>1</x:v>
      </x:c>
      <x:c r="F986" t="n">
        <x:v>1</x:v>
      </x:c>
      <x:c r="G986" t="str">
        <x:v>Fabricación</x:v>
      </x:c>
      <x:c r="H986" s="37" t="str">
        <x:v>RHS100x50x5,L230; une los dos postes del puesto manual, a3</x:v>
      </x:c>
      <x:c r="I986" s="37" t="str">
        <x:v>S275J0H / EN 10219-1</x:v>
      </x:c>
      <x:c r="J986" t="str">
        <x:v>Cantidades por conjunto; no sumar como total de máquina.</x:v>
      </x:c>
    </x:row>
    <x:row r="987" ht="30" customHeight="1">
      <x:c r="A987" t="str">
        <x:v>TT10_C05_PC_18</x:v>
      </x:c>
      <x:c r="B987" t="str">
        <x:v>Transmisión por cadena y acoples</x:v>
      </x:c>
      <x:c r="C987" t="n">
        <x:v>475</x:v>
      </x:c>
      <x:c r="D987" t="str">
        <x:v>TT10_TM_SY30_0</x:v>
      </x:c>
      <x:c r="E987" t="n">
        <x:v>2</x:v>
      </x:c>
      <x:c r="F987" t="n">
        <x:v>3</x:v>
      </x:c>
      <x:c r="G987" t="str">
        <x:v>Compra</x:v>
      </x:c>
      <x:c r="H987" s="37" t="str">
        <x:v>SKF SY30TF, d30, H42.9, base152x40, pasos117.5; interfaces nominales</x:v>
      </x:c>
      <x:c r="I987" s="37" t="str">
        <x:v>Conjunto comprado; acero/ fundición según OEM</x:v>
      </x:c>
      <x:c r="J987" t="str">
        <x:v>Cantidades por conjunto; no sumar como total de máquina.</x:v>
      </x:c>
    </x:row>
    <x:row r="988" ht="30" customHeight="1">
      <x:c r="A988" t="str">
        <x:v>TT10_C05_PC_19</x:v>
      </x:c>
      <x:c r="B988" t="str">
        <x:v>Resguardo desmontable de cadena</x:v>
      </x:c>
      <x:c r="C988" t="n">
        <x:v>8</x:v>
      </x:c>
      <x:c r="D988" t="str">
        <x:v>TT10_C03_CADENA_ESLABON</x:v>
      </x:c>
      <x:c r="E988" t="n">
        <x:v>122</x:v>
      </x:c>
      <x:c r="F988" t="n">
        <x:v>122</x:v>
      </x:c>
      <x:c r="G988" t="str">
        <x:v>Compra</x:v>
      </x:c>
      <x:c r="H988" s="37" t="str">
        <x:v>Renold16B1: referencia visual de eslabon; no fabricar. Rodillos compartidos representados dos veces</x:v>
      </x:c>
      <x:c r="I988" s="37" t="str">
        <x:v>Equipo comprado Renold</x:v>
      </x:c>
      <x:c r="J988" t="str">
        <x:v>Cantidades por conjunto; no sumar como total de máquina.</x:v>
      </x:c>
    </x:row>
    <x:row r="989" ht="30" customHeight="1">
      <x:c r="A989" t="str">
        <x:v>TT10_C05_PC_19</x:v>
      </x:c>
      <x:c r="B989" t="str">
        <x:v>Resguardo desmontable de cadena</x:v>
      </x:c>
      <x:c r="C989" t="n">
        <x:v>28</x:v>
      </x:c>
      <x:c r="D989" t="str">
        <x:v>TT10_C04_ACOPLE_0</x:v>
      </x:c>
      <x:c r="E989" t="n">
        <x:v>1</x:v>
      </x:c>
      <x:c r="F989" t="n">
        <x:v>1</x:v>
      </x:c>
      <x:c r="G989" t="str">
        <x:v>Fabricación</x:v>
      </x:c>
      <x:c r="H989" s="37" t="str">
        <x:v>Brida110x8,PCD82/6M8; bore30H7; asiento25, desmontaje axial</x:v>
      </x:c>
      <x:c r="I989" s="37" t="str">
        <x:v>C45E / EN 10083-2</x:v>
      </x:c>
      <x:c r="J989" t="str">
        <x:v>Cantidades por conjunto; no sumar como total de máquina.</x:v>
      </x:c>
    </x:row>
    <x:row r="990" ht="30" customHeight="1">
      <x:c r="A990" t="str">
        <x:v>TT10_C05_PC_19</x:v>
      </x:c>
      <x:c r="B990" t="str">
        <x:v>Resguardo desmontable de cadena</x:v>
      </x:c>
      <x:c r="C990" t="n">
        <x:v>29</x:v>
      </x:c>
      <x:c r="D990" t="str">
        <x:v>TT10_C04_ACOPLE_1</x:v>
      </x:c>
      <x:c r="E990" t="n">
        <x:v>1</x:v>
      </x:c>
      <x:c r="F990" t="n">
        <x:v>1</x:v>
      </x:c>
      <x:c r="G990" t="str">
        <x:v>Fabricación</x:v>
      </x:c>
      <x:c r="H990" s="37" t="str">
        <x:v>Brida110x8,PCD82/6M8; bore30H7; asiento30, desmontaje axial</x:v>
      </x:c>
      <x:c r="I990" s="37" t="str">
        <x:v>C45E / EN 10083-2</x:v>
      </x:c>
      <x:c r="J990" t="str">
        <x:v>Cantidades por conjunto; no sumar como total de máquina.</x:v>
      </x:c>
    </x:row>
    <x:row r="991" ht="30" customHeight="1">
      <x:c r="A991" t="str">
        <x:v>TT10_C05_PC_19</x:v>
      </x:c>
      <x:c r="B991" t="str">
        <x:v>Resguardo desmontable de cadena</x:v>
      </x:c>
      <x:c r="C991" t="n">
        <x:v>49</x:v>
      </x:c>
      <x:c r="D991" t="str">
        <x:v>TT10_C04_EJE_MANUAL</x:v>
      </x:c>
      <x:c r="E991" t="n">
        <x:v>1</x:v>
      </x:c>
      <x:c r="F991" t="n">
        <x:v>1</x:v>
      </x:c>
      <x:c r="G991" t="str">
        <x:v>Fabricación</x:v>
      </x:c>
      <x:c r="H991" s="37" t="str">
        <x:v>EjeD30h7,L184; chaveteros8x7, t1=4, extremos planos</x:v>
      </x:c>
      <x:c r="I991" s="37" t="str">
        <x:v>AISI 4140 bonificado</x:v>
      </x:c>
      <x:c r="J991" t="str">
        <x:v>Cantidades por conjunto; no sumar como total de máquina.</x:v>
      </x:c>
    </x:row>
    <x:row r="992" ht="30" customHeight="1">
      <x:c r="A992" t="str">
        <x:v>TT10_C05_PC_19</x:v>
      </x:c>
      <x:c r="B992" t="str">
        <x:v>Resguardo desmontable de cadena</x:v>
      </x:c>
      <x:c r="C992" t="n">
        <x:v>56</x:v>
      </x:c>
      <x:c r="D992" t="str">
        <x:v>TT10_C04_GUARDA_BANDA</x:v>
      </x:c>
      <x:c r="E992" t="n">
        <x:v>1</x:v>
      </x:c>
      <x:c r="F992" t="n">
        <x:v>1</x:v>
      </x:c>
      <x:c r="G992" t="str">
        <x:v>Fabricación</x:v>
      </x:c>
      <x:c r="H992" s="37" t="str">
        <x:v>Banda2, ancho36; tapa inferior; soldar a posterior, frontal desmontable</x:v>
      </x:c>
      <x:c r="I992" s="37" t="str">
        <x:v>ASTM A36</x:v>
      </x:c>
      <x:c r="J992" t="str">
        <x:v>Cantidades por conjunto; no sumar como total de máquina.</x:v>
      </x:c>
    </x:row>
    <x:row r="993" ht="30" customHeight="1">
      <x:c r="A993" t="str">
        <x:v>TT10_C05_PC_19</x:v>
      </x:c>
      <x:c r="B993" t="str">
        <x:v>Resguardo desmontable de cadena</x:v>
      </x:c>
      <x:c r="C993" t="n">
        <x:v>59</x:v>
      </x:c>
      <x:c r="D993" t="str">
        <x:v>TT10_C04_GUARDA_FRONTAL</x:v>
      </x:c>
      <x:c r="E993" t="n">
        <x:v>1</x:v>
      </x:c>
      <x:c r="F993" t="n">
        <x:v>1</x:v>
      </x:c>
      <x:c r="G993" t="str">
        <x:v>Fabricación</x:v>
      </x:c>
      <x:c r="H993" s="37" t="str">
        <x:v>Chapa2; contorno de cadena; inferiorZ1107; paso superior/FRONTAL</x:v>
      </x:c>
      <x:c r="I993" s="37" t="str">
        <x:v>ASTM A36</x:v>
      </x:c>
      <x:c r="J993" t="str">
        <x:v>Cantidades por conjunto; no sumar como total de máquina.</x:v>
      </x:c>
    </x:row>
    <x:row r="994" ht="30" customHeight="1">
      <x:c r="A994" t="str">
        <x:v>TT10_C05_PC_19</x:v>
      </x:c>
      <x:c r="B994" t="str">
        <x:v>Resguardo desmontable de cadena</x:v>
      </x:c>
      <x:c r="C994" t="n">
        <x:v>62</x:v>
      </x:c>
      <x:c r="D994" t="str">
        <x:v>TT10_C04_GUARDA_POSTERIOR</x:v>
      </x:c>
      <x:c r="E994" t="n">
        <x:v>1</x:v>
      </x:c>
      <x:c r="F994" t="n">
        <x:v>1</x:v>
      </x:c>
      <x:c r="G994" t="str">
        <x:v>Fabricación</x:v>
      </x:c>
      <x:c r="H994" s="37" t="str">
        <x:v>Chapa2; contorno de cadena; inferiorZ1107; paso superior/POSTERIOR</x:v>
      </x:c>
      <x:c r="I994" s="37" t="str">
        <x:v>ASTM A36</x:v>
      </x:c>
      <x:c r="J994" t="str">
        <x:v>Cantidades por conjunto; no sumar como total de máquina.</x:v>
      </x:c>
    </x:row>
    <x:row r="995" ht="30" customHeight="1">
      <x:c r="A995" t="str">
        <x:v>TT10_C05_PC_20</x:v>
      </x:c>
      <x:c r="B995" t="str">
        <x:v>Caja y soportes del selector</x:v>
      </x:c>
      <x:c r="C995" t="n">
        <x:v>9</x:v>
      </x:c>
      <x:c r="D995" t="str">
        <x:v>TT10_C03_HK4020_E1</x:v>
      </x:c>
      <x:c r="E995" t="n">
        <x:v>1</x:v>
      </x:c>
      <x:c r="F995" t="n">
        <x:v>1</x:v>
      </x:c>
      <x:c r="G995" t="str">
        <x:v>Compra</x:v>
      </x:c>
      <x:c r="H995" s="37" t="str">
        <x:v>SKF HK4020; 40x47x20; rodillos y jaula omitidos</x:v>
      </x:c>
      <x:c r="I995" s="37" t="str">
        <x:v>Conjunto comprado; acero/ fundición según OEM</x:v>
      </x:c>
      <x:c r="J995" t="str">
        <x:v>Cantidades por conjunto; no sumar como total de máquina.</x:v>
      </x:c>
    </x:row>
    <x:row r="996" ht="30" customHeight="1">
      <x:c r="A996" t="str">
        <x:v>TT10_C05_PC_20</x:v>
      </x:c>
      <x:c r="B996" t="str">
        <x:v>Caja y soportes del selector</x:v>
      </x:c>
      <x:c r="C996" t="n">
        <x:v>10</x:v>
      </x:c>
      <x:c r="D996" t="str">
        <x:v>TT10_C03_HK4020_E2</x:v>
      </x:c>
      <x:c r="E996" t="n">
        <x:v>1</x:v>
      </x:c>
      <x:c r="F996" t="n">
        <x:v>1</x:v>
      </x:c>
      <x:c r="G996" t="str">
        <x:v>Compra</x:v>
      </x:c>
      <x:c r="H996" s="37" t="str">
        <x:v>SKF HK4020; 40x47x20; rodillos y jaula omitidos</x:v>
      </x:c>
      <x:c r="I996" s="37" t="str">
        <x:v>Conjunto comprado; acero/ fundición según OEM</x:v>
      </x:c>
      <x:c r="J996" t="str">
        <x:v>Cantidades por conjunto; no sumar como total de máquina.</x:v>
      </x:c>
    </x:row>
    <x:row r="997" ht="30" customHeight="1">
      <x:c r="A997" t="str">
        <x:v>TT10_C05_PC_20</x:v>
      </x:c>
      <x:c r="B997" t="str">
        <x:v>Caja y soportes del selector</x:v>
      </x:c>
      <x:c r="C997" t="n">
        <x:v>11</x:v>
      </x:c>
      <x:c r="D997" t="str">
        <x:v>TT10_C03_HK4020_M1</x:v>
      </x:c>
      <x:c r="E997" t="n">
        <x:v>1</x:v>
      </x:c>
      <x:c r="F997" t="n">
        <x:v>1</x:v>
      </x:c>
      <x:c r="G997" t="str">
        <x:v>Compra</x:v>
      </x:c>
      <x:c r="H997" s="37" t="str">
        <x:v>SKF HK4020; 40x47x20; rodillos y jaula omitidos</x:v>
      </x:c>
      <x:c r="I997" s="37" t="str">
        <x:v>Conjunto comprado; acero/ fundición según OEM</x:v>
      </x:c>
      <x:c r="J997" t="str">
        <x:v>Cantidades por conjunto; no sumar como total de máquina.</x:v>
      </x:c>
    </x:row>
    <x:row r="998" ht="30" customHeight="1">
      <x:c r="A998" t="str">
        <x:v>TT10_C05_PC_20</x:v>
      </x:c>
      <x:c r="B998" t="str">
        <x:v>Caja y soportes del selector</x:v>
      </x:c>
      <x:c r="C998" t="n">
        <x:v>12</x:v>
      </x:c>
      <x:c r="D998" t="str">
        <x:v>TT10_C03_HK4020_M2</x:v>
      </x:c>
      <x:c r="E998" t="n">
        <x:v>1</x:v>
      </x:c>
      <x:c r="F998" t="n">
        <x:v>1</x:v>
      </x:c>
      <x:c r="G998" t="str">
        <x:v>Compra</x:v>
      </x:c>
      <x:c r="H998" s="37" t="str">
        <x:v>SKF HK4020; 40x47x20; rodillos y jaula omitidos</x:v>
      </x:c>
      <x:c r="I998" s="37" t="str">
        <x:v>Conjunto comprado; acero/ fundición según OEM</x:v>
      </x:c>
      <x:c r="J998" t="str">
        <x:v>Cantidades por conjunto; no sumar como total de máquina.</x:v>
      </x:c>
    </x:row>
    <x:row r="999" ht="30" customHeight="1">
      <x:c r="A999" t="str">
        <x:v>TT10_C05_PC_20</x:v>
      </x:c>
      <x:c r="B999" t="str">
        <x:v>Caja y soportes del selector</x:v>
      </x:c>
      <x:c r="C999" t="n">
        <x:v>15</x:v>
      </x:c>
      <x:c r="D999" t="str">
        <x:v>TT10_C03_SELECTOR_6008_1</x:v>
      </x:c>
      <x:c r="E999" t="n">
        <x:v>1</x:v>
      </x:c>
      <x:c r="F999" t="n">
        <x:v>1</x:v>
      </x:c>
      <x:c r="G999" t="str">
        <x:v>Compra</x:v>
      </x:c>
      <x:c r="H999" s="37" t="str">
        <x:v>SKF6008 40x68x15; contorno de interfaz</x:v>
      </x:c>
      <x:c r="I999" s="37" t="str">
        <x:v>Conjunto comprado; acero/ fundición según OEM</x:v>
      </x:c>
      <x:c r="J999" t="str">
        <x:v>Cantidades por conjunto; no sumar como total de máquina.</x:v>
      </x:c>
    </x:row>
    <x:row r="1000" ht="30" customHeight="1">
      <x:c r="A1000" t="str">
        <x:v>TT10_C05_PC_20</x:v>
      </x:c>
      <x:c r="B1000" t="str">
        <x:v>Caja y soportes del selector</x:v>
      </x:c>
      <x:c r="C1000" t="n">
        <x:v>16</x:v>
      </x:c>
      <x:c r="D1000" t="str">
        <x:v>TT10_C03_SELECTOR_6008_2</x:v>
      </x:c>
      <x:c r="E1000" t="n">
        <x:v>1</x:v>
      </x:c>
      <x:c r="F1000" t="n">
        <x:v>1</x:v>
      </x:c>
      <x:c r="G1000" t="str">
        <x:v>Compra</x:v>
      </x:c>
      <x:c r="H1000" s="37" t="str">
        <x:v>SKF6008 40x68x15; contorno de interfaz</x:v>
      </x:c>
      <x:c r="I1000" s="37" t="str">
        <x:v>Conjunto comprado; acero/ fundición según OEM</x:v>
      </x:c>
      <x:c r="J1000" t="str">
        <x:v>Cantidades por conjunto; no sumar como total de máquina.</x:v>
      </x:c>
    </x:row>
    <x:row r="1001" ht="30" customHeight="1">
      <x:c r="A1001" t="str">
        <x:v>TT10_C05_PC_20</x:v>
      </x:c>
      <x:c r="B1001" t="str">
        <x:v>Caja y soportes del selector</x:v>
      </x:c>
      <x:c r="C1001" t="n">
        <x:v>19</x:v>
      </x:c>
      <x:c r="D1001" t="str">
        <x:v>TT10_C03_SELECTOR_CUBIERTA</x:v>
      </x:c>
      <x:c r="E1001" t="n">
        <x:v>1</x:v>
      </x:c>
      <x:c r="F1001" t="n">
        <x:v>1</x:v>
      </x:c>
      <x:c r="G1001" t="str">
        <x:v>Fabricación</x:v>
      </x:c>
      <x:c r="H1001" s="37" t="str">
        <x:v>Cubierta desmontable3; ranura50x36 para recorrido completo; cierreM6 por detallar</x:v>
      </x:c>
      <x:c r="I1001" s="37" t="str">
        <x:v>ASTM A36</x:v>
      </x:c>
      <x:c r="J1001" t="str">
        <x:v>Cantidades por conjunto; no sumar como total de máquina.</x:v>
      </x:c>
    </x:row>
    <x:row r="1002" ht="30" customHeight="1">
      <x:c r="A1002" t="str">
        <x:v>TT10_C05_PC_20</x:v>
      </x:c>
      <x:c r="B1002" t="str">
        <x:v>Caja y soportes del selector</x:v>
      </x:c>
      <x:c r="C1002" t="n">
        <x:v>23</x:v>
      </x:c>
      <x:c r="D1002" t="str">
        <x:v>TT10_C03_SELECTOR_PARED_E</x:v>
      </x:c>
      <x:c r="E1002" t="n">
        <x:v>1</x:v>
      </x:c>
      <x:c r="F1002" t="n">
        <x:v>1</x:v>
      </x:c>
      <x:c r="G1002" t="str">
        <x:v>Fabricación</x:v>
      </x:c>
      <x:c r="H1002" s="37" t="str">
        <x:v>Pared mecanizada8; roscasM6; tapa de retencion y asiento axial por cadena de cotas</x:v>
      </x:c>
      <x:c r="I1002" s="37" t="str">
        <x:v>ASTM A36</x:v>
      </x:c>
      <x:c r="J1002" t="str">
        <x:v>Cantidades por conjunto; no sumar como total de máquina.</x:v>
      </x:c>
    </x:row>
    <x:row r="1003" ht="30" customHeight="1">
      <x:c r="A1003" t="str">
        <x:v>TT10_C05_PC_20</x:v>
      </x:c>
      <x:c r="B1003" t="str">
        <x:v>Caja y soportes del selector</x:v>
      </x:c>
      <x:c r="C1003" t="n">
        <x:v>24</x:v>
      </x:c>
      <x:c r="D1003" t="str">
        <x:v>TT10_C03_SELECTOR_PARED_M</x:v>
      </x:c>
      <x:c r="E1003" t="n">
        <x:v>1</x:v>
      </x:c>
      <x:c r="F1003" t="n">
        <x:v>1</x:v>
      </x:c>
      <x:c r="G1003" t="str">
        <x:v>Fabricación</x:v>
      </x:c>
      <x:c r="H1003" s="37" t="str">
        <x:v>Pared mecanizada8; roscasM6; tapa de retencion y asiento axial por cadena de cotas</x:v>
      </x:c>
      <x:c r="I1003" s="37" t="str">
        <x:v>ASTM A36</x:v>
      </x:c>
      <x:c r="J1003" t="str">
        <x:v>Cantidades por conjunto; no sumar como total de máquina.</x:v>
      </x:c>
    </x:row>
    <x:row r="1004" ht="30" customHeight="1">
      <x:c r="A1004" t="str">
        <x:v>TT10_C05_PC_20</x:v>
      </x:c>
      <x:c r="B1004" t="str">
        <x:v>Caja y soportes del selector</x:v>
      </x:c>
      <x:c r="C1004" t="n">
        <x:v>26</x:v>
      </x:c>
      <x:c r="D1004" t="str">
        <x:v>TT10_C03_TAPA_RETENCION_E</x:v>
      </x:c>
      <x:c r="E1004" t="n">
        <x:v>1</x:v>
      </x:c>
      <x:c r="F1004" t="n">
        <x:v>1</x:v>
      </x:c>
      <x:c r="G1004" t="str">
        <x:v>Fabricación</x:v>
      </x:c>
      <x:c r="H1004" s="37" t="str">
        <x:v>Tapa estacionaria: labio axial para cuboD100, pasoD92 libre al manguitoD90; junta axial0.2 por ajustar</x:v>
      </x:c>
      <x:c r="I1004" s="37" t="str">
        <x:v>ASTM A36</x:v>
      </x:c>
      <x:c r="J1004" t="str">
        <x:v>Cantidades por conjunto; no sumar como total de máquina.</x:v>
      </x:c>
    </x:row>
    <x:row r="1005" ht="30" customHeight="1">
      <x:c r="A1005" t="str">
        <x:v>TT10_C05_PC_20</x:v>
      </x:c>
      <x:c r="B1005" t="str">
        <x:v>Caja y soportes del selector</x:v>
      </x:c>
      <x:c r="C1005" t="n">
        <x:v>27</x:v>
      </x:c>
      <x:c r="D1005" t="str">
        <x:v>TT10_C03_TAPA_RETENCION_M</x:v>
      </x:c>
      <x:c r="E1005" t="n">
        <x:v>1</x:v>
      </x:c>
      <x:c r="F1005" t="n">
        <x:v>1</x:v>
      </x:c>
      <x:c r="G1005" t="str">
        <x:v>Fabricación</x:v>
      </x:c>
      <x:c r="H1005" s="37" t="str">
        <x:v>Tapa estacionaria: labio axial para cuboD100, pasoD92 libre al manguitoD90; junta axial0.2 por ajustar</x:v>
      </x:c>
      <x:c r="I1005" s="37" t="str">
        <x:v>ASTM A36</x:v>
      </x:c>
      <x:c r="J1005" t="str">
        <x:v>Cantidades por conjunto; no sumar como total de máquina.</x:v>
      </x:c>
    </x:row>
    <x:row r="1006" ht="30" customHeight="1">
      <x:c r="A1006" t="str">
        <x:v>TT10_C05_PC_20</x:v>
      </x:c>
      <x:c r="B1006" t="str">
        <x:v>Caja y soportes del selector</x:v>
      </x:c>
      <x:c r="C1006" t="n">
        <x:v>35</x:v>
      </x:c>
      <x:c r="D1006" t="str">
        <x:v>TT10_C04_B6008_M6_1_0</x:v>
      </x:c>
      <x:c r="E1006" t="n">
        <x:v>2</x:v>
      </x:c>
      <x:c r="F1006" t="n">
        <x:v>2</x:v>
      </x:c>
      <x:c r="G1006" t="str">
        <x:v>Compra</x:v>
      </x:c>
      <x:c r="H1006" s="37" t="str">
        <x:v>M6x20 ISO7380-1,10.9; contorno nominal</x:v>
      </x:c>
      <x:c r="I1006" s="37" t="str">
        <x:v>Clase 10.9 / ISO 898-1</x:v>
      </x:c>
      <x:c r="J1006" t="str">
        <x:v>Cantidades por conjunto; no sumar como total de máquina.</x:v>
      </x:c>
    </x:row>
    <x:row r="1007" ht="30" customHeight="1">
      <x:c r="A1007" t="str">
        <x:v>TT10_C05_PC_20</x:v>
      </x:c>
      <x:c r="B1007" t="str">
        <x:v>Caja y soportes del selector</x:v>
      </x:c>
      <x:c r="C1007" t="n">
        <x:v>36</x:v>
      </x:c>
      <x:c r="D1007" t="str">
        <x:v>TT10_C04_B6008_M6_1_2</x:v>
      </x:c>
      <x:c r="E1007" t="n">
        <x:v>1</x:v>
      </x:c>
      <x:c r="F1007" t="n">
        <x:v>1</x:v>
      </x:c>
      <x:c r="G1007" t="str">
        <x:v>Compra</x:v>
      </x:c>
      <x:c r="H1007" s="37" t="str">
        <x:v>M6x20 ISO7380-1,10.9; contorno nominal</x:v>
      </x:c>
      <x:c r="I1007" s="37" t="str">
        <x:v>Clase 10.9 / ISO 898-1</x:v>
      </x:c>
      <x:c r="J1007" t="str">
        <x:v>Cantidades por conjunto; no sumar como total de máquina.</x:v>
      </x:c>
    </x:row>
    <x:row r="1008" ht="30" customHeight="1">
      <x:c r="A1008" t="str">
        <x:v>TT10_C05_PC_20</x:v>
      </x:c>
      <x:c r="B1008" t="str">
        <x:v>Caja y soportes del selector</x:v>
      </x:c>
      <x:c r="C1008" t="n">
        <x:v>37</x:v>
      </x:c>
      <x:c r="D1008" t="str">
        <x:v>TT10_C04_B6008_M6_1_3</x:v>
      </x:c>
      <x:c r="E1008" t="n">
        <x:v>1</x:v>
      </x:c>
      <x:c r="F1008" t="n">
        <x:v>1</x:v>
      </x:c>
      <x:c r="G1008" t="str">
        <x:v>Compra</x:v>
      </x:c>
      <x:c r="H1008" s="37" t="str">
        <x:v>M6x20 ISO7380-1,10.9; contorno nominal</x:v>
      </x:c>
      <x:c r="I1008" s="37" t="str">
        <x:v>Clase 10.9 / ISO 898-1</x:v>
      </x:c>
      <x:c r="J1008" t="str">
        <x:v>Cantidades por conjunto; no sumar como total de máquina.</x:v>
      </x:c>
    </x:row>
    <x:row r="1009" ht="30" customHeight="1">
      <x:c r="A1009" t="str">
        <x:v>TT10_C05_PC_20</x:v>
      </x:c>
      <x:c r="B1009" t="str">
        <x:v>Caja y soportes del selector</x:v>
      </x:c>
      <x:c r="C1009" t="n">
        <x:v>38</x:v>
      </x:c>
      <x:c r="D1009" t="str">
        <x:v>TT10_C04_B6008_M6_2_0</x:v>
      </x:c>
      <x:c r="E1009" t="n">
        <x:v>2</x:v>
      </x:c>
      <x:c r="F1009" t="n">
        <x:v>2</x:v>
      </x:c>
      <x:c r="G1009" t="str">
        <x:v>Compra</x:v>
      </x:c>
      <x:c r="H1009" s="37" t="str">
        <x:v>M6x20 ISO7380-1,10.9; contorno nominal</x:v>
      </x:c>
      <x:c r="I1009" s="37" t="str">
        <x:v>Clase 10.9 / ISO 898-1</x:v>
      </x:c>
      <x:c r="J1009" t="str">
        <x:v>Cantidades por conjunto; no sumar como total de máquina.</x:v>
      </x:c>
    </x:row>
    <x:row r="1010" ht="30" customHeight="1">
      <x:c r="A1010" t="str">
        <x:v>TT10_C05_PC_20</x:v>
      </x:c>
      <x:c r="B1010" t="str">
        <x:v>Caja y soportes del selector</x:v>
      </x:c>
      <x:c r="C1010" t="n">
        <x:v>39</x:v>
      </x:c>
      <x:c r="D1010" t="str">
        <x:v>TT10_C04_B6008_M6_2_1</x:v>
      </x:c>
      <x:c r="E1010" t="n">
        <x:v>2</x:v>
      </x:c>
      <x:c r="F1010" t="n">
        <x:v>2</x:v>
      </x:c>
      <x:c r="G1010" t="str">
        <x:v>Compra</x:v>
      </x:c>
      <x:c r="H1010" s="37" t="str">
        <x:v>M6x20 ISO7380-1,10.9; contorno nominal</x:v>
      </x:c>
      <x:c r="I1010" s="37" t="str">
        <x:v>Clase 10.9 / ISO 898-1</x:v>
      </x:c>
      <x:c r="J1010" t="str">
        <x:v>Cantidades por conjunto; no sumar como total de máquina.</x:v>
      </x:c>
    </x:row>
    <x:row r="1011" ht="30" customHeight="1">
      <x:c r="A1011" t="str">
        <x:v>TT10_C05_PC_20</x:v>
      </x:c>
      <x:c r="B1011" t="str">
        <x:v>Caja y soportes del selector</x:v>
      </x:c>
      <x:c r="C1011" t="n">
        <x:v>48</x:v>
      </x:c>
      <x:c r="D1011" t="str">
        <x:v>TT10_C04_DIN471_40</x:v>
      </x:c>
      <x:c r="E1011" t="n">
        <x:v>1</x:v>
      </x:c>
      <x:c r="F1011" t="n">
        <x:v>1</x:v>
      </x:c>
      <x:c r="G1011" t="str">
        <x:v>Compra</x:v>
      </x:c>
      <x:c r="H1011" s="37" t="str">
        <x:v>ComprarDIN471-40,1.75; contorno instalado simplificado, no fabricar</x:v>
      </x:c>
      <x:c r="I1011" s="37" t="str">
        <x:v>Acero resorte DIN471</x:v>
      </x:c>
      <x:c r="J1011" t="str">
        <x:v>Cantidades por conjunto; no sumar como total de máquina.</x:v>
      </x:c>
    </x:row>
    <x:row r="1012" ht="30" customHeight="1">
      <x:c r="A1012" t="str">
        <x:v>TT10_C05_PC_20</x:v>
      </x:c>
      <x:c r="B1012" t="str">
        <x:v>Caja y soportes del selector</x:v>
      </x:c>
      <x:c r="C1012" t="n">
        <x:v>52</x:v>
      </x:c>
      <x:c r="D1012" t="str">
        <x:v>TT10_C04_ESPACIADOR6008</x:v>
      </x:c>
      <x:c r="E1012" t="n">
        <x:v>1</x:v>
      </x:c>
      <x:c r="F1012" t="n">
        <x:v>1</x:v>
      </x:c>
      <x:c r="G1012" t="str">
        <x:v>Compra</x:v>
      </x:c>
      <x:c r="H1012" s="37" t="str">
        <x:v>Separador7 entre tapa izquierda y anillo exterior6008</x:v>
      </x:c>
      <x:c r="I1012" s="37" t="str">
        <x:v>Conjunto comprado; acero/ fundición según OEM</x:v>
      </x:c>
      <x:c r="J1012" t="str">
        <x:v>Cantidades por conjunto; no sumar como total de máquina.</x:v>
      </x:c>
    </x:row>
    <x:row r="1013" ht="30" customHeight="1">
      <x:c r="A1013" t="str">
        <x:v>TT10_C05_PC_20</x:v>
      </x:c>
      <x:c r="B1013" t="str">
        <x:v>Caja y soportes del selector</x:v>
      </x:c>
      <x:c r="C1013" t="n">
        <x:v>65</x:v>
      </x:c>
      <x:c r="D1013" t="str">
        <x:v>TT10_C04_PEDESTAL_SELECTOR</x:v>
      </x:c>
      <x:c r="E1013" t="n">
        <x:v>1</x:v>
      </x:c>
      <x:c r="F1013" t="n">
        <x:v>1</x:v>
      </x:c>
      <x:c r="G1013" t="str">
        <x:v>Fabricación</x:v>
      </x:c>
      <x:c r="H1013" s="37" t="str">
        <x:v>Pedestal con ventana46 para paso real de cadena/resguardo; soporte local por verificar</x:v>
      </x:c>
      <x:c r="I1013" s="37" t="str">
        <x:v>ASTM A36</x:v>
      </x:c>
      <x:c r="J1013" t="str">
        <x:v>Cantidades por conjunto; no sumar como total de máquina.</x:v>
      </x:c>
    </x:row>
    <x:row r="1014" ht="30" customHeight="1">
      <x:c r="A1014" t="str">
        <x:v>TT10_C05_PC_20</x:v>
      </x:c>
      <x:c r="B1014" t="str">
        <x:v>Caja y soportes del selector</x:v>
      </x:c>
      <x:c r="C1014" t="n">
        <x:v>67</x:v>
      </x:c>
      <x:c r="D1014" t="str">
        <x:v>TT10_C04_SELECTOR_APOYO_1</x:v>
      </x:c>
      <x:c r="E1014" t="n">
        <x:v>1</x:v>
      </x:c>
      <x:c r="F1014" t="n">
        <x:v>1</x:v>
      </x:c>
      <x:c r="G1014" t="str">
        <x:v>Compra</x:v>
      </x:c>
      <x:c r="H1014" s="37" t="str">
        <x:v>Asiento6008 abierto; montaje axial y4M6PCD84; no cavidad inaccesible</x:v>
      </x:c>
      <x:c r="I1014" s="37" t="str">
        <x:v>Conjunto comprado; acero/ fundición según OEM</x:v>
      </x:c>
      <x:c r="J1014" t="str">
        <x:v>Cantidades por conjunto; no sumar como total de máquina.</x:v>
      </x:c>
    </x:row>
    <x:row r="1015" ht="30" customHeight="1">
      <x:c r="A1015" t="str">
        <x:v>TT10_C05_PC_20</x:v>
      </x:c>
      <x:c r="B1015" t="str">
        <x:v>Caja y soportes del selector</x:v>
      </x:c>
      <x:c r="C1015" t="n">
        <x:v>68</x:v>
      </x:c>
      <x:c r="D1015" t="str">
        <x:v>TT10_C04_SELECTOR_APOYO_2</x:v>
      </x:c>
      <x:c r="E1015" t="n">
        <x:v>1</x:v>
      </x:c>
      <x:c r="F1015" t="n">
        <x:v>1</x:v>
      </x:c>
      <x:c r="G1015" t="str">
        <x:v>Compra</x:v>
      </x:c>
      <x:c r="H1015" s="37" t="str">
        <x:v>Asiento6008 abierto; montaje axial y4M6PCD84; no cavidad inaccesible</x:v>
      </x:c>
      <x:c r="I1015" s="37" t="str">
        <x:v>Conjunto comprado; acero/ fundición según OEM</x:v>
      </x:c>
      <x:c r="J1015" t="str">
        <x:v>Cantidades por conjunto; no sumar como total de máquina.</x:v>
      </x:c>
    </x:row>
    <x:row r="1016" ht="30" customHeight="1">
      <x:c r="A1016" t="str">
        <x:v>TT10_C05_PC_20</x:v>
      </x:c>
      <x:c r="B1016" t="str">
        <x:v>Caja y soportes del selector</x:v>
      </x:c>
      <x:c r="C1016" t="n">
        <x:v>69</x:v>
      </x:c>
      <x:c r="D1016" t="str">
        <x:v>TT10_C04_SELECTOR_BASE</x:v>
      </x:c>
      <x:c r="E1016" t="n">
        <x:v>1</x:v>
      </x:c>
      <x:c r="F1016" t="n">
        <x:v>1</x:v>
      </x:c>
      <x:c r="G1016" t="str">
        <x:v>Fabricación</x:v>
      </x:c>
      <x:c r="H1016" s="37" t="str">
        <x:v>Soporte con ventana46mm para cadena y guarda; caras restantes transmiten apoyo</x:v>
      </x:c>
      <x:c r="I1016" s="37" t="str">
        <x:v>ASTM A36</x:v>
      </x:c>
      <x:c r="J1016" t="str">
        <x:v>Cantidades por conjunto; no sumar como total de máquina.</x:v>
      </x:c>
    </x:row>
    <x:row r="1017" ht="30" customHeight="1">
      <x:c r="A1017" t="str">
        <x:v>TT10_C05_PC_20</x:v>
      </x:c>
      <x:c r="B1017" t="str">
        <x:v>Caja y soportes del selector</x:v>
      </x:c>
      <x:c r="C1017" t="n">
        <x:v>72</x:v>
      </x:c>
      <x:c r="D1017" t="str">
        <x:v>TT10_C04_SELECTOR_ESPACIADOR</x:v>
      </x:c>
      <x:c r="E1017" t="n">
        <x:v>1</x:v>
      </x:c>
      <x:c r="F1017" t="n">
        <x:v>1</x:v>
      </x:c>
      <x:c r="G1017" t="str">
        <x:v>Fabricación</x:v>
      </x:c>
      <x:c r="H1017" s="37" t="str">
        <x:v>Soporte con ventana46mm para cadena y guarda; caras restantes transmiten apoyo</x:v>
      </x:c>
      <x:c r="I1017" s="37" t="str">
        <x:v>ASTM A36</x:v>
      </x:c>
      <x:c r="J1017" t="str">
        <x:v>Cantidades por conjunto; no sumar como total de máquina.</x:v>
      </x:c>
    </x:row>
    <x:row r="1018" ht="30" customHeight="1">
      <x:c r="A1018" t="str">
        <x:v>TT10_C05_PC_20</x:v>
      </x:c>
      <x:c r="B1018" t="str">
        <x:v>Caja y soportes del selector</x:v>
      </x:c>
      <x:c r="C1018" t="n">
        <x:v>77</x:v>
      </x:c>
      <x:c r="D1018" t="str">
        <x:v>TT10_C04_TAPA6008_1</x:v>
      </x:c>
      <x:c r="E1018" t="n">
        <x:v>1</x:v>
      </x:c>
      <x:c r="F1018" t="n">
        <x:v>1</x:v>
      </x:c>
      <x:c r="G1018" t="str">
        <x:v>Fabricación</x:v>
      </x:c>
      <x:c r="H1018" s="37" t="str">
        <x:v>Tapa104x4, cabezas en cajera; desmontaje exterior</x:v>
      </x:c>
      <x:c r="I1018" s="37" t="str">
        <x:v>ASTM A36</x:v>
      </x:c>
      <x:c r="J1018" t="str">
        <x:v>Cantidades por conjunto; no sumar como total de máquina.</x:v>
      </x:c>
    </x:row>
    <x:row r="1019" ht="30" customHeight="1">
      <x:c r="A1019" t="str">
        <x:v>TT10_C05_PC_20</x:v>
      </x:c>
      <x:c r="B1019" t="str">
        <x:v>Caja y soportes del selector</x:v>
      </x:c>
      <x:c r="C1019" t="n">
        <x:v>78</x:v>
      </x:c>
      <x:c r="D1019" t="str">
        <x:v>TT10_C04_TAPA6008_2</x:v>
      </x:c>
      <x:c r="E1019" t="n">
        <x:v>1</x:v>
      </x:c>
      <x:c r="F1019" t="n">
        <x:v>1</x:v>
      </x:c>
      <x:c r="G1019" t="str">
        <x:v>Fabricación</x:v>
      </x:c>
      <x:c r="H1019" s="37" t="str">
        <x:v>Tapa104x4, cabezas en cajera; desmontaje exterior</x:v>
      </x:c>
      <x:c r="I1019" s="37" t="str">
        <x:v>ASTM A36</x:v>
      </x:c>
      <x:c r="J1019" t="str">
        <x:v>Cantidades por conjunto; no sumar como total de máquina.</x:v>
      </x:c>
    </x:row>
    <x:row r="1020" ht="30" customHeight="1">
      <x:c r="A1020" t="str">
        <x:v>TT10_C05_PC_20</x:v>
      </x:c>
      <x:c r="B1020" t="str">
        <x:v>Caja y soportes del selector</x:v>
      </x:c>
      <x:c r="C1020" t="n">
        <x:v>88</x:v>
      </x:c>
      <x:c r="D1020" t="str">
        <x:v>TT10_C05_B4_RETEN_0_0</x:v>
      </x:c>
      <x:c r="E1020" t="n">
        <x:v>1</x:v>
      </x:c>
      <x:c r="F1020" t="n">
        <x:v>1</x:v>
      </x:c>
      <x:c r="G1020" t="str">
        <x:v>Compra</x:v>
      </x:c>
      <x:c r="H1020" s="37" t="str">
        <x:v>M4x9,8.8; tornillo del puente cautivo; fijador desmontable</x:v>
      </x:c>
      <x:c r="I1020" s="37" t="str">
        <x:v>Clase 10.9 / ISO 898-1</x:v>
      </x:c>
      <x:c r="J1020" t="str">
        <x:v>Cantidades por conjunto; no sumar como total de máquina.</x:v>
      </x:c>
    </x:row>
    <x:row r="1021" ht="30" customHeight="1">
      <x:c r="A1021" t="str">
        <x:v>TT10_C05_PC_20</x:v>
      </x:c>
      <x:c r="B1021" t="str">
        <x:v>Caja y soportes del selector</x:v>
      </x:c>
      <x:c r="C1021" t="n">
        <x:v>89</x:v>
      </x:c>
      <x:c r="D1021" t="str">
        <x:v>TT10_C05_B4_RETEN_0_1</x:v>
      </x:c>
      <x:c r="E1021" t="n">
        <x:v>1</x:v>
      </x:c>
      <x:c r="F1021" t="n">
        <x:v>1</x:v>
      </x:c>
      <x:c r="G1021" t="str">
        <x:v>Compra</x:v>
      </x:c>
      <x:c r="H1021" s="37" t="str">
        <x:v>M4x9,8.8; tornillo del puente cautivo; fijador desmontable</x:v>
      </x:c>
      <x:c r="I1021" s="37" t="str">
        <x:v>Clase 10.9 / ISO 898-1</x:v>
      </x:c>
      <x:c r="J1021" t="str">
        <x:v>Cantidades por conjunto; no sumar como total de máquina.</x:v>
      </x:c>
    </x:row>
    <x:row r="1022" ht="30" customHeight="1">
      <x:c r="A1022" t="str">
        <x:v>TT10_C05_PC_20</x:v>
      </x:c>
      <x:c r="B1022" t="str">
        <x:v>Caja y soportes del selector</x:v>
      </x:c>
      <x:c r="C1022" t="n">
        <x:v>90</x:v>
      </x:c>
      <x:c r="D1022" t="str">
        <x:v>TT10_C05_B4_RETEN_1_0</x:v>
      </x:c>
      <x:c r="E1022" t="n">
        <x:v>1</x:v>
      </x:c>
      <x:c r="F1022" t="n">
        <x:v>1</x:v>
      </x:c>
      <x:c r="G1022" t="str">
        <x:v>Compra</x:v>
      </x:c>
      <x:c r="H1022" s="37" t="str">
        <x:v>M4x9,8.8; tornillo del puente cautivo; fijador desmontable</x:v>
      </x:c>
      <x:c r="I1022" s="37" t="str">
        <x:v>Clase 10.9 / ISO 898-1</x:v>
      </x:c>
      <x:c r="J1022" t="str">
        <x:v>Cantidades por conjunto; no sumar como total de máquina.</x:v>
      </x:c>
    </x:row>
    <x:row r="1023" ht="30" customHeight="1">
      <x:c r="A1023" t="str">
        <x:v>TT10_C05_PC_20</x:v>
      </x:c>
      <x:c r="B1023" t="str">
        <x:v>Caja y soportes del selector</x:v>
      </x:c>
      <x:c r="C1023" t="n">
        <x:v>91</x:v>
      </x:c>
      <x:c r="D1023" t="str">
        <x:v>TT10_C05_B4_RETEN_1_1</x:v>
      </x:c>
      <x:c r="E1023" t="n">
        <x:v>1</x:v>
      </x:c>
      <x:c r="F1023" t="n">
        <x:v>1</x:v>
      </x:c>
      <x:c r="G1023" t="str">
        <x:v>Compra</x:v>
      </x:c>
      <x:c r="H1023" s="37" t="str">
        <x:v>M4x9,8.8; tornillo del puente cautivo; fijador desmontable</x:v>
      </x:c>
      <x:c r="I1023" s="37" t="str">
        <x:v>Clase 10.9 / ISO 898-1</x:v>
      </x:c>
      <x:c r="J1023" t="str">
        <x:v>Cantidades por conjunto; no sumar como total de máquina.</x:v>
      </x:c>
    </x:row>
    <x:row r="1024" ht="30" customHeight="1">
      <x:c r="A1024" t="str">
        <x:v>TT10_C05_PC_20</x:v>
      </x:c>
      <x:c r="B1024" t="str">
        <x:v>Caja y soportes del selector</x:v>
      </x:c>
      <x:c r="C1024" t="n">
        <x:v>106</x:v>
      </x:c>
      <x:c r="D1024" t="str">
        <x:v>TT10_C05_BDNB_CUBO_SELECTOR</x:v>
      </x:c>
      <x:c r="E1024" t="n">
        <x:v>1</x:v>
      </x:c>
      <x:c r="F1024" t="n">
        <x:v>1</x:v>
      </x:c>
      <x:c r="G1024" t="str">
        <x:v>Fabricación</x:v>
      </x:c>
      <x:c r="H1024" s="37" t="str">
        <x:v>Cubo manual con corona integral z48,m2.5,20 grados; asiento47 y garras conservadas</x:v>
      </x:c>
      <x:c r="I1024" s="37" t="str">
        <x:v>AISI 4140 bonificado</x:v>
      </x:c>
      <x:c r="J1024" t="str">
        <x:v>Cantidades por conjunto; no sumar como total de máquina.</x:v>
      </x:c>
    </x:row>
    <x:row r="1025" ht="30" customHeight="1">
      <x:c r="A1025" t="str">
        <x:v>TT10_C05_PC_21</x:v>
      </x:c>
      <x:c r="B1025" t="str">
        <x:v>Selector E-N-M y enclavamiento cautivo</x:v>
      </x:c>
      <x:c r="C1025" t="n">
        <x:v>9</x:v>
      </x:c>
      <x:c r="D1025" t="str">
        <x:v>TT10_C03_HK4020_E1</x:v>
      </x:c>
      <x:c r="E1025" t="n">
        <x:v>1</x:v>
      </x:c>
      <x:c r="F1025" t="n">
        <x:v>1</x:v>
      </x:c>
      <x:c r="G1025" t="str">
        <x:v>Compra</x:v>
      </x:c>
      <x:c r="H1025" s="37" t="str">
        <x:v>SKF HK4020; 40x47x20; rodillos y jaula omitidos</x:v>
      </x:c>
      <x:c r="I1025" s="37" t="str">
        <x:v>Conjunto comprado; acero/ fundición según OEM</x:v>
      </x:c>
      <x:c r="J1025" t="str">
        <x:v>Cantidades por conjunto; no sumar como total de máquina.</x:v>
      </x:c>
    </x:row>
    <x:row r="1026" ht="30" customHeight="1">
      <x:c r="A1026" t="str">
        <x:v>TT10_C05_PC_21</x:v>
      </x:c>
      <x:c r="B1026" t="str">
        <x:v>Selector E-N-M y enclavamiento cautivo</x:v>
      </x:c>
      <x:c r="C1026" t="n">
        <x:v>10</x:v>
      </x:c>
      <x:c r="D1026" t="str">
        <x:v>TT10_C03_HK4020_E2</x:v>
      </x:c>
      <x:c r="E1026" t="n">
        <x:v>1</x:v>
      </x:c>
      <x:c r="F1026" t="n">
        <x:v>1</x:v>
      </x:c>
      <x:c r="G1026" t="str">
        <x:v>Compra</x:v>
      </x:c>
      <x:c r="H1026" s="37" t="str">
        <x:v>SKF HK4020; 40x47x20; rodillos y jaula omitidos</x:v>
      </x:c>
      <x:c r="I1026" s="37" t="str">
        <x:v>Conjunto comprado; acero/ fundición según OEM</x:v>
      </x:c>
      <x:c r="J1026" t="str">
        <x:v>Cantidades por conjunto; no sumar como total de máquina.</x:v>
      </x:c>
    </x:row>
    <x:row r="1027" ht="30" customHeight="1">
      <x:c r="A1027" t="str">
        <x:v>TT10_C05_PC_21</x:v>
      </x:c>
      <x:c r="B1027" t="str">
        <x:v>Selector E-N-M y enclavamiento cautivo</x:v>
      </x:c>
      <x:c r="C1027" t="n">
        <x:v>11</x:v>
      </x:c>
      <x:c r="D1027" t="str">
        <x:v>TT10_C03_HK4020_M1</x:v>
      </x:c>
      <x:c r="E1027" t="n">
        <x:v>1</x:v>
      </x:c>
      <x:c r="F1027" t="n">
        <x:v>1</x:v>
      </x:c>
      <x:c r="G1027" t="str">
        <x:v>Compra</x:v>
      </x:c>
      <x:c r="H1027" s="37" t="str">
        <x:v>SKF HK4020; 40x47x20; rodillos y jaula omitidos</x:v>
      </x:c>
      <x:c r="I1027" s="37" t="str">
        <x:v>Conjunto comprado; acero/ fundición según OEM</x:v>
      </x:c>
      <x:c r="J1027" t="str">
        <x:v>Cantidades por conjunto; no sumar como total de máquina.</x:v>
      </x:c>
    </x:row>
    <x:row r="1028" ht="30" customHeight="1">
      <x:c r="A1028" t="str">
        <x:v>TT10_C05_PC_21</x:v>
      </x:c>
      <x:c r="B1028" t="str">
        <x:v>Selector E-N-M y enclavamiento cautivo</x:v>
      </x:c>
      <x:c r="C1028" t="n">
        <x:v>12</x:v>
      </x:c>
      <x:c r="D1028" t="str">
        <x:v>TT10_C03_HK4020_M2</x:v>
      </x:c>
      <x:c r="E1028" t="n">
        <x:v>1</x:v>
      </x:c>
      <x:c r="F1028" t="n">
        <x:v>1</x:v>
      </x:c>
      <x:c r="G1028" t="str">
        <x:v>Compra</x:v>
      </x:c>
      <x:c r="H1028" s="37" t="str">
        <x:v>SKF HK4020; 40x47x20; rodillos y jaula omitidos</x:v>
      </x:c>
      <x:c r="I1028" s="37" t="str">
        <x:v>Conjunto comprado; acero/ fundición según OEM</x:v>
      </x:c>
      <x:c r="J1028" t="str">
        <x:v>Cantidades por conjunto; no sumar como total de máquina.</x:v>
      </x:c>
    </x:row>
    <x:row r="1029" ht="30" customHeight="1">
      <x:c r="A1029" t="str">
        <x:v>TT10_C05_PC_21</x:v>
      </x:c>
      <x:c r="B1029" t="str">
        <x:v>Selector E-N-M y enclavamiento cautivo</x:v>
      </x:c>
      <x:c r="C1029" t="n">
        <x:v>15</x:v>
      </x:c>
      <x:c r="D1029" t="str">
        <x:v>TT10_C03_SELECTOR_6008_1</x:v>
      </x:c>
      <x:c r="E1029" t="n">
        <x:v>1</x:v>
      </x:c>
      <x:c r="F1029" t="n">
        <x:v>1</x:v>
      </x:c>
      <x:c r="G1029" t="str">
        <x:v>Compra</x:v>
      </x:c>
      <x:c r="H1029" s="37" t="str">
        <x:v>SKF6008 40x68x15; contorno de interfaz</x:v>
      </x:c>
      <x:c r="I1029" s="37" t="str">
        <x:v>Conjunto comprado; acero/ fundición según OEM</x:v>
      </x:c>
      <x:c r="J1029" t="str">
        <x:v>Cantidades por conjunto; no sumar como total de máquina.</x:v>
      </x:c>
    </x:row>
    <x:row r="1030" ht="30" customHeight="1">
      <x:c r="A1030" t="str">
        <x:v>TT10_C05_PC_21</x:v>
      </x:c>
      <x:c r="B1030" t="str">
        <x:v>Selector E-N-M y enclavamiento cautivo</x:v>
      </x:c>
      <x:c r="C1030" t="n">
        <x:v>16</x:v>
      </x:c>
      <x:c r="D1030" t="str">
        <x:v>TT10_C03_SELECTOR_6008_2</x:v>
      </x:c>
      <x:c r="E1030" t="n">
        <x:v>1</x:v>
      </x:c>
      <x:c r="F1030" t="n">
        <x:v>1</x:v>
      </x:c>
      <x:c r="G1030" t="str">
        <x:v>Compra</x:v>
      </x:c>
      <x:c r="H1030" s="37" t="str">
        <x:v>SKF6008 40x68x15; contorno de interfaz</x:v>
      </x:c>
      <x:c r="I1030" s="37" t="str">
        <x:v>Conjunto comprado; acero/ fundición según OEM</x:v>
      </x:c>
      <x:c r="J1030" t="str">
        <x:v>Cantidades por conjunto; no sumar como total de máquina.</x:v>
      </x:c>
    </x:row>
    <x:row r="1031" ht="30" customHeight="1">
      <x:c r="A1031" t="str">
        <x:v>TT10_C05_PC_21</x:v>
      </x:c>
      <x:c r="B1031" t="str">
        <x:v>Selector E-N-M y enclavamiento cautivo</x:v>
      </x:c>
      <x:c r="C1031" t="n">
        <x:v>17</x:v>
      </x:c>
      <x:c r="D1031" t="str">
        <x:v>TT10_C03_SELECTOR_COLLAR_1</x:v>
      </x:c>
      <x:c r="E1031" t="n">
        <x:v>1</x:v>
      </x:c>
      <x:c r="F1031" t="n">
        <x:v>1</x:v>
      </x:c>
      <x:c r="G1031" t="str">
        <x:v>Fabricación</x:v>
      </x:c>
      <x:c r="H1031" s="37" t="str">
        <x:v>Collar de varilla para sujetar horquilla; fijacion radial y retencion por completar</x:v>
      </x:c>
      <x:c r="I1031" s="37" t="str">
        <x:v>C45E / EN 10083-2</x:v>
      </x:c>
      <x:c r="J1031" t="str">
        <x:v>Cantidades por conjunto; no sumar como total de máquina.</x:v>
      </x:c>
    </x:row>
    <x:row r="1032" ht="30" customHeight="1">
      <x:c r="A1032" t="str">
        <x:v>TT10_C05_PC_21</x:v>
      </x:c>
      <x:c r="B1032" t="str">
        <x:v>Selector E-N-M y enclavamiento cautivo</x:v>
      </x:c>
      <x:c r="C1032" t="n">
        <x:v>18</x:v>
      </x:c>
      <x:c r="D1032" t="str">
        <x:v>TT10_C03_SELECTOR_COLLAR_2</x:v>
      </x:c>
      <x:c r="E1032" t="n">
        <x:v>1</x:v>
      </x:c>
      <x:c r="F1032" t="n">
        <x:v>1</x:v>
      </x:c>
      <x:c r="G1032" t="str">
        <x:v>Fabricación</x:v>
      </x:c>
      <x:c r="H1032" s="37" t="str">
        <x:v>Collar de varilla para sujetar horquilla; fijacion radial y retencion por completar</x:v>
      </x:c>
      <x:c r="I1032" s="37" t="str">
        <x:v>C45E / EN 10083-2</x:v>
      </x:c>
      <x:c r="J1032" t="str">
        <x:v>Cantidades por conjunto; no sumar como total de máquina.</x:v>
      </x:c>
    </x:row>
    <x:row r="1033" ht="30" customHeight="1">
      <x:c r="A1033" t="str">
        <x:v>TT10_C05_PC_21</x:v>
      </x:c>
      <x:c r="B1033" t="str">
        <x:v>Selector E-N-M y enclavamiento cautivo</x:v>
      </x:c>
      <x:c r="C1033" t="n">
        <x:v>19</x:v>
      </x:c>
      <x:c r="D1033" t="str">
        <x:v>TT10_C03_SELECTOR_CUBIERTA</x:v>
      </x:c>
      <x:c r="E1033" t="n">
        <x:v>1</x:v>
      </x:c>
      <x:c r="F1033" t="n">
        <x:v>1</x:v>
      </x:c>
      <x:c r="G1033" t="str">
        <x:v>Fabricación</x:v>
      </x:c>
      <x:c r="H1033" s="37" t="str">
        <x:v>Cubierta desmontable3; ranura50x36 para recorrido completo; cierreM6 por detallar</x:v>
      </x:c>
      <x:c r="I1033" s="37" t="str">
        <x:v>ASTM A36</x:v>
      </x:c>
      <x:c r="J1033" t="str">
        <x:v>Cantidades por conjunto; no sumar como total de máquina.</x:v>
      </x:c>
    </x:row>
    <x:row r="1034" ht="30" customHeight="1">
      <x:c r="A1034" t="str">
        <x:v>TT10_C05_PC_21</x:v>
      </x:c>
      <x:c r="B1034" t="str">
        <x:v>Selector E-N-M y enclavamiento cautivo</x:v>
      </x:c>
      <x:c r="C1034" t="n">
        <x:v>20</x:v>
      </x:c>
      <x:c r="D1034" t="str">
        <x:v>TT10_C03_SELECTOR_ENCLAVAMIENTO</x:v>
      </x:c>
      <x:c r="E1034" t="n">
        <x:v>1</x:v>
      </x:c>
      <x:c r="F1034" t="n">
        <x:v>1</x:v>
      </x:c>
      <x:c r="G1034" t="str">
        <x:v>Fabricación</x:v>
      </x:c>
      <x:c r="H1034" s="37" t="str">
        <x:v>Pasador positivoD6; levantar16mm antes de seleccionar y reinsertar; retencion cautiva y mando remoto pendientes</x:v>
      </x:c>
      <x:c r="I1034" s="37" t="str">
        <x:v>C45E / EN 10083-2</x:v>
      </x:c>
      <x:c r="J1034" t="str">
        <x:v>Cantidades por conjunto; no sumar como total de máquina.</x:v>
      </x:c>
    </x:row>
    <x:row r="1035" ht="30" customHeight="1">
      <x:c r="A1035" t="str">
        <x:v>TT10_C05_PC_21</x:v>
      </x:c>
      <x:c r="B1035" t="str">
        <x:v>Selector E-N-M y enclavamiento cautivo</x:v>
      </x:c>
      <x:c r="C1035" t="n">
        <x:v>21</x:v>
      </x:c>
      <x:c r="D1035" t="str">
        <x:v>TT10_C03_SELECTOR_HORQUILLA</x:v>
      </x:c>
      <x:c r="E1035" t="n">
        <x:v>1</x:v>
      </x:c>
      <x:c r="F1035" t="n">
        <x:v>1</x:v>
      </x:c>
      <x:c r="G1035" t="str">
        <x:v>Fabricación</x:v>
      </x:c>
      <x:c r="H1035" s="37" t="str">
        <x:v>Horquilla10 en ranura12; 1 mm nominal por flanco; garras de seleccion con la maquina parada</x:v>
      </x:c>
      <x:c r="I1035" s="37" t="str">
        <x:v>ASTM A36</x:v>
      </x:c>
      <x:c r="J1035" t="str">
        <x:v>Cantidades por conjunto; no sumar como total de máquina.</x:v>
      </x:c>
    </x:row>
    <x:row r="1036" ht="30" customHeight="1">
      <x:c r="A1036" t="str">
        <x:v>TT10_C05_PC_21</x:v>
      </x:c>
      <x:c r="B1036" t="str">
        <x:v>Selector E-N-M y enclavamiento cautivo</x:v>
      </x:c>
      <x:c r="C1036" t="n">
        <x:v>22</x:v>
      </x:c>
      <x:c r="D1036" t="str">
        <x:v>TT10_C03_SELECTOR_MANGUITO</x:v>
      </x:c>
      <x:c r="E1036" t="n">
        <x:v>1</x:v>
      </x:c>
      <x:c r="F1036" t="n">
        <x:v>1</x:v>
      </x:c>
      <x:c r="G1036" t="str">
        <x:v>Fabricación</x:v>
      </x:c>
      <x:c r="H1036" s="37" t="str">
        <x:v>Manguito estriado: neutro X923..979; E+18/M-18; 6 alojamientos D12.2 PCD72 por cara</x:v>
      </x:c>
      <x:c r="I1036" s="37" t="str">
        <x:v>AISI 4140 bonificado</x:v>
      </x:c>
      <x:c r="J1036" t="str">
        <x:v>Cantidades por conjunto; no sumar como total de máquina.</x:v>
      </x:c>
    </x:row>
    <x:row r="1037" ht="30" customHeight="1">
      <x:c r="A1037" t="str">
        <x:v>TT10_C05_PC_21</x:v>
      </x:c>
      <x:c r="B1037" t="str">
        <x:v>Selector E-N-M y enclavamiento cautivo</x:v>
      </x:c>
      <x:c r="C1037" t="n">
        <x:v>23</x:v>
      </x:c>
      <x:c r="D1037" t="str">
        <x:v>TT10_C03_SELECTOR_PARED_E</x:v>
      </x:c>
      <x:c r="E1037" t="n">
        <x:v>1</x:v>
      </x:c>
      <x:c r="F1037" t="n">
        <x:v>1</x:v>
      </x:c>
      <x:c r="G1037" t="str">
        <x:v>Fabricación</x:v>
      </x:c>
      <x:c r="H1037" s="37" t="str">
        <x:v>Pared mecanizada8; roscasM6; tapa de retencion y asiento axial por cadena de cotas</x:v>
      </x:c>
      <x:c r="I1037" s="37" t="str">
        <x:v>ASTM A36</x:v>
      </x:c>
      <x:c r="J1037" t="str">
        <x:v>Cantidades por conjunto; no sumar como total de máquina.</x:v>
      </x:c>
    </x:row>
    <x:row r="1038" ht="30" customHeight="1">
      <x:c r="A1038" t="str">
        <x:v>TT10_C05_PC_21</x:v>
      </x:c>
      <x:c r="B1038" t="str">
        <x:v>Selector E-N-M y enclavamiento cautivo</x:v>
      </x:c>
      <x:c r="C1038" t="n">
        <x:v>24</x:v>
      </x:c>
      <x:c r="D1038" t="str">
        <x:v>TT10_C03_SELECTOR_PARED_M</x:v>
      </x:c>
      <x:c r="E1038" t="n">
        <x:v>1</x:v>
      </x:c>
      <x:c r="F1038" t="n">
        <x:v>1</x:v>
      </x:c>
      <x:c r="G1038" t="str">
        <x:v>Fabricación</x:v>
      </x:c>
      <x:c r="H1038" s="37" t="str">
        <x:v>Pared mecanizada8; roscasM6; tapa de retencion y asiento axial por cadena de cotas</x:v>
      </x:c>
      <x:c r="I1038" s="37" t="str">
        <x:v>ASTM A36</x:v>
      </x:c>
      <x:c r="J1038" t="str">
        <x:v>Cantidades por conjunto; no sumar como total de máquina.</x:v>
      </x:c>
    </x:row>
    <x:row r="1039" ht="30" customHeight="1">
      <x:c r="A1039" t="str">
        <x:v>TT10_C05_PC_21</x:v>
      </x:c>
      <x:c r="B1039" t="str">
        <x:v>Selector E-N-M y enclavamiento cautivo</x:v>
      </x:c>
      <x:c r="C1039" t="n">
        <x:v>25</x:v>
      </x:c>
      <x:c r="D1039" t="str">
        <x:v>TT10_C03_SELECTOR_VARILLA</x:v>
      </x:c>
      <x:c r="E1039" t="n">
        <x:v>1</x:v>
      </x:c>
      <x:c r="F1039" t="n">
        <x:v>1</x:v>
      </x:c>
      <x:c r="G1039" t="str">
        <x:v>Fabricación</x:v>
      </x:c>
      <x:c r="H1039" s="37" t="str">
        <x:v>Varilla selector D16; tres taladrosD6.5 con paso18; E-N-M por pasador positivo</x:v>
      </x:c>
      <x:c r="I1039" s="37" t="str">
        <x:v>C45E / EN 10083-2</x:v>
      </x:c>
      <x:c r="J1039" t="str">
        <x:v>Cantidades por conjunto; no sumar como total de máquina.</x:v>
      </x:c>
    </x:row>
    <x:row r="1040" ht="30" customHeight="1">
      <x:c r="A1040" t="str">
        <x:v>TT10_C05_PC_21</x:v>
      </x:c>
      <x:c r="B1040" t="str">
        <x:v>Selector E-N-M y enclavamiento cautivo</x:v>
      </x:c>
      <x:c r="C1040" t="n">
        <x:v>26</x:v>
      </x:c>
      <x:c r="D1040" t="str">
        <x:v>TT10_C03_TAPA_RETENCION_E</x:v>
      </x:c>
      <x:c r="E1040" t="n">
        <x:v>1</x:v>
      </x:c>
      <x:c r="F1040" t="n">
        <x:v>1</x:v>
      </x:c>
      <x:c r="G1040" t="str">
        <x:v>Fabricación</x:v>
      </x:c>
      <x:c r="H1040" s="37" t="str">
        <x:v>Tapa estacionaria: labio axial para cuboD100, pasoD92 libre al manguitoD90; junta axial0.2 por ajustar</x:v>
      </x:c>
      <x:c r="I1040" s="37" t="str">
        <x:v>ASTM A36</x:v>
      </x:c>
      <x:c r="J1040" t="str">
        <x:v>Cantidades por conjunto; no sumar como total de máquina.</x:v>
      </x:c>
    </x:row>
    <x:row r="1041" ht="30" customHeight="1">
      <x:c r="A1041" t="str">
        <x:v>TT10_C05_PC_21</x:v>
      </x:c>
      <x:c r="B1041" t="str">
        <x:v>Selector E-N-M y enclavamiento cautivo</x:v>
      </x:c>
      <x:c r="C1041" t="n">
        <x:v>27</x:v>
      </x:c>
      <x:c r="D1041" t="str">
        <x:v>TT10_C03_TAPA_RETENCION_M</x:v>
      </x:c>
      <x:c r="E1041" t="n">
        <x:v>1</x:v>
      </x:c>
      <x:c r="F1041" t="n">
        <x:v>1</x:v>
      </x:c>
      <x:c r="G1041" t="str">
        <x:v>Fabricación</x:v>
      </x:c>
      <x:c r="H1041" s="37" t="str">
        <x:v>Tapa estacionaria: labio axial para cuboD100, pasoD92 libre al manguitoD90; junta axial0.2 por ajustar</x:v>
      </x:c>
      <x:c r="I1041" s="37" t="str">
        <x:v>ASTM A36</x:v>
      </x:c>
      <x:c r="J1041" t="str">
        <x:v>Cantidades por conjunto; no sumar como total de máquina.</x:v>
      </x:c>
    </x:row>
    <x:row r="1042" ht="30" customHeight="1">
      <x:c r="A1042" t="str">
        <x:v>TT10_C05_PC_21</x:v>
      </x:c>
      <x:c r="B1042" t="str">
        <x:v>Selector E-N-M y enclavamiento cautivo</x:v>
      </x:c>
      <x:c r="C1042" t="n">
        <x:v>35</x:v>
      </x:c>
      <x:c r="D1042" t="str">
        <x:v>TT10_C04_B6008_M6_1_0</x:v>
      </x:c>
      <x:c r="E1042" t="n">
        <x:v>2</x:v>
      </x:c>
      <x:c r="F1042" t="n">
        <x:v>2</x:v>
      </x:c>
      <x:c r="G1042" t="str">
        <x:v>Compra</x:v>
      </x:c>
      <x:c r="H1042" s="37" t="str">
        <x:v>M6x20 ISO7380-1,10.9; contorno nominal</x:v>
      </x:c>
      <x:c r="I1042" s="37" t="str">
        <x:v>Clase 10.9 / ISO 898-1</x:v>
      </x:c>
      <x:c r="J1042" t="str">
        <x:v>Cantidades por conjunto; no sumar como total de máquina.</x:v>
      </x:c>
    </x:row>
    <x:row r="1043" ht="30" customHeight="1">
      <x:c r="A1043" t="str">
        <x:v>TT10_C05_PC_21</x:v>
      </x:c>
      <x:c r="B1043" t="str">
        <x:v>Selector E-N-M y enclavamiento cautivo</x:v>
      </x:c>
      <x:c r="C1043" t="n">
        <x:v>36</x:v>
      </x:c>
      <x:c r="D1043" t="str">
        <x:v>TT10_C04_B6008_M6_1_2</x:v>
      </x:c>
      <x:c r="E1043" t="n">
        <x:v>1</x:v>
      </x:c>
      <x:c r="F1043" t="n">
        <x:v>1</x:v>
      </x:c>
      <x:c r="G1043" t="str">
        <x:v>Compra</x:v>
      </x:c>
      <x:c r="H1043" s="37" t="str">
        <x:v>M6x20 ISO7380-1,10.9; contorno nominal</x:v>
      </x:c>
      <x:c r="I1043" s="37" t="str">
        <x:v>Clase 10.9 / ISO 898-1</x:v>
      </x:c>
      <x:c r="J1043" t="str">
        <x:v>Cantidades por conjunto; no sumar como total de máquina.</x:v>
      </x:c>
    </x:row>
    <x:row r="1044" ht="30" customHeight="1">
      <x:c r="A1044" t="str">
        <x:v>TT10_C05_PC_21</x:v>
      </x:c>
      <x:c r="B1044" t="str">
        <x:v>Selector E-N-M y enclavamiento cautivo</x:v>
      </x:c>
      <x:c r="C1044" t="n">
        <x:v>37</x:v>
      </x:c>
      <x:c r="D1044" t="str">
        <x:v>TT10_C04_B6008_M6_1_3</x:v>
      </x:c>
      <x:c r="E1044" t="n">
        <x:v>1</x:v>
      </x:c>
      <x:c r="F1044" t="n">
        <x:v>1</x:v>
      </x:c>
      <x:c r="G1044" t="str">
        <x:v>Compra</x:v>
      </x:c>
      <x:c r="H1044" s="37" t="str">
        <x:v>M6x20 ISO7380-1,10.9; contorno nominal</x:v>
      </x:c>
      <x:c r="I1044" s="37" t="str">
        <x:v>Clase 10.9 / ISO 898-1</x:v>
      </x:c>
      <x:c r="J1044" t="str">
        <x:v>Cantidades por conjunto; no sumar como total de máquina.</x:v>
      </x:c>
    </x:row>
    <x:row r="1045" ht="30" customHeight="1">
      <x:c r="A1045" t="str">
        <x:v>TT10_C05_PC_21</x:v>
      </x:c>
      <x:c r="B1045" t="str">
        <x:v>Selector E-N-M y enclavamiento cautivo</x:v>
      </x:c>
      <x:c r="C1045" t="n">
        <x:v>38</x:v>
      </x:c>
      <x:c r="D1045" t="str">
        <x:v>TT10_C04_B6008_M6_2_0</x:v>
      </x:c>
      <x:c r="E1045" t="n">
        <x:v>2</x:v>
      </x:c>
      <x:c r="F1045" t="n">
        <x:v>2</x:v>
      </x:c>
      <x:c r="G1045" t="str">
        <x:v>Compra</x:v>
      </x:c>
      <x:c r="H1045" s="37" t="str">
        <x:v>M6x20 ISO7380-1,10.9; contorno nominal</x:v>
      </x:c>
      <x:c r="I1045" s="37" t="str">
        <x:v>Clase 10.9 / ISO 898-1</x:v>
      </x:c>
      <x:c r="J1045" t="str">
        <x:v>Cantidades por conjunto; no sumar como total de máquina.</x:v>
      </x:c>
    </x:row>
    <x:row r="1046" ht="30" customHeight="1">
      <x:c r="A1046" t="str">
        <x:v>TT10_C05_PC_21</x:v>
      </x:c>
      <x:c r="B1046" t="str">
        <x:v>Selector E-N-M y enclavamiento cautivo</x:v>
      </x:c>
      <x:c r="C1046" t="n">
        <x:v>39</x:v>
      </x:c>
      <x:c r="D1046" t="str">
        <x:v>TT10_C04_B6008_M6_2_1</x:v>
      </x:c>
      <x:c r="E1046" t="n">
        <x:v>2</x:v>
      </x:c>
      <x:c r="F1046" t="n">
        <x:v>2</x:v>
      </x:c>
      <x:c r="G1046" t="str">
        <x:v>Compra</x:v>
      </x:c>
      <x:c r="H1046" s="37" t="str">
        <x:v>M6x20 ISO7380-1,10.9; contorno nominal</x:v>
      </x:c>
      <x:c r="I1046" s="37" t="str">
        <x:v>Clase 10.9 / ISO 898-1</x:v>
      </x:c>
      <x:c r="J1046" t="str">
        <x:v>Cantidades por conjunto; no sumar como total de máquina.</x:v>
      </x:c>
    </x:row>
    <x:row r="1047" ht="30" customHeight="1">
      <x:c r="A1047" t="str">
        <x:v>TT10_C05_PC_21</x:v>
      </x:c>
      <x:c r="B1047" t="str">
        <x:v>Selector E-N-M y enclavamiento cautivo</x:v>
      </x:c>
      <x:c r="C1047" t="n">
        <x:v>48</x:v>
      </x:c>
      <x:c r="D1047" t="str">
        <x:v>TT10_C04_DIN471_40</x:v>
      </x:c>
      <x:c r="E1047" t="n">
        <x:v>1</x:v>
      </x:c>
      <x:c r="F1047" t="n">
        <x:v>1</x:v>
      </x:c>
      <x:c r="G1047" t="str">
        <x:v>Compra</x:v>
      </x:c>
      <x:c r="H1047" s="37" t="str">
        <x:v>ComprarDIN471-40,1.75; contorno instalado simplificado, no fabricar</x:v>
      </x:c>
      <x:c r="I1047" s="37" t="str">
        <x:v>Acero resorte DIN471</x:v>
      </x:c>
      <x:c r="J1047" t="str">
        <x:v>Cantidades por conjunto; no sumar como total de máquina.</x:v>
      </x:c>
    </x:row>
    <x:row r="1048" ht="30" customHeight="1">
      <x:c r="A1048" t="str">
        <x:v>TT10_C05_PC_21</x:v>
      </x:c>
      <x:c r="B1048" t="str">
        <x:v>Selector E-N-M y enclavamiento cautivo</x:v>
      </x:c>
      <x:c r="C1048" t="n">
        <x:v>52</x:v>
      </x:c>
      <x:c r="D1048" t="str">
        <x:v>TT10_C04_ESPACIADOR6008</x:v>
      </x:c>
      <x:c r="E1048" t="n">
        <x:v>1</x:v>
      </x:c>
      <x:c r="F1048" t="n">
        <x:v>1</x:v>
      </x:c>
      <x:c r="G1048" t="str">
        <x:v>Compra</x:v>
      </x:c>
      <x:c r="H1048" s="37" t="str">
        <x:v>Separador7 entre tapa izquierda y anillo exterior6008</x:v>
      </x:c>
      <x:c r="I1048" s="37" t="str">
        <x:v>Conjunto comprado; acero/ fundición según OEM</x:v>
      </x:c>
      <x:c r="J1048" t="str">
        <x:v>Cantidades por conjunto; no sumar como total de máquina.</x:v>
      </x:c>
    </x:row>
    <x:row r="1049" ht="30" customHeight="1">
      <x:c r="A1049" t="str">
        <x:v>TT10_C05_PC_21</x:v>
      </x:c>
      <x:c r="B1049" t="str">
        <x:v>Selector E-N-M y enclavamiento cautivo</x:v>
      </x:c>
      <x:c r="C1049" t="n">
        <x:v>67</x:v>
      </x:c>
      <x:c r="D1049" t="str">
        <x:v>TT10_C04_SELECTOR_APOYO_1</x:v>
      </x:c>
      <x:c r="E1049" t="n">
        <x:v>1</x:v>
      </x:c>
      <x:c r="F1049" t="n">
        <x:v>1</x:v>
      </x:c>
      <x:c r="G1049" t="str">
        <x:v>Compra</x:v>
      </x:c>
      <x:c r="H1049" s="37" t="str">
        <x:v>Asiento6008 abierto; montaje axial y4M6PCD84; no cavidad inaccesible</x:v>
      </x:c>
      <x:c r="I1049" s="37" t="str">
        <x:v>Conjunto comprado; acero/ fundición según OEM</x:v>
      </x:c>
      <x:c r="J1049" t="str">
        <x:v>Cantidades por conjunto; no sumar como total de máquina.</x:v>
      </x:c>
    </x:row>
    <x:row r="1050" ht="30" customHeight="1">
      <x:c r="A1050" t="str">
        <x:v>TT10_C05_PC_21</x:v>
      </x:c>
      <x:c r="B1050" t="str">
        <x:v>Selector E-N-M y enclavamiento cautivo</x:v>
      </x:c>
      <x:c r="C1050" t="n">
        <x:v>68</x:v>
      </x:c>
      <x:c r="D1050" t="str">
        <x:v>TT10_C04_SELECTOR_APOYO_2</x:v>
      </x:c>
      <x:c r="E1050" t="n">
        <x:v>1</x:v>
      </x:c>
      <x:c r="F1050" t="n">
        <x:v>1</x:v>
      </x:c>
      <x:c r="G1050" t="str">
        <x:v>Compra</x:v>
      </x:c>
      <x:c r="H1050" s="37" t="str">
        <x:v>Asiento6008 abierto; montaje axial y4M6PCD84; no cavidad inaccesible</x:v>
      </x:c>
      <x:c r="I1050" s="37" t="str">
        <x:v>Conjunto comprado; acero/ fundición según OEM</x:v>
      </x:c>
      <x:c r="J1050" t="str">
        <x:v>Cantidades por conjunto; no sumar como total de máquina.</x:v>
      </x:c>
    </x:row>
    <x:row r="1051" ht="30" customHeight="1">
      <x:c r="A1051" t="str">
        <x:v>TT10_C05_PC_21</x:v>
      </x:c>
      <x:c r="B1051" t="str">
        <x:v>Selector E-N-M y enclavamiento cautivo</x:v>
      </x:c>
      <x:c r="C1051" t="n">
        <x:v>69</x:v>
      </x:c>
      <x:c r="D1051" t="str">
        <x:v>TT10_C04_SELECTOR_BASE</x:v>
      </x:c>
      <x:c r="E1051" t="n">
        <x:v>1</x:v>
      </x:c>
      <x:c r="F1051" t="n">
        <x:v>1</x:v>
      </x:c>
      <x:c r="G1051" t="str">
        <x:v>Fabricación</x:v>
      </x:c>
      <x:c r="H1051" s="37" t="str">
        <x:v>Soporte con ventana46mm para cadena y guarda; caras restantes transmiten apoyo</x:v>
      </x:c>
      <x:c r="I1051" s="37" t="str">
        <x:v>ASTM A36</x:v>
      </x:c>
      <x:c r="J1051" t="str">
        <x:v>Cantidades por conjunto; no sumar como total de máquina.</x:v>
      </x:c>
    </x:row>
    <x:row r="1052" ht="30" customHeight="1">
      <x:c r="A1052" t="str">
        <x:v>TT10_C05_PC_21</x:v>
      </x:c>
      <x:c r="B1052" t="str">
        <x:v>Selector E-N-M y enclavamiento cautivo</x:v>
      </x:c>
      <x:c r="C1052" t="n">
        <x:v>70</x:v>
      </x:c>
      <x:c r="D1052" t="str">
        <x:v>TT10_C04_SELECTOR_CUBO_E</x:v>
      </x:c>
      <x:c r="E1052" t="n">
        <x:v>1</x:v>
      </x:c>
      <x:c r="F1052" t="n">
        <x:v>1</x:v>
      </x:c>
      <x:c r="G1052" t="str">
        <x:v>Fabricación</x:v>
      </x:c>
      <x:c r="H1052" s="37" t="str">
        <x:v>CuboE con extension; pasoD41 hastaX1062, socketD40H7 y chavetero12x35</x:v>
      </x:c>
      <x:c r="I1052" s="37" t="str">
        <x:v>AISI 4140 bonificado</x:v>
      </x:c>
      <x:c r="J1052" t="str">
        <x:v>Cantidades por conjunto; no sumar como total de máquina.</x:v>
      </x:c>
    </x:row>
    <x:row r="1053" ht="30" customHeight="1">
      <x:c r="A1053" t="str">
        <x:v>TT10_C05_PC_21</x:v>
      </x:c>
      <x:c r="B1053" t="str">
        <x:v>Selector E-N-M y enclavamiento cautivo</x:v>
      </x:c>
      <x:c r="C1053" t="n">
        <x:v>71</x:v>
      </x:c>
      <x:c r="D1053" t="str">
        <x:v>TT10_C04_SELECTOR_EJE</x:v>
      </x:c>
      <x:c r="E1053" t="n">
        <x:v>1</x:v>
      </x:c>
      <x:c r="F1053" t="n">
        <x:v>1</x:v>
      </x:c>
      <x:c r="G1053" t="str">
        <x:v>Fabricación</x:v>
      </x:c>
      <x:c r="H1053" s="37" t="str">
        <x:v>Eje D40h6; extremoX1060; ranuraDIN471D37.5x1.85 enX855.1</x:v>
      </x:c>
      <x:c r="I1053" s="37" t="str">
        <x:v>42CrMo4+QT; pistas58-64HRC</x:v>
      </x:c>
      <x:c r="J1053" t="str">
        <x:v>Cantidades por conjunto; no sumar como total de máquina.</x:v>
      </x:c>
    </x:row>
    <x:row r="1054" ht="30" customHeight="1">
      <x:c r="A1054" t="str">
        <x:v>TT10_C05_PC_21</x:v>
      </x:c>
      <x:c r="B1054" t="str">
        <x:v>Selector E-N-M y enclavamiento cautivo</x:v>
      </x:c>
      <x:c r="C1054" t="n">
        <x:v>72</x:v>
      </x:c>
      <x:c r="D1054" t="str">
        <x:v>TT10_C04_SELECTOR_ESPACIADOR</x:v>
      </x:c>
      <x:c r="E1054" t="n">
        <x:v>1</x:v>
      </x:c>
      <x:c r="F1054" t="n">
        <x:v>1</x:v>
      </x:c>
      <x:c r="G1054" t="str">
        <x:v>Fabricación</x:v>
      </x:c>
      <x:c r="H1054" s="37" t="str">
        <x:v>Soporte con ventana46mm para cadena y guarda; caras restantes transmiten apoyo</x:v>
      </x:c>
      <x:c r="I1054" s="37" t="str">
        <x:v>ASTM A36</x:v>
      </x:c>
      <x:c r="J1054" t="str">
        <x:v>Cantidades por conjunto; no sumar como total de máquina.</x:v>
      </x:c>
    </x:row>
    <x:row r="1055" ht="30" customHeight="1">
      <x:c r="A1055" t="str">
        <x:v>TT10_C05_PC_21</x:v>
      </x:c>
      <x:c r="B1055" t="str">
        <x:v>Selector E-N-M y enclavamiento cautivo</x:v>
      </x:c>
      <x:c r="C1055" t="n">
        <x:v>77</x:v>
      </x:c>
      <x:c r="D1055" t="str">
        <x:v>TT10_C04_TAPA6008_1</x:v>
      </x:c>
      <x:c r="E1055" t="n">
        <x:v>1</x:v>
      </x:c>
      <x:c r="F1055" t="n">
        <x:v>1</x:v>
      </x:c>
      <x:c r="G1055" t="str">
        <x:v>Fabricación</x:v>
      </x:c>
      <x:c r="H1055" s="37" t="str">
        <x:v>Tapa104x4, cabezas en cajera; desmontaje exterior</x:v>
      </x:c>
      <x:c r="I1055" s="37" t="str">
        <x:v>ASTM A36</x:v>
      </x:c>
      <x:c r="J1055" t="str">
        <x:v>Cantidades por conjunto; no sumar como total de máquina.</x:v>
      </x:c>
    </x:row>
    <x:row r="1056" ht="30" customHeight="1">
      <x:c r="A1056" t="str">
        <x:v>TT10_C05_PC_21</x:v>
      </x:c>
      <x:c r="B1056" t="str">
        <x:v>Selector E-N-M y enclavamiento cautivo</x:v>
      </x:c>
      <x:c r="C1056" t="n">
        <x:v>78</x:v>
      </x:c>
      <x:c r="D1056" t="str">
        <x:v>TT10_C04_TAPA6008_2</x:v>
      </x:c>
      <x:c r="E1056" t="n">
        <x:v>1</x:v>
      </x:c>
      <x:c r="F1056" t="n">
        <x:v>1</x:v>
      </x:c>
      <x:c r="G1056" t="str">
        <x:v>Fabricación</x:v>
      </x:c>
      <x:c r="H1056" s="37" t="str">
        <x:v>Tapa104x4, cabezas en cajera; desmontaje exterior</x:v>
      </x:c>
      <x:c r="I1056" s="37" t="str">
        <x:v>ASTM A36</x:v>
      </x:c>
      <x:c r="J1056" t="str">
        <x:v>Cantidades por conjunto; no sumar como total de máquina.</x:v>
      </x:c>
    </x:row>
    <x:row r="1057" ht="30" customHeight="1">
      <x:c r="A1057" t="str">
        <x:v>TT10_C05_PC_21</x:v>
      </x:c>
      <x:c r="B1057" t="str">
        <x:v>Selector E-N-M y enclavamiento cautivo</x:v>
      </x:c>
      <x:c r="C1057" t="n">
        <x:v>88</x:v>
      </x:c>
      <x:c r="D1057" t="str">
        <x:v>TT10_C05_B4_RETEN_0_0</x:v>
      </x:c>
      <x:c r="E1057" t="n">
        <x:v>1</x:v>
      </x:c>
      <x:c r="F1057" t="n">
        <x:v>1</x:v>
      </x:c>
      <x:c r="G1057" t="str">
        <x:v>Compra</x:v>
      </x:c>
      <x:c r="H1057" s="37" t="str">
        <x:v>M4x9,8.8; tornillo del puente cautivo; fijador desmontable</x:v>
      </x:c>
      <x:c r="I1057" s="37" t="str">
        <x:v>Clase 10.9 / ISO 898-1</x:v>
      </x:c>
      <x:c r="J1057" t="str">
        <x:v>Cantidades por conjunto; no sumar como total de máquina.</x:v>
      </x:c>
    </x:row>
    <x:row r="1058" ht="30" customHeight="1">
      <x:c r="A1058" t="str">
        <x:v>TT10_C05_PC_21</x:v>
      </x:c>
      <x:c r="B1058" t="str">
        <x:v>Selector E-N-M y enclavamiento cautivo</x:v>
      </x:c>
      <x:c r="C1058" t="n">
        <x:v>89</x:v>
      </x:c>
      <x:c r="D1058" t="str">
        <x:v>TT10_C05_B4_RETEN_0_1</x:v>
      </x:c>
      <x:c r="E1058" t="n">
        <x:v>1</x:v>
      </x:c>
      <x:c r="F1058" t="n">
        <x:v>1</x:v>
      </x:c>
      <x:c r="G1058" t="str">
        <x:v>Compra</x:v>
      </x:c>
      <x:c r="H1058" s="37" t="str">
        <x:v>M4x9,8.8; tornillo del puente cautivo; fijador desmontable</x:v>
      </x:c>
      <x:c r="I1058" s="37" t="str">
        <x:v>Clase 10.9 / ISO 898-1</x:v>
      </x:c>
      <x:c r="J1058" t="str">
        <x:v>Cantidades por conjunto; no sumar como total de máquina.</x:v>
      </x:c>
    </x:row>
    <x:row r="1059" ht="30" customHeight="1">
      <x:c r="A1059" t="str">
        <x:v>TT10_C05_PC_21</x:v>
      </x:c>
      <x:c r="B1059" t="str">
        <x:v>Selector E-N-M y enclavamiento cautivo</x:v>
      </x:c>
      <x:c r="C1059" t="n">
        <x:v>90</x:v>
      </x:c>
      <x:c r="D1059" t="str">
        <x:v>TT10_C05_B4_RETEN_1_0</x:v>
      </x:c>
      <x:c r="E1059" t="n">
        <x:v>1</x:v>
      </x:c>
      <x:c r="F1059" t="n">
        <x:v>1</x:v>
      </x:c>
      <x:c r="G1059" t="str">
        <x:v>Compra</x:v>
      </x:c>
      <x:c r="H1059" s="37" t="str">
        <x:v>M4x9,8.8; tornillo del puente cautivo; fijador desmontable</x:v>
      </x:c>
      <x:c r="I1059" s="37" t="str">
        <x:v>Clase 10.9 / ISO 898-1</x:v>
      </x:c>
      <x:c r="J1059" t="str">
        <x:v>Cantidades por conjunto; no sumar como total de máquina.</x:v>
      </x:c>
    </x:row>
    <x:row r="1060" ht="30" customHeight="1">
      <x:c r="A1060" t="str">
        <x:v>TT10_C05_PC_21</x:v>
      </x:c>
      <x:c r="B1060" t="str">
        <x:v>Selector E-N-M y enclavamiento cautivo</x:v>
      </x:c>
      <x:c r="C1060" t="n">
        <x:v>91</x:v>
      </x:c>
      <x:c r="D1060" t="str">
        <x:v>TT10_C05_B4_RETEN_1_1</x:v>
      </x:c>
      <x:c r="E1060" t="n">
        <x:v>1</x:v>
      </x:c>
      <x:c r="F1060" t="n">
        <x:v>1</x:v>
      </x:c>
      <x:c r="G1060" t="str">
        <x:v>Compra</x:v>
      </x:c>
      <x:c r="H1060" s="37" t="str">
        <x:v>M4x9,8.8; tornillo del puente cautivo; fijador desmontable</x:v>
      </x:c>
      <x:c r="I1060" s="37" t="str">
        <x:v>Clase 10.9 / ISO 898-1</x:v>
      </x:c>
      <x:c r="J1060" t="str">
        <x:v>Cantidades por conjunto; no sumar como total de máquina.</x:v>
      </x:c>
    </x:row>
    <x:row r="1061" ht="30" customHeight="1">
      <x:c r="A1061" t="str">
        <x:v>TT10_C05_PC_21</x:v>
      </x:c>
      <x:c r="B1061" t="str">
        <x:v>Selector E-N-M y enclavamiento cautivo</x:v>
      </x:c>
      <x:c r="C1061" t="n">
        <x:v>126</x:v>
      </x:c>
      <x:c r="D1061" t="str">
        <x:v>TT10_C05_BLOQUE_SELECTOR</x:v>
      </x:c>
      <x:c r="E1061" t="n">
        <x:v>1</x:v>
      </x:c>
      <x:c r="F1061" t="n">
        <x:v>1</x:v>
      </x:c>
      <x:c r="G1061" t="str">
        <x:v>Fabricación</x:v>
      </x:c>
      <x:c r="H1061" s="37" t="str">
        <x:v>BloqueC03 conservado con4M4laterales para retencion cautiva</x:v>
      </x:c>
      <x:c r="I1061" s="37" t="str">
        <x:v>ASTM A36</x:v>
      </x:c>
      <x:c r="J1061" t="str">
        <x:v>Cantidades por conjunto; no sumar como total de máquina.</x:v>
      </x:c>
    </x:row>
    <x:row r="1062" ht="30" customHeight="1">
      <x:c r="A1062" t="str">
        <x:v>TT10_C05_PC_21</x:v>
      </x:c>
      <x:c r="B1062" t="str">
        <x:v>Selector E-N-M y enclavamiento cautivo</x:v>
      </x:c>
      <x:c r="C1062" t="n">
        <x:v>144</x:v>
      </x:c>
      <x:c r="D1062" t="str">
        <x:v>TT10_C05_RETEN_CAUTIVO_SELECTOR</x:v>
      </x:c>
      <x:c r="E1062" t="n">
        <x:v>1</x:v>
      </x:c>
      <x:c r="F1062" t="n">
        <x:v>1</x:v>
      </x:c>
      <x:c r="G1062" t="str">
        <x:v>Fabricación</x:v>
      </x:c>
      <x:c r="H1062" s="37" t="str">
        <x:v>Puente cautivo para pasadorD6;23mm hasta cabeza, permite levantar16mm;4M4 laterales al bloque</x:v>
      </x:c>
      <x:c r="I1062" s="37" t="str">
        <x:v>ASTM A36</x:v>
      </x:c>
      <x:c r="J1062" t="str">
        <x:v>Cantidades por conjunto; no sumar como total de máquina.</x:v>
      </x:c>
    </x:row>
    <x:row r="1063" ht="30" customHeight="1">
      <x:c r="A1063" t="str">
        <x:v>TT10_C05_PC_22</x:v>
      </x:c>
      <x:c r="B1063" t="str">
        <x:v>Transmisión manual BDNB ensamblada</x:v>
      </x:c>
      <x:c r="C1063" t="n">
        <x:v>93</x:v>
      </x:c>
      <x:c r="D1063" t="str">
        <x:v>TT10_C05_BDNB_28_23</x:v>
      </x:c>
      <x:c r="E1063" t="n">
        <x:v>1</x:v>
      </x:c>
      <x:c r="F1063" t="n">
        <x:v>1</x:v>
      </x:c>
      <x:c r="G1063" t="str">
        <x:v>Compra</x:v>
      </x:c>
      <x:c r="H1063" s="37" t="str">
        <x:v>Warner BDNB 28.23Nm, brida lado entrada, exterior reconstruido según MCC-P-1310 03/25 p69; cotas nominales medias</x:v>
      </x:c>
      <x:c r="I1063" s="37" t="str">
        <x:v>Equipo comprado</x:v>
      </x:c>
      <x:c r="J1063" t="str">
        <x:v>Cantidades por conjunto; no sumar como total de máquina.</x:v>
      </x:c>
    </x:row>
    <x:row r="1064" ht="30" customHeight="1">
      <x:c r="A1064" t="str">
        <x:v>TT10_C05_PC_22</x:v>
      </x:c>
      <x:c r="B1064" t="str">
        <x:v>Transmisión manual BDNB ensamblada</x:v>
      </x:c>
      <x:c r="C1064" t="n">
        <x:v>94</x:v>
      </x:c>
      <x:c r="D1064" t="str">
        <x:v>TT10_C05_BDNB_APOYO_0_INFERIOR</x:v>
      </x:c>
      <x:c r="E1064" t="n">
        <x:v>1</x:v>
      </x:c>
      <x:c r="F1064" t="n">
        <x:v>1</x:v>
      </x:c>
      <x:c r="G1064" t="str">
        <x:v>Fabricación</x:v>
      </x:c>
      <x:c r="H1064" s="37" t="str">
        <x:v>Apoyo partido6006, asientoH7, tapa2M6x60, roscasM6 cuerpo; soldaduraa4 base</x:v>
      </x:c>
      <x:c r="I1064" s="37" t="str">
        <x:v>ASTM A36</x:v>
      </x:c>
      <x:c r="J1064" t="str">
        <x:v>Cantidades por conjunto; no sumar como total de máquina.</x:v>
      </x:c>
    </x:row>
    <x:row r="1065" ht="30" customHeight="1">
      <x:c r="A1065" t="str">
        <x:v>TT10_C05_PC_22</x:v>
      </x:c>
      <x:c r="B1065" t="str">
        <x:v>Transmisión manual BDNB ensamblada</x:v>
      </x:c>
      <x:c r="C1065" t="n">
        <x:v>95</x:v>
      </x:c>
      <x:c r="D1065" t="str">
        <x:v>TT10_C05_BDNB_APOYO_0_TAPA</x:v>
      </x:c>
      <x:c r="E1065" t="n">
        <x:v>1</x:v>
      </x:c>
      <x:c r="F1065" t="n">
        <x:v>1</x:v>
      </x:c>
      <x:c r="G1065" t="str">
        <x:v>Fabricación</x:v>
      </x:c>
      <x:c r="H1065" s="37" t="str">
        <x:v>Apoyo partido6006, asientoH7, tapa2M6x60, roscasM6 cuerpo; soldaduraa4 base</x:v>
      </x:c>
      <x:c r="I1065" s="37" t="str">
        <x:v>ASTM A36</x:v>
      </x:c>
      <x:c r="J1065" t="str">
        <x:v>Cantidades por conjunto; no sumar como total de máquina.</x:v>
      </x:c>
    </x:row>
    <x:row r="1066" ht="30" customHeight="1">
      <x:c r="A1066" t="str">
        <x:v>TT10_C05_PC_22</x:v>
      </x:c>
      <x:c r="B1066" t="str">
        <x:v>Transmisión manual BDNB ensamblada</x:v>
      </x:c>
      <x:c r="C1066" t="n">
        <x:v>96</x:v>
      </x:c>
      <x:c r="D1066" t="str">
        <x:v>TT10_C05_BDNB_APOYO_1_INFERIOR</x:v>
      </x:c>
      <x:c r="E1066" t="n">
        <x:v>1</x:v>
      </x:c>
      <x:c r="F1066" t="n">
        <x:v>1</x:v>
      </x:c>
      <x:c r="G1066" t="str">
        <x:v>Fabricación</x:v>
      </x:c>
      <x:c r="H1066" s="37" t="str">
        <x:v>Apoyo partido6006, asientoH7, tapa2M6x60, roscasM6 cuerpo; soldaduraa4 base</x:v>
      </x:c>
      <x:c r="I1066" s="37" t="str">
        <x:v>ASTM A36</x:v>
      </x:c>
      <x:c r="J1066" t="str">
        <x:v>Cantidades por conjunto; no sumar como total de máquina.</x:v>
      </x:c>
    </x:row>
    <x:row r="1067" ht="30" customHeight="1">
      <x:c r="A1067" t="str">
        <x:v>TT10_C05_PC_22</x:v>
      </x:c>
      <x:c r="B1067" t="str">
        <x:v>Transmisión manual BDNB ensamblada</x:v>
      </x:c>
      <x:c r="C1067" t="n">
        <x:v>97</x:v>
      </x:c>
      <x:c r="D1067" t="str">
        <x:v>TT10_C05_BDNB_APOYO_1_TAPA</x:v>
      </x:c>
      <x:c r="E1067" t="n">
        <x:v>1</x:v>
      </x:c>
      <x:c r="F1067" t="n">
        <x:v>1</x:v>
      </x:c>
      <x:c r="G1067" t="str">
        <x:v>Fabricación</x:v>
      </x:c>
      <x:c r="H1067" s="37" t="str">
        <x:v>Apoyo partido6006, asientoH7, tapa2M6x60, roscasM6 cuerpo; soldaduraa4 base</x:v>
      </x:c>
      <x:c r="I1067" s="37" t="str">
        <x:v>ASTM A36</x:v>
      </x:c>
      <x:c r="J1067" t="str">
        <x:v>Cantidades por conjunto; no sumar como total de máquina.</x:v>
      </x:c>
    </x:row>
    <x:row r="1068" ht="30" customHeight="1">
      <x:c r="A1068" t="str">
        <x:v>TT10_C05_PC_22</x:v>
      </x:c>
      <x:c r="B1068" t="str">
        <x:v>Transmisión manual BDNB ensamblada</x:v>
      </x:c>
      <x:c r="C1068" t="n">
        <x:v>98</x:v>
      </x:c>
      <x:c r="D1068" t="str">
        <x:v>TT10_C05_BDNB_APOYO_2_INFERIOR</x:v>
      </x:c>
      <x:c r="E1068" t="n">
        <x:v>1</x:v>
      </x:c>
      <x:c r="F1068" t="n">
        <x:v>1</x:v>
      </x:c>
      <x:c r="G1068" t="str">
        <x:v>Fabricación</x:v>
      </x:c>
      <x:c r="H1068" s="37" t="str">
        <x:v>Apoyo partido6906, asientoH7, tapa2M6x60, roscasM6 cuerpo; soldaduraa4 base</x:v>
      </x:c>
      <x:c r="I1068" s="37" t="str">
        <x:v>ASTM A36</x:v>
      </x:c>
      <x:c r="J1068" t="str">
        <x:v>Cantidades por conjunto; no sumar como total de máquina.</x:v>
      </x:c>
    </x:row>
    <x:row r="1069" ht="30" customHeight="1">
      <x:c r="A1069" t="str">
        <x:v>TT10_C05_PC_22</x:v>
      </x:c>
      <x:c r="B1069" t="str">
        <x:v>Transmisión manual BDNB ensamblada</x:v>
      </x:c>
      <x:c r="C1069" t="n">
        <x:v>99</x:v>
      </x:c>
      <x:c r="D1069" t="str">
        <x:v>TT10_C05_BDNB_APOYO_2_TAPA</x:v>
      </x:c>
      <x:c r="E1069" t="n">
        <x:v>1</x:v>
      </x:c>
      <x:c r="F1069" t="n">
        <x:v>1</x:v>
      </x:c>
      <x:c r="G1069" t="str">
        <x:v>Fabricación</x:v>
      </x:c>
      <x:c r="H1069" s="37" t="str">
        <x:v>Apoyo partido6906, asientoH7, tapa2M6x60, roscasM6 cuerpo; soldaduraa4 base</x:v>
      </x:c>
      <x:c r="I1069" s="37" t="str">
        <x:v>ASTM A36</x:v>
      </x:c>
      <x:c r="J1069" t="str">
        <x:v>Cantidades por conjunto; no sumar como total de máquina.</x:v>
      </x:c>
    </x:row>
    <x:row r="1070" ht="30" customHeight="1">
      <x:c r="A1070" t="str">
        <x:v>TT10_C05_PC_22</x:v>
      </x:c>
      <x:c r="B1070" t="str">
        <x:v>Transmisión manual BDNB ensamblada</x:v>
      </x:c>
      <x:c r="C1070" t="n">
        <x:v>100</x:v>
      </x:c>
      <x:c r="D1070" t="str">
        <x:v>TT10_C05_BDNB_APOYO_3_INFERIOR</x:v>
      </x:c>
      <x:c r="E1070" t="n">
        <x:v>1</x:v>
      </x:c>
      <x:c r="F1070" t="n">
        <x:v>1</x:v>
      </x:c>
      <x:c r="G1070" t="str">
        <x:v>Fabricación</x:v>
      </x:c>
      <x:c r="H1070" s="37" t="str">
        <x:v>Apoyo partido6906, asientoH7, tapa2M6x60, roscasM6 cuerpo; soldaduraa4 base</x:v>
      </x:c>
      <x:c r="I1070" s="37" t="str">
        <x:v>ASTM A36</x:v>
      </x:c>
      <x:c r="J1070" t="str">
        <x:v>Cantidades por conjunto; no sumar como total de máquina.</x:v>
      </x:c>
    </x:row>
    <x:row r="1071" ht="30" customHeight="1">
      <x:c r="A1071" t="str">
        <x:v>TT10_C05_PC_22</x:v>
      </x:c>
      <x:c r="B1071" t="str">
        <x:v>Transmisión manual BDNB ensamblada</x:v>
      </x:c>
      <x:c r="C1071" t="n">
        <x:v>101</x:v>
      </x:c>
      <x:c r="D1071" t="str">
        <x:v>TT10_C05_BDNB_APOYO_3_TAPA</x:v>
      </x:c>
      <x:c r="E1071" t="n">
        <x:v>1</x:v>
      </x:c>
      <x:c r="F1071" t="n">
        <x:v>1</x:v>
      </x:c>
      <x:c r="G1071" t="str">
        <x:v>Fabricación</x:v>
      </x:c>
      <x:c r="H1071" s="37" t="str">
        <x:v>Apoyo partido6906, asientoH7, tapa2M6x60, roscasM6 cuerpo; soldaduraa4 base</x:v>
      </x:c>
      <x:c r="I1071" s="37" t="str">
        <x:v>ASTM A36</x:v>
      </x:c>
      <x:c r="J1071" t="str">
        <x:v>Cantidades por conjunto; no sumar como total de máquina.</x:v>
      </x:c>
    </x:row>
    <x:row r="1072" ht="30" customHeight="1">
      <x:c r="A1072" t="str">
        <x:v>TT10_C05_PC_22</x:v>
      </x:c>
      <x:c r="B1072" t="str">
        <x:v>Transmisión manual BDNB ensamblada</x:v>
      </x:c>
      <x:c r="C1072" t="n">
        <x:v>102</x:v>
      </x:c>
      <x:c r="D1072" t="str">
        <x:v>TT10_C05_BDNB_BASE</x:v>
      </x:c>
      <x:c r="E1072" t="n">
        <x:v>1</x:v>
      </x:c>
      <x:c r="F1072" t="n">
        <x:v>1</x:v>
      </x:c>
      <x:c r="G1072" t="str">
        <x:v>Fabricación</x:v>
      </x:c>
      <x:c r="H1072" s="37" t="str">
        <x:v>Base16 con ventana cadena,4pasos11;4M10x35 en placa existente roscadaM10</x:v>
      </x:c>
      <x:c r="I1072" s="37" t="str">
        <x:v>ASTM A36</x:v>
      </x:c>
      <x:c r="J1072" t="str">
        <x:v>Cantidades por conjunto; no sumar como total de máquina.</x:v>
      </x:c>
    </x:row>
    <x:row r="1073" ht="30" customHeight="1">
      <x:c r="A1073" t="str">
        <x:v>TT10_C05_PC_22</x:v>
      </x:c>
      <x:c r="B1073" t="str">
        <x:v>Transmisión manual BDNB ensamblada</x:v>
      </x:c>
      <x:c r="C1073" t="n">
        <x:v>103</x:v>
      </x:c>
      <x:c r="D1073" t="str">
        <x:v>TT10_C05_BDNB_CHAVETA_ENTRADA</x:v>
      </x:c>
      <x:c r="E1073" t="n">
        <x:v>1</x:v>
      </x:c>
      <x:c r="F1073" t="n">
        <x:v>1</x:v>
      </x:c>
      <x:c r="G1073" t="str">
        <x:v>Compra</x:v>
      </x:c>
      <x:c r="H1073" s="37" t="str">
        <x:v>ChavetaDIN6885A8x7, longitud según código</x:v>
      </x:c>
      <x:c r="I1073" s="37" t="str">
        <x:v>C45E</x:v>
      </x:c>
      <x:c r="J1073" t="str">
        <x:v>Cantidades por conjunto; no sumar como total de máquina.</x:v>
      </x:c>
    </x:row>
    <x:row r="1074" ht="30" customHeight="1">
      <x:c r="A1074" t="str">
        <x:v>TT10_C05_PC_22</x:v>
      </x:c>
      <x:c r="B1074" t="str">
        <x:v>Transmisión manual BDNB ensamblada</x:v>
      </x:c>
      <x:c r="C1074" t="n">
        <x:v>104</x:v>
      </x:c>
      <x:c r="D1074" t="str">
        <x:v>TT10_C05_BDNB_CHAVETA_SALIDA</x:v>
      </x:c>
      <x:c r="E1074" t="n">
        <x:v>1</x:v>
      </x:c>
      <x:c r="F1074" t="n">
        <x:v>1</x:v>
      </x:c>
      <x:c r="G1074" t="str">
        <x:v>Compra</x:v>
      </x:c>
      <x:c r="H1074" s="37" t="str">
        <x:v>ChavetaDIN6885A8x7, longitud según código</x:v>
      </x:c>
      <x:c r="I1074" s="37" t="str">
        <x:v>C45E</x:v>
      </x:c>
      <x:c r="J1074" t="str">
        <x:v>Cantidades por conjunto; no sumar como total de máquina.</x:v>
      </x:c>
    </x:row>
    <x:row r="1075" ht="30" customHeight="1">
      <x:c r="A1075" t="str">
        <x:v>TT10_C05_PC_22</x:v>
      </x:c>
      <x:c r="B1075" t="str">
        <x:v>Transmisión manual BDNB ensamblada</x:v>
      </x:c>
      <x:c r="C1075" t="n">
        <x:v>105</x:v>
      </x:c>
      <x:c r="D1075" t="str">
        <x:v>TT10_C05_BDNB_CORONA_20D</x:v>
      </x:c>
      <x:c r="E1075" t="n">
        <x:v>1</x:v>
      </x:c>
      <x:c r="F1075" t="n">
        <x:v>1</x:v>
      </x:c>
      <x:c r="G1075" t="str">
        <x:v>Compra</x:v>
      </x:c>
      <x:c r="H1075" s="37" t="str">
        <x:v>Mädler10888120: interfaz modificada30H7/8JS9; dentado visual simplificado</x:v>
      </x:c>
      <x:c r="I1075" s="37" t="str">
        <x:v>Equipo comprado</x:v>
      </x:c>
      <x:c r="J1075" t="str">
        <x:v>Cantidades por conjunto; no sumar como total de máquina.</x:v>
      </x:c>
    </x:row>
    <x:row r="1076" ht="30" customHeight="1">
      <x:c r="A1076" t="str">
        <x:v>TT10_C05_PC_22</x:v>
      </x:c>
      <x:c r="B1076" t="str">
        <x:v>Transmisión manual BDNB ensamblada</x:v>
      </x:c>
      <x:c r="C1076" t="n">
        <x:v>106</x:v>
      </x:c>
      <x:c r="D1076" t="str">
        <x:v>TT10_C05_BDNB_CUBO_SELECTOR</x:v>
      </x:c>
      <x:c r="E1076" t="n">
        <x:v>1</x:v>
      </x:c>
      <x:c r="F1076" t="n">
        <x:v>1</x:v>
      </x:c>
      <x:c r="G1076" t="str">
        <x:v>Fabricación</x:v>
      </x:c>
      <x:c r="H1076" s="37" t="str">
        <x:v>Cubo manual con corona integral z48,m2.5,20 grados; asiento47 y garras conservadas</x:v>
      </x:c>
      <x:c r="I1076" s="37" t="str">
        <x:v>AISI 4140 bonificado</x:v>
      </x:c>
      <x:c r="J1076" t="str">
        <x:v>Cantidades por conjunto; no sumar como total de máquina.</x:v>
      </x:c>
    </x:row>
    <x:row r="1077" ht="30" customHeight="1">
      <x:c r="A1077" t="str">
        <x:v>TT10_C05_PC_22</x:v>
      </x:c>
      <x:c r="B1077" t="str">
        <x:v>Transmisión manual BDNB ensamblada</x:v>
      </x:c>
      <x:c r="C1077" t="n">
        <x:v>107</x:v>
      </x:c>
      <x:c r="D1077" t="str">
        <x:v>TT10_C05_BDNB_EJE_ENTRADA</x:v>
      </x:c>
      <x:c r="E1077" t="n">
        <x:v>1</x:v>
      </x:c>
      <x:c r="F1077" t="n">
        <x:v>1</x:v>
      </x:c>
      <x:c r="G1077" t="str">
        <x:v>Fabricación</x:v>
      </x:c>
      <x:c r="H1077" s="37" t="str">
        <x:v>Eje30h6; socket12.73; chaveta8x7; taladro transversal4.825</x:v>
      </x:c>
      <x:c r="I1077" s="37" t="str">
        <x:v>AISI 4140 bonificado</x:v>
      </x:c>
      <x:c r="J1077" t="str">
        <x:v>Cantidades por conjunto; no sumar como total de máquina.</x:v>
      </x:c>
    </x:row>
    <x:row r="1078" ht="30" customHeight="1">
      <x:c r="A1078" t="str">
        <x:v>TT10_C05_PC_22</x:v>
      </x:c>
      <x:c r="B1078" t="str">
        <x:v>Transmisión manual BDNB ensamblada</x:v>
      </x:c>
      <x:c r="C1078" t="n">
        <x:v>108</x:v>
      </x:c>
      <x:c r="D1078" t="str">
        <x:v>TT10_C05_BDNB_EJE_SALIDA</x:v>
      </x:c>
      <x:c r="E1078" t="n">
        <x:v>1</x:v>
      </x:c>
      <x:c r="F1078" t="n">
        <x:v>1</x:v>
      </x:c>
      <x:c r="G1078" t="str">
        <x:v>Fabricación</x:v>
      </x:c>
      <x:c r="H1078" s="37" t="str">
        <x:v>Eje30h6, espiga12.70; dos6906; chaveta8x7; unión positiva3/16</x:v>
      </x:c>
      <x:c r="I1078" s="37" t="str">
        <x:v>AISI 4140 bonificado</x:v>
      </x:c>
      <x:c r="J1078" t="str">
        <x:v>Cantidades por conjunto; no sumar como total de máquina.</x:v>
      </x:c>
    </x:row>
    <x:row r="1079" ht="30" customHeight="1">
      <x:c r="A1079" t="str">
        <x:v>TT10_C05_PC_22</x:v>
      </x:c>
      <x:c r="B1079" t="str">
        <x:v>Transmisión manual BDNB ensamblada</x:v>
      </x:c>
      <x:c r="C1079" t="n">
        <x:v>109</x:v>
      </x:c>
      <x:c r="D1079" t="str">
        <x:v>TT10_C05_BDNB_ENGRANAJE</x:v>
      </x:c>
      <x:c r="E1079" t="n">
        <x:v>1</x:v>
      </x:c>
      <x:c r="F1079" t="n">
        <x:v>1</x:v>
      </x:c>
      <x:c r="G1079" t="str">
        <x:v>Fabricación</x:v>
      </x:c>
      <x:c r="H1079" s="37" t="str">
        <x:v>Engranaje48d,m2.5,20grados,b20;30H7,8JS9</x:v>
      </x:c>
      <x:c r="I1079" s="37" t="str">
        <x:v>AISI 4140 bonificado</x:v>
      </x:c>
      <x:c r="J1079" t="str">
        <x:v>Cantidades por conjunto; no sumar como total de máquina.</x:v>
      </x:c>
    </x:row>
    <x:row r="1080" ht="30" customHeight="1">
      <x:c r="A1080" t="str">
        <x:v>TT10_C05_PC_22</x:v>
      </x:c>
      <x:c r="B1080" t="str">
        <x:v>Transmisión manual BDNB ensamblada</x:v>
      </x:c>
      <x:c r="C1080" t="n">
        <x:v>110</x:v>
      </x:c>
      <x:c r="D1080" t="str">
        <x:v>TT10_C05_BDNB_M10</x:v>
      </x:c>
      <x:c r="E1080" t="n">
        <x:v>4</x:v>
      </x:c>
      <x:c r="F1080" t="n">
        <x:v>4</x:v>
      </x:c>
      <x:c r="G1080" t="str">
        <x:v>Compra</x:v>
      </x:c>
      <x:c r="H1080" s="37" t="str">
        <x:v>TornilloISO4017 M10x35-8.8; rosca nominal</x:v>
      </x:c>
      <x:c r="I1080" s="37" t="str">
        <x:v>Clase 8.8 / ISO 898-1</x:v>
      </x:c>
      <x:c r="J1080" t="str">
        <x:v>Cantidades por conjunto; no sumar como total de máquina.</x:v>
      </x:c>
    </x:row>
    <x:row r="1081" ht="30" customHeight="1">
      <x:c r="A1081" t="str">
        <x:v>TT10_C05_PC_22</x:v>
      </x:c>
      <x:c r="B1081" t="str">
        <x:v>Transmisión manual BDNB ensamblada</x:v>
      </x:c>
      <x:c r="C1081" t="n">
        <x:v>111</x:v>
      </x:c>
      <x:c r="D1081" t="str">
        <x:v>TT10_C05_BDNB_M5</x:v>
      </x:c>
      <x:c r="E1081" t="n">
        <x:v>4</x:v>
      </x:c>
      <x:c r="F1081" t="n">
        <x:v>4</x:v>
      </x:c>
      <x:c r="G1081" t="str">
        <x:v>Compra</x:v>
      </x:c>
      <x:c r="H1081" s="37" t="str">
        <x:v>ISO4017 M5x20-8.8, rosca nominal</x:v>
      </x:c>
      <x:c r="I1081" s="37" t="str">
        <x:v>Clase 8.8 / ISO 898-1</x:v>
      </x:c>
      <x:c r="J1081" t="str">
        <x:v>Cantidades por conjunto; no sumar como total de máquina.</x:v>
      </x:c>
    </x:row>
    <x:row r="1082" ht="30" customHeight="1">
      <x:c r="A1082" t="str">
        <x:v>TT10_C05_PC_22</x:v>
      </x:c>
      <x:c r="B1082" t="str">
        <x:v>Transmisión manual BDNB ensamblada</x:v>
      </x:c>
      <x:c r="C1082" t="n">
        <x:v>112</x:v>
      </x:c>
      <x:c r="D1082" t="str">
        <x:v>TT10_C05_BDNB_M6</x:v>
      </x:c>
      <x:c r="E1082" t="n">
        <x:v>8</x:v>
      </x:c>
      <x:c r="F1082" t="n">
        <x:v>8</x:v>
      </x:c>
      <x:c r="G1082" t="str">
        <x:v>Compra</x:v>
      </x:c>
      <x:c r="H1082" s="37" t="str">
        <x:v>TornilloISO4017 M6x60-8.8; rosca nominal</x:v>
      </x:c>
      <x:c r="I1082" s="37" t="str">
        <x:v>Clase 8.8 / ISO 898-1</x:v>
      </x:c>
      <x:c r="J1082" t="str">
        <x:v>Cantidades por conjunto; no sumar como total de máquina.</x:v>
      </x:c>
    </x:row>
    <x:row r="1083" ht="30" customHeight="1">
      <x:c r="A1083" t="str">
        <x:v>TT10_C05_PC_22</x:v>
      </x:c>
      <x:c r="B1083" t="str">
        <x:v>Transmisión manual BDNB ensamblada</x:v>
      </x:c>
      <x:c r="C1083" t="n">
        <x:v>113</x:v>
      </x:c>
      <x:c r="D1083" t="str">
        <x:v>TT10_C05_BDNB_N3_ENTRADA</x:v>
      </x:c>
      <x:c r="E1083" t="n">
        <x:v>1</x:v>
      </x:c>
      <x:c r="F1083" t="n">
        <x:v>1</x:v>
      </x:c>
      <x:c r="G1083" t="str">
        <x:v>Compra</x:v>
      </x:c>
      <x:c r="H1083" s="37" t="str">
        <x:v>TuercaISO7042 M3 autoblocante metálica, rosca nominal</x:v>
      </x:c>
      <x:c r="I1083" s="37" t="str">
        <x:v>Tuerca clase 8 / ISO 898-2</x:v>
      </x:c>
      <x:c r="J1083" t="str">
        <x:v>Cantidades por conjunto; no sumar como total de máquina.</x:v>
      </x:c>
    </x:row>
    <x:row r="1084" ht="30" customHeight="1">
      <x:c r="A1084" t="str">
        <x:v>TT10_C05_PC_22</x:v>
      </x:c>
      <x:c r="B1084" t="str">
        <x:v>Transmisión manual BDNB ensamblada</x:v>
      </x:c>
      <x:c r="C1084" t="n">
        <x:v>114</x:v>
      </x:c>
      <x:c r="D1084" t="str">
        <x:v>TT10_C05_BDNB_N3_SALIDA</x:v>
      </x:c>
      <x:c r="E1084" t="n">
        <x:v>1</x:v>
      </x:c>
      <x:c r="F1084" t="n">
        <x:v>1</x:v>
      </x:c>
      <x:c r="G1084" t="str">
        <x:v>Compra</x:v>
      </x:c>
      <x:c r="H1084" s="37" t="str">
        <x:v>TuercaISO7042 M3 autoblocante metálica, rosca nominal</x:v>
      </x:c>
      <x:c r="I1084" s="37" t="str">
        <x:v>Tuerca clase 8 / ISO 898-2</x:v>
      </x:c>
      <x:c r="J1084" t="str">
        <x:v>Cantidades por conjunto; no sumar como total de máquina.</x:v>
      </x:c>
    </x:row>
    <x:row r="1085" ht="30" customHeight="1">
      <x:c r="A1085" t="str">
        <x:v>TT10_C05_PC_22</x:v>
      </x:c>
      <x:c r="B1085" t="str">
        <x:v>Transmisión manual BDNB ensamblada</x:v>
      </x:c>
      <x:c r="C1085" t="n">
        <x:v>115</x:v>
      </x:c>
      <x:c r="D1085" t="str">
        <x:v>TT10_C05_BDNB_N5</x:v>
      </x:c>
      <x:c r="E1085" t="n">
        <x:v>4</x:v>
      </x:c>
      <x:c r="F1085" t="n">
        <x:v>4</x:v>
      </x:c>
      <x:c r="G1085" t="str">
        <x:v>Compra</x:v>
      </x:c>
      <x:c r="H1085" s="37" t="str">
        <x:v>TuercaISO4032 M5-8; rosca nominal</x:v>
      </x:c>
      <x:c r="I1085" s="37" t="str">
        <x:v>Tuerca clase 8 / ISO 898-2</x:v>
      </x:c>
      <x:c r="J1085" t="str">
        <x:v>Cantidades por conjunto; no sumar como total de máquina.</x:v>
      </x:c>
    </x:row>
    <x:row r="1086" ht="30" customHeight="1">
      <x:c r="A1086" t="str">
        <x:v>TT10_C05_PC_22</x:v>
      </x:c>
      <x:c r="B1086" t="str">
        <x:v>Transmisión manual BDNB ensamblada</x:v>
      </x:c>
      <x:c r="C1086" t="n">
        <x:v>116</x:v>
      </x:c>
      <x:c r="D1086" t="str">
        <x:v>TT10_C05_BDNB_PASADOR_ENTRADA</x:v>
      </x:c>
      <x:c r="E1086" t="n">
        <x:v>1</x:v>
      </x:c>
      <x:c r="F1086" t="n">
        <x:v>1</x:v>
      </x:c>
      <x:c r="G1086" t="str">
        <x:v>Fabricación</x:v>
      </x:c>
      <x:c r="H1086" s="37" t="str">
        <x:v>Pasador transversal3/16, cabeza7, puntaM3x5; C45E bonificado, Rp0.2 minimo650MPa</x:v>
      </x:c>
      <x:c r="I1086" s="37" t="str">
        <x:v>C45E / EN 10083-2</x:v>
      </x:c>
      <x:c r="J1086" t="str">
        <x:v>Cantidades por conjunto; no sumar como total de máquina.</x:v>
      </x:c>
    </x:row>
    <x:row r="1087" ht="30" customHeight="1">
      <x:c r="A1087" t="str">
        <x:v>TT10_C05_PC_22</x:v>
      </x:c>
      <x:c r="B1087" t="str">
        <x:v>Transmisión manual BDNB ensamblada</x:v>
      </x:c>
      <x:c r="C1087" t="n">
        <x:v>117</x:v>
      </x:c>
      <x:c r="D1087" t="str">
        <x:v>TT10_C05_BDNB_PASADOR_SALIDA</x:v>
      </x:c>
      <x:c r="E1087" t="n">
        <x:v>1</x:v>
      </x:c>
      <x:c r="F1087" t="n">
        <x:v>1</x:v>
      </x:c>
      <x:c r="G1087" t="str">
        <x:v>Fabricación</x:v>
      </x:c>
      <x:c r="H1087" s="37" t="str">
        <x:v>Pasador transversal3/16, cabeza7, puntaM3x5; C45E bonificado, Rp0.2 minimo650MPa</x:v>
      </x:c>
      <x:c r="I1087" s="37" t="str">
        <x:v>C45E / EN 10083-2</x:v>
      </x:c>
      <x:c r="J1087" t="str">
        <x:v>Cantidades por conjunto; no sumar como total de máquina.</x:v>
      </x:c>
    </x:row>
    <x:row r="1088" ht="30" customHeight="1">
      <x:c r="A1088" t="str">
        <x:v>TT10_C05_PC_22</x:v>
      </x:c>
      <x:c r="B1088" t="str">
        <x:v>Transmisión manual BDNB ensamblada</x:v>
      </x:c>
      <x:c r="C1088" t="n">
        <x:v>118</x:v>
      </x:c>
      <x:c r="D1088" t="str">
        <x:v>TT10_C05_BDNB_PLACA_REACCION</x:v>
      </x:c>
      <x:c r="E1088" t="n">
        <x:v>1</x:v>
      </x:c>
      <x:c r="F1088" t="n">
        <x:v>1</x:v>
      </x:c>
      <x:c r="G1088" t="str">
        <x:v>Fabricación</x:v>
      </x:c>
      <x:c r="H1088" s="37" t="str">
        <x:v>Reacción BDNB8mm,4Ø5.5PCD53.85; soldaduraa4 ambos lados a base</x:v>
      </x:c>
      <x:c r="I1088" s="37" t="str">
        <x:v>ASTM A36</x:v>
      </x:c>
      <x:c r="J1088" t="str">
        <x:v>Cantidades por conjunto; no sumar como total de máquina.</x:v>
      </x:c>
    </x:row>
    <x:row r="1089" ht="30" customHeight="1">
      <x:c r="A1089" t="str">
        <x:v>TT10_C05_PC_22</x:v>
      </x:c>
      <x:c r="B1089" t="str">
        <x:v>Transmisión manual BDNB ensamblada</x:v>
      </x:c>
      <x:c r="C1089" t="n">
        <x:v>119</x:v>
      </x:c>
      <x:c r="D1089" t="str">
        <x:v>TT10_C05_BDNB_RODAMIENTO_0</x:v>
      </x:c>
      <x:c r="E1089" t="n">
        <x:v>1</x:v>
      </x:c>
      <x:c r="F1089" t="n">
        <x:v>1</x:v>
      </x:c>
      <x:c r="G1089" t="str">
        <x:v>Compra</x:v>
      </x:c>
      <x:c r="H1089" s="37" t="str">
        <x:v>RodamientoSKF6006; envolvente de montaje; selección de vida separada</x:v>
      </x:c>
      <x:c r="I1089" s="37" t="str">
        <x:v>Equipo comprado</x:v>
      </x:c>
      <x:c r="J1089" t="str">
        <x:v>Cantidades por conjunto; no sumar como total de máquina.</x:v>
      </x:c>
    </x:row>
    <x:row r="1090" ht="30" customHeight="1">
      <x:c r="A1090" t="str">
        <x:v>TT10_C05_PC_22</x:v>
      </x:c>
      <x:c r="B1090" t="str">
        <x:v>Transmisión manual BDNB ensamblada</x:v>
      </x:c>
      <x:c r="C1090" t="n">
        <x:v>120</x:v>
      </x:c>
      <x:c r="D1090" t="str">
        <x:v>TT10_C05_BDNB_RODAMIENTO_1</x:v>
      </x:c>
      <x:c r="E1090" t="n">
        <x:v>1</x:v>
      </x:c>
      <x:c r="F1090" t="n">
        <x:v>1</x:v>
      </x:c>
      <x:c r="G1090" t="str">
        <x:v>Compra</x:v>
      </x:c>
      <x:c r="H1090" s="37" t="str">
        <x:v>RodamientoSKF6006; envolvente de montaje; selección de vida separada</x:v>
      </x:c>
      <x:c r="I1090" s="37" t="str">
        <x:v>Equipo comprado</x:v>
      </x:c>
      <x:c r="J1090" t="str">
        <x:v>Cantidades por conjunto; no sumar como total de máquina.</x:v>
      </x:c>
    </x:row>
    <x:row r="1091" ht="30" customHeight="1">
      <x:c r="A1091" t="str">
        <x:v>TT10_C05_PC_22</x:v>
      </x:c>
      <x:c r="B1091" t="str">
        <x:v>Transmisión manual BDNB ensamblada</x:v>
      </x:c>
      <x:c r="C1091" t="n">
        <x:v>121</x:v>
      </x:c>
      <x:c r="D1091" t="str">
        <x:v>TT10_C05_BDNB_RODAMIENTO_2</x:v>
      </x:c>
      <x:c r="E1091" t="n">
        <x:v>1</x:v>
      </x:c>
      <x:c r="F1091" t="n">
        <x:v>1</x:v>
      </x:c>
      <x:c r="G1091" t="str">
        <x:v>Compra</x:v>
      </x:c>
      <x:c r="H1091" s="37" t="str">
        <x:v>RodamientoSKF6906; envolvente de montaje; selección de vida separada</x:v>
      </x:c>
      <x:c r="I1091" s="37" t="str">
        <x:v>Equipo comprado</x:v>
      </x:c>
      <x:c r="J1091" t="str">
        <x:v>Cantidades por conjunto; no sumar como total de máquina.</x:v>
      </x:c>
    </x:row>
    <x:row r="1092" ht="30" customHeight="1">
      <x:c r="A1092" t="str">
        <x:v>TT10_C05_PC_22</x:v>
      </x:c>
      <x:c r="B1092" t="str">
        <x:v>Transmisión manual BDNB ensamblada</x:v>
      </x:c>
      <x:c r="C1092" t="n">
        <x:v>122</x:v>
      </x:c>
      <x:c r="D1092" t="str">
        <x:v>TT10_C05_BDNB_RODAMIENTO_3</x:v>
      </x:c>
      <x:c r="E1092" t="n">
        <x:v>1</x:v>
      </x:c>
      <x:c r="F1092" t="n">
        <x:v>1</x:v>
      </x:c>
      <x:c r="G1092" t="str">
        <x:v>Compra</x:v>
      </x:c>
      <x:c r="H1092" s="37" t="str">
        <x:v>RodamientoSKF6906; envolvente de montaje; selección de vida separada</x:v>
      </x:c>
      <x:c r="I1092" s="37" t="str">
        <x:v>Equipo comprado</x:v>
      </x:c>
      <x:c r="J1092" t="str">
        <x:v>Cantidades por conjunto; no sumar como total de máquina.</x:v>
      </x:c>
    </x:row>
    <x:row r="1093" ht="30" customHeight="1">
      <x:c r="A1093" t="str">
        <x:v>TT10_C05_PC_22</x:v>
      </x:c>
      <x:c r="B1093" t="str">
        <x:v>Transmisión manual BDNB ensamblada</x:v>
      </x:c>
      <x:c r="C1093" t="n">
        <x:v>123</x:v>
      </x:c>
      <x:c r="D1093" t="str">
        <x:v>TT10_C05_BDNB_W10</x:v>
      </x:c>
      <x:c r="E1093" t="n">
        <x:v>4</x:v>
      </x:c>
      <x:c r="F1093" t="n">
        <x:v>4</x:v>
      </x:c>
      <x:c r="G1093" t="str">
        <x:v>Compra</x:v>
      </x:c>
      <x:c r="H1093" s="37" t="str">
        <x:v>ArandelaISO7089 M10</x:v>
      </x:c>
      <x:c r="I1093" s="37" t="str">
        <x:v>Arandela endurecida 300 HV / ISO 7089</x:v>
      </x:c>
      <x:c r="J1093" t="str">
        <x:v>Cantidades por conjunto; no sumar como total de máquina.</x:v>
      </x:c>
    </x:row>
    <x:row r="1094" ht="30" customHeight="1">
      <x:c r="A1094" t="str">
        <x:v>TT10_C05_PC_22</x:v>
      </x:c>
      <x:c r="B1094" t="str">
        <x:v>Transmisión manual BDNB ensamblada</x:v>
      </x:c>
      <x:c r="C1094" t="n">
        <x:v>124</x:v>
      </x:c>
      <x:c r="D1094" t="str">
        <x:v>TT10_C05_BDNB_W5</x:v>
      </x:c>
      <x:c r="E1094" t="n">
        <x:v>4</x:v>
      </x:c>
      <x:c r="F1094" t="n">
        <x:v>4</x:v>
      </x:c>
      <x:c r="G1094" t="str">
        <x:v>Compra</x:v>
      </x:c>
      <x:c r="H1094" s="37" t="str">
        <x:v>ArandelaDIN433 M5,9x5.3x1</x:v>
      </x:c>
      <x:c r="I1094" s="37" t="str">
        <x:v>Arandela endurecida 300 HV / ISO 7089</x:v>
      </x:c>
      <x:c r="J1094" t="str">
        <x:v>Cantidades por conjunto; no sumar como total de máquina.</x:v>
      </x:c>
    </x:row>
    <x:row r="1095" ht="30" customHeight="1">
      <x:c r="A1095" t="str">
        <x:v>TT10_C05_PC_22</x:v>
      </x:c>
      <x:c r="B1095" t="str">
        <x:v>Transmisión manual BDNB ensamblada</x:v>
      </x:c>
      <x:c r="C1095" t="n">
        <x:v>125</x:v>
      </x:c>
      <x:c r="D1095" t="str">
        <x:v>TT10_C05_BDNB_W6</x:v>
      </x:c>
      <x:c r="E1095" t="n">
        <x:v>8</x:v>
      </x:c>
      <x:c r="F1095" t="n">
        <x:v>8</x:v>
      </x:c>
      <x:c r="G1095" t="str">
        <x:v>Compra</x:v>
      </x:c>
      <x:c r="H1095" s="37" t="str">
        <x:v>ArandelaISO7089 M6</x:v>
      </x:c>
      <x:c r="I1095" s="37" t="str">
        <x:v>Arandela endurecida 300 HV / ISO 7089</x:v>
      </x:c>
      <x:c r="J1095" t="str">
        <x:v>Cantidades por conjunto; no sumar como total de máquina.</x:v>
      </x:c>
    </x:row>
    <x:row r="1096" ht="30" customHeight="1">
      <x:c r="A1096" t="str">
        <x:v>TT10_C05_PC_23</x:v>
      </x:c>
      <x:c r="B1096" t="str">
        <x:v>BDNB: engranajes y pasadores propios</x:v>
      </x:c>
      <x:c r="C1096" t="n">
        <x:v>93</x:v>
      </x:c>
      <x:c r="D1096" t="str">
        <x:v>TT10_C05_BDNB_28_23</x:v>
      </x:c>
      <x:c r="E1096" t="n">
        <x:v>1</x:v>
      </x:c>
      <x:c r="F1096" t="n">
        <x:v>1</x:v>
      </x:c>
      <x:c r="G1096" t="str">
        <x:v>Compra</x:v>
      </x:c>
      <x:c r="H1096" s="37" t="str">
        <x:v>Warner BDNB 28.23Nm, brida lado entrada, exterior reconstruido según MCC-P-1310 03/25 p69; cotas nominales medias</x:v>
      </x:c>
      <x:c r="I1096" s="37" t="str">
        <x:v>Equipo comprado</x:v>
      </x:c>
      <x:c r="J1096" t="str">
        <x:v>Cantidades por conjunto; no sumar como total de máquina.</x:v>
      </x:c>
    </x:row>
    <x:row r="1097" ht="30" customHeight="1">
      <x:c r="A1097" t="str">
        <x:v>TT10_C05_PC_23</x:v>
      </x:c>
      <x:c r="B1097" t="str">
        <x:v>BDNB: engranajes y pasadores propios</x:v>
      </x:c>
      <x:c r="C1097" t="n">
        <x:v>94</x:v>
      </x:c>
      <x:c r="D1097" t="str">
        <x:v>TT10_C05_BDNB_APOYO_0_INFERIOR</x:v>
      </x:c>
      <x:c r="E1097" t="n">
        <x:v>1</x:v>
      </x:c>
      <x:c r="F1097" t="n">
        <x:v>1</x:v>
      </x:c>
      <x:c r="G1097" t="str">
        <x:v>Fabricación</x:v>
      </x:c>
      <x:c r="H1097" s="37" t="str">
        <x:v>Apoyo partido6006, asientoH7, tapa2M6x60, roscasM6 cuerpo; soldaduraa4 base</x:v>
      </x:c>
      <x:c r="I1097" s="37" t="str">
        <x:v>ASTM A36</x:v>
      </x:c>
      <x:c r="J1097" t="str">
        <x:v>Cantidades por conjunto; no sumar como total de máquina.</x:v>
      </x:c>
    </x:row>
    <x:row r="1098" ht="30" customHeight="1">
      <x:c r="A1098" t="str">
        <x:v>TT10_C05_PC_23</x:v>
      </x:c>
      <x:c r="B1098" t="str">
        <x:v>BDNB: engranajes y pasadores propios</x:v>
      </x:c>
      <x:c r="C1098" t="n">
        <x:v>95</x:v>
      </x:c>
      <x:c r="D1098" t="str">
        <x:v>TT10_C05_BDNB_APOYO_0_TAPA</x:v>
      </x:c>
      <x:c r="E1098" t="n">
        <x:v>1</x:v>
      </x:c>
      <x:c r="F1098" t="n">
        <x:v>1</x:v>
      </x:c>
      <x:c r="G1098" t="str">
        <x:v>Fabricación</x:v>
      </x:c>
      <x:c r="H1098" s="37" t="str">
        <x:v>Apoyo partido6006, asientoH7, tapa2M6x60, roscasM6 cuerpo; soldaduraa4 base</x:v>
      </x:c>
      <x:c r="I1098" s="37" t="str">
        <x:v>ASTM A36</x:v>
      </x:c>
      <x:c r="J1098" t="str">
        <x:v>Cantidades por conjunto; no sumar como total de máquina.</x:v>
      </x:c>
    </x:row>
    <x:row r="1099" ht="30" customHeight="1">
      <x:c r="A1099" t="str">
        <x:v>TT10_C05_PC_23</x:v>
      </x:c>
      <x:c r="B1099" t="str">
        <x:v>BDNB: engranajes y pasadores propios</x:v>
      </x:c>
      <x:c r="C1099" t="n">
        <x:v>96</x:v>
      </x:c>
      <x:c r="D1099" t="str">
        <x:v>TT10_C05_BDNB_APOYO_1_INFERIOR</x:v>
      </x:c>
      <x:c r="E1099" t="n">
        <x:v>1</x:v>
      </x:c>
      <x:c r="F1099" t="n">
        <x:v>1</x:v>
      </x:c>
      <x:c r="G1099" t="str">
        <x:v>Fabricación</x:v>
      </x:c>
      <x:c r="H1099" s="37" t="str">
        <x:v>Apoyo partido6006, asientoH7, tapa2M6x60, roscasM6 cuerpo; soldaduraa4 base</x:v>
      </x:c>
      <x:c r="I1099" s="37" t="str">
        <x:v>ASTM A36</x:v>
      </x:c>
      <x:c r="J1099" t="str">
        <x:v>Cantidades por conjunto; no sumar como total de máquina.</x:v>
      </x:c>
    </x:row>
    <x:row r="1100" ht="30" customHeight="1">
      <x:c r="A1100" t="str">
        <x:v>TT10_C05_PC_23</x:v>
      </x:c>
      <x:c r="B1100" t="str">
        <x:v>BDNB: engranajes y pasadores propios</x:v>
      </x:c>
      <x:c r="C1100" t="n">
        <x:v>97</x:v>
      </x:c>
      <x:c r="D1100" t="str">
        <x:v>TT10_C05_BDNB_APOYO_1_TAPA</x:v>
      </x:c>
      <x:c r="E1100" t="n">
        <x:v>1</x:v>
      </x:c>
      <x:c r="F1100" t="n">
        <x:v>1</x:v>
      </x:c>
      <x:c r="G1100" t="str">
        <x:v>Fabricación</x:v>
      </x:c>
      <x:c r="H1100" s="37" t="str">
        <x:v>Apoyo partido6006, asientoH7, tapa2M6x60, roscasM6 cuerpo; soldaduraa4 base</x:v>
      </x:c>
      <x:c r="I1100" s="37" t="str">
        <x:v>ASTM A36</x:v>
      </x:c>
      <x:c r="J1100" t="str">
        <x:v>Cantidades por conjunto; no sumar como total de máquina.</x:v>
      </x:c>
    </x:row>
    <x:row r="1101" ht="30" customHeight="1">
      <x:c r="A1101" t="str">
        <x:v>TT10_C05_PC_23</x:v>
      </x:c>
      <x:c r="B1101" t="str">
        <x:v>BDNB: engranajes y pasadores propios</x:v>
      </x:c>
      <x:c r="C1101" t="n">
        <x:v>98</x:v>
      </x:c>
      <x:c r="D1101" t="str">
        <x:v>TT10_C05_BDNB_APOYO_2_INFERIOR</x:v>
      </x:c>
      <x:c r="E1101" t="n">
        <x:v>1</x:v>
      </x:c>
      <x:c r="F1101" t="n">
        <x:v>1</x:v>
      </x:c>
      <x:c r="G1101" t="str">
        <x:v>Fabricación</x:v>
      </x:c>
      <x:c r="H1101" s="37" t="str">
        <x:v>Apoyo partido6906, asientoH7, tapa2M6x60, roscasM6 cuerpo; soldaduraa4 base</x:v>
      </x:c>
      <x:c r="I1101" s="37" t="str">
        <x:v>ASTM A36</x:v>
      </x:c>
      <x:c r="J1101" t="str">
        <x:v>Cantidades por conjunto; no sumar como total de máquina.</x:v>
      </x:c>
    </x:row>
    <x:row r="1102" ht="30" customHeight="1">
      <x:c r="A1102" t="str">
        <x:v>TT10_C05_PC_23</x:v>
      </x:c>
      <x:c r="B1102" t="str">
        <x:v>BDNB: engranajes y pasadores propios</x:v>
      </x:c>
      <x:c r="C1102" t="n">
        <x:v>99</x:v>
      </x:c>
      <x:c r="D1102" t="str">
        <x:v>TT10_C05_BDNB_APOYO_2_TAPA</x:v>
      </x:c>
      <x:c r="E1102" t="n">
        <x:v>1</x:v>
      </x:c>
      <x:c r="F1102" t="n">
        <x:v>1</x:v>
      </x:c>
      <x:c r="G1102" t="str">
        <x:v>Fabricación</x:v>
      </x:c>
      <x:c r="H1102" s="37" t="str">
        <x:v>Apoyo partido6906, asientoH7, tapa2M6x60, roscasM6 cuerpo; soldaduraa4 base</x:v>
      </x:c>
      <x:c r="I1102" s="37" t="str">
        <x:v>ASTM A36</x:v>
      </x:c>
      <x:c r="J1102" t="str">
        <x:v>Cantidades por conjunto; no sumar como total de máquina.</x:v>
      </x:c>
    </x:row>
    <x:row r="1103" ht="30" customHeight="1">
      <x:c r="A1103" t="str">
        <x:v>TT10_C05_PC_23</x:v>
      </x:c>
      <x:c r="B1103" t="str">
        <x:v>BDNB: engranajes y pasadores propios</x:v>
      </x:c>
      <x:c r="C1103" t="n">
        <x:v>100</x:v>
      </x:c>
      <x:c r="D1103" t="str">
        <x:v>TT10_C05_BDNB_APOYO_3_INFERIOR</x:v>
      </x:c>
      <x:c r="E1103" t="n">
        <x:v>1</x:v>
      </x:c>
      <x:c r="F1103" t="n">
        <x:v>1</x:v>
      </x:c>
      <x:c r="G1103" t="str">
        <x:v>Fabricación</x:v>
      </x:c>
      <x:c r="H1103" s="37" t="str">
        <x:v>Apoyo partido6906, asientoH7, tapa2M6x60, roscasM6 cuerpo; soldaduraa4 base</x:v>
      </x:c>
      <x:c r="I1103" s="37" t="str">
        <x:v>ASTM A36</x:v>
      </x:c>
      <x:c r="J1103" t="str">
        <x:v>Cantidades por conjunto; no sumar como total de máquina.</x:v>
      </x:c>
    </x:row>
    <x:row r="1104" ht="30" customHeight="1">
      <x:c r="A1104" t="str">
        <x:v>TT10_C05_PC_23</x:v>
      </x:c>
      <x:c r="B1104" t="str">
        <x:v>BDNB: engranajes y pasadores propios</x:v>
      </x:c>
      <x:c r="C1104" t="n">
        <x:v>101</x:v>
      </x:c>
      <x:c r="D1104" t="str">
        <x:v>TT10_C05_BDNB_APOYO_3_TAPA</x:v>
      </x:c>
      <x:c r="E1104" t="n">
        <x:v>1</x:v>
      </x:c>
      <x:c r="F1104" t="n">
        <x:v>1</x:v>
      </x:c>
      <x:c r="G1104" t="str">
        <x:v>Fabricación</x:v>
      </x:c>
      <x:c r="H1104" s="37" t="str">
        <x:v>Apoyo partido6906, asientoH7, tapa2M6x60, roscasM6 cuerpo; soldaduraa4 base</x:v>
      </x:c>
      <x:c r="I1104" s="37" t="str">
        <x:v>ASTM A36</x:v>
      </x:c>
      <x:c r="J1104" t="str">
        <x:v>Cantidades por conjunto; no sumar como total de máquina.</x:v>
      </x:c>
    </x:row>
    <x:row r="1105" ht="30" customHeight="1">
      <x:c r="A1105" t="str">
        <x:v>TT10_C05_PC_23</x:v>
      </x:c>
      <x:c r="B1105" t="str">
        <x:v>BDNB: engranajes y pasadores propios</x:v>
      </x:c>
      <x:c r="C1105" t="n">
        <x:v>102</x:v>
      </x:c>
      <x:c r="D1105" t="str">
        <x:v>TT10_C05_BDNB_BASE</x:v>
      </x:c>
      <x:c r="E1105" t="n">
        <x:v>1</x:v>
      </x:c>
      <x:c r="F1105" t="n">
        <x:v>1</x:v>
      </x:c>
      <x:c r="G1105" t="str">
        <x:v>Fabricación</x:v>
      </x:c>
      <x:c r="H1105" s="37" t="str">
        <x:v>Base16 con ventana cadena,4pasos11;4M10x35 en placa existente roscadaM10</x:v>
      </x:c>
      <x:c r="I1105" s="37" t="str">
        <x:v>ASTM A36</x:v>
      </x:c>
      <x:c r="J1105" t="str">
        <x:v>Cantidades por conjunto; no sumar como total de máquina.</x:v>
      </x:c>
    </x:row>
    <x:row r="1106" ht="30" customHeight="1">
      <x:c r="A1106" t="str">
        <x:v>TT10_C05_PC_23</x:v>
      </x:c>
      <x:c r="B1106" t="str">
        <x:v>BDNB: engranajes y pasadores propios</x:v>
      </x:c>
      <x:c r="C1106" t="n">
        <x:v>103</x:v>
      </x:c>
      <x:c r="D1106" t="str">
        <x:v>TT10_C05_BDNB_CHAVETA_ENTRADA</x:v>
      </x:c>
      <x:c r="E1106" t="n">
        <x:v>1</x:v>
      </x:c>
      <x:c r="F1106" t="n">
        <x:v>1</x:v>
      </x:c>
      <x:c r="G1106" t="str">
        <x:v>Compra</x:v>
      </x:c>
      <x:c r="H1106" s="37" t="str">
        <x:v>ChavetaDIN6885A8x7, longitud según código</x:v>
      </x:c>
      <x:c r="I1106" s="37" t="str">
        <x:v>C45E</x:v>
      </x:c>
      <x:c r="J1106" t="str">
        <x:v>Cantidades por conjunto; no sumar como total de máquina.</x:v>
      </x:c>
    </x:row>
    <x:row r="1107" ht="30" customHeight="1">
      <x:c r="A1107" t="str">
        <x:v>TT10_C05_PC_23</x:v>
      </x:c>
      <x:c r="B1107" t="str">
        <x:v>BDNB: engranajes y pasadores propios</x:v>
      </x:c>
      <x:c r="C1107" t="n">
        <x:v>104</x:v>
      </x:c>
      <x:c r="D1107" t="str">
        <x:v>TT10_C05_BDNB_CHAVETA_SALIDA</x:v>
      </x:c>
      <x:c r="E1107" t="n">
        <x:v>1</x:v>
      </x:c>
      <x:c r="F1107" t="n">
        <x:v>1</x:v>
      </x:c>
      <x:c r="G1107" t="str">
        <x:v>Compra</x:v>
      </x:c>
      <x:c r="H1107" s="37" t="str">
        <x:v>ChavetaDIN6885A8x7, longitud según código</x:v>
      </x:c>
      <x:c r="I1107" s="37" t="str">
        <x:v>C45E</x:v>
      </x:c>
      <x:c r="J1107" t="str">
        <x:v>Cantidades por conjunto; no sumar como total de máquina.</x:v>
      </x:c>
    </x:row>
    <x:row r="1108" ht="30" customHeight="1">
      <x:c r="A1108" t="str">
        <x:v>TT10_C05_PC_23</x:v>
      </x:c>
      <x:c r="B1108" t="str">
        <x:v>BDNB: engranajes y pasadores propios</x:v>
      </x:c>
      <x:c r="C1108" t="n">
        <x:v>105</x:v>
      </x:c>
      <x:c r="D1108" t="str">
        <x:v>TT10_C05_BDNB_CORONA_20D</x:v>
      </x:c>
      <x:c r="E1108" t="n">
        <x:v>1</x:v>
      </x:c>
      <x:c r="F1108" t="n">
        <x:v>1</x:v>
      </x:c>
      <x:c r="G1108" t="str">
        <x:v>Compra</x:v>
      </x:c>
      <x:c r="H1108" s="37" t="str">
        <x:v>Mädler10888120: interfaz modificada30H7/8JS9; dentado visual simplificado</x:v>
      </x:c>
      <x:c r="I1108" s="37" t="str">
        <x:v>Equipo comprado</x:v>
      </x:c>
      <x:c r="J1108" t="str">
        <x:v>Cantidades por conjunto; no sumar como total de máquina.</x:v>
      </x:c>
    </x:row>
    <x:row r="1109" ht="30" customHeight="1">
      <x:c r="A1109" t="str">
        <x:v>TT10_C05_PC_23</x:v>
      </x:c>
      <x:c r="B1109" t="str">
        <x:v>BDNB: engranajes y pasadores propios</x:v>
      </x:c>
      <x:c r="C1109" t="n">
        <x:v>106</x:v>
      </x:c>
      <x:c r="D1109" t="str">
        <x:v>TT10_C05_BDNB_CUBO_SELECTOR</x:v>
      </x:c>
      <x:c r="E1109" t="n">
        <x:v>1</x:v>
      </x:c>
      <x:c r="F1109" t="n">
        <x:v>1</x:v>
      </x:c>
      <x:c r="G1109" t="str">
        <x:v>Fabricación</x:v>
      </x:c>
      <x:c r="H1109" s="37" t="str">
        <x:v>Cubo manual con corona integral z48,m2.5,20 grados; asiento47 y garras conservadas</x:v>
      </x:c>
      <x:c r="I1109" s="37" t="str">
        <x:v>AISI 4140 bonificado</x:v>
      </x:c>
      <x:c r="J1109" t="str">
        <x:v>Cantidades por conjunto; no sumar como total de máquina.</x:v>
      </x:c>
    </x:row>
    <x:row r="1110" ht="30" customHeight="1">
      <x:c r="A1110" t="str">
        <x:v>TT10_C05_PC_23</x:v>
      </x:c>
      <x:c r="B1110" t="str">
        <x:v>BDNB: engranajes y pasadores propios</x:v>
      </x:c>
      <x:c r="C1110" t="n">
        <x:v>107</x:v>
      </x:c>
      <x:c r="D1110" t="str">
        <x:v>TT10_C05_BDNB_EJE_ENTRADA</x:v>
      </x:c>
      <x:c r="E1110" t="n">
        <x:v>1</x:v>
      </x:c>
      <x:c r="F1110" t="n">
        <x:v>1</x:v>
      </x:c>
      <x:c r="G1110" t="str">
        <x:v>Fabricación</x:v>
      </x:c>
      <x:c r="H1110" s="37" t="str">
        <x:v>Eje30h6; socket12.73; chaveta8x7; taladro transversal4.825</x:v>
      </x:c>
      <x:c r="I1110" s="37" t="str">
        <x:v>AISI 4140 bonificado</x:v>
      </x:c>
      <x:c r="J1110" t="str">
        <x:v>Cantidades por conjunto; no sumar como total de máquina.</x:v>
      </x:c>
    </x:row>
    <x:row r="1111" ht="30" customHeight="1">
      <x:c r="A1111" t="str">
        <x:v>TT10_C05_PC_23</x:v>
      </x:c>
      <x:c r="B1111" t="str">
        <x:v>BDNB: engranajes y pasadores propios</x:v>
      </x:c>
      <x:c r="C1111" t="n">
        <x:v>108</x:v>
      </x:c>
      <x:c r="D1111" t="str">
        <x:v>TT10_C05_BDNB_EJE_SALIDA</x:v>
      </x:c>
      <x:c r="E1111" t="n">
        <x:v>1</x:v>
      </x:c>
      <x:c r="F1111" t="n">
        <x:v>1</x:v>
      </x:c>
      <x:c r="G1111" t="str">
        <x:v>Fabricación</x:v>
      </x:c>
      <x:c r="H1111" s="37" t="str">
        <x:v>Eje30h6, espiga12.70; dos6906; chaveta8x7; unión positiva3/16</x:v>
      </x:c>
      <x:c r="I1111" s="37" t="str">
        <x:v>AISI 4140 bonificado</x:v>
      </x:c>
      <x:c r="J1111" t="str">
        <x:v>Cantidades por conjunto; no sumar como total de máquina.</x:v>
      </x:c>
    </x:row>
    <x:row r="1112" ht="30" customHeight="1">
      <x:c r="A1112" t="str">
        <x:v>TT10_C05_PC_23</x:v>
      </x:c>
      <x:c r="B1112" t="str">
        <x:v>BDNB: engranajes y pasadores propios</x:v>
      </x:c>
      <x:c r="C1112" t="n">
        <x:v>109</x:v>
      </x:c>
      <x:c r="D1112" t="str">
        <x:v>TT10_C05_BDNB_ENGRANAJE</x:v>
      </x:c>
      <x:c r="E1112" t="n">
        <x:v>1</x:v>
      </x:c>
      <x:c r="F1112" t="n">
        <x:v>1</x:v>
      </x:c>
      <x:c r="G1112" t="str">
        <x:v>Fabricación</x:v>
      </x:c>
      <x:c r="H1112" s="37" t="str">
        <x:v>Engranaje48d,m2.5,20grados,b20;30H7,8JS9</x:v>
      </x:c>
      <x:c r="I1112" s="37" t="str">
        <x:v>AISI 4140 bonificado</x:v>
      </x:c>
      <x:c r="J1112" t="str">
        <x:v>Cantidades por conjunto; no sumar como total de máquina.</x:v>
      </x:c>
    </x:row>
    <x:row r="1113" ht="30" customHeight="1">
      <x:c r="A1113" t="str">
        <x:v>TT10_C05_PC_23</x:v>
      </x:c>
      <x:c r="B1113" t="str">
        <x:v>BDNB: engranajes y pasadores propios</x:v>
      </x:c>
      <x:c r="C1113" t="n">
        <x:v>110</x:v>
      </x:c>
      <x:c r="D1113" t="str">
        <x:v>TT10_C05_BDNB_M10</x:v>
      </x:c>
      <x:c r="E1113" t="n">
        <x:v>4</x:v>
      </x:c>
      <x:c r="F1113" t="n">
        <x:v>4</x:v>
      </x:c>
      <x:c r="G1113" t="str">
        <x:v>Compra</x:v>
      </x:c>
      <x:c r="H1113" s="37" t="str">
        <x:v>TornilloISO4017 M10x35-8.8; rosca nominal</x:v>
      </x:c>
      <x:c r="I1113" s="37" t="str">
        <x:v>Clase 8.8 / ISO 898-1</x:v>
      </x:c>
      <x:c r="J1113" t="str">
        <x:v>Cantidades por conjunto; no sumar como total de máquina.</x:v>
      </x:c>
    </x:row>
    <x:row r="1114" ht="30" customHeight="1">
      <x:c r="A1114" t="str">
        <x:v>TT10_C05_PC_23</x:v>
      </x:c>
      <x:c r="B1114" t="str">
        <x:v>BDNB: engranajes y pasadores propios</x:v>
      </x:c>
      <x:c r="C1114" t="n">
        <x:v>111</x:v>
      </x:c>
      <x:c r="D1114" t="str">
        <x:v>TT10_C05_BDNB_M5</x:v>
      </x:c>
      <x:c r="E1114" t="n">
        <x:v>4</x:v>
      </x:c>
      <x:c r="F1114" t="n">
        <x:v>4</x:v>
      </x:c>
      <x:c r="G1114" t="str">
        <x:v>Compra</x:v>
      </x:c>
      <x:c r="H1114" s="37" t="str">
        <x:v>ISO4017 M5x20-8.8, rosca nominal</x:v>
      </x:c>
      <x:c r="I1114" s="37" t="str">
        <x:v>Clase 8.8 / ISO 898-1</x:v>
      </x:c>
      <x:c r="J1114" t="str">
        <x:v>Cantidades por conjunto; no sumar como total de máquina.</x:v>
      </x:c>
    </x:row>
    <x:row r="1115" ht="30" customHeight="1">
      <x:c r="A1115" t="str">
        <x:v>TT10_C05_PC_23</x:v>
      </x:c>
      <x:c r="B1115" t="str">
        <x:v>BDNB: engranajes y pasadores propios</x:v>
      </x:c>
      <x:c r="C1115" t="n">
        <x:v>112</x:v>
      </x:c>
      <x:c r="D1115" t="str">
        <x:v>TT10_C05_BDNB_M6</x:v>
      </x:c>
      <x:c r="E1115" t="n">
        <x:v>8</x:v>
      </x:c>
      <x:c r="F1115" t="n">
        <x:v>8</x:v>
      </x:c>
      <x:c r="G1115" t="str">
        <x:v>Compra</x:v>
      </x:c>
      <x:c r="H1115" s="37" t="str">
        <x:v>TornilloISO4017 M6x60-8.8; rosca nominal</x:v>
      </x:c>
      <x:c r="I1115" s="37" t="str">
        <x:v>Clase 8.8 / ISO 898-1</x:v>
      </x:c>
      <x:c r="J1115" t="str">
        <x:v>Cantidades por conjunto; no sumar como total de máquina.</x:v>
      </x:c>
    </x:row>
    <x:row r="1116" ht="30" customHeight="1">
      <x:c r="A1116" t="str">
        <x:v>TT10_C05_PC_23</x:v>
      </x:c>
      <x:c r="B1116" t="str">
        <x:v>BDNB: engranajes y pasadores propios</x:v>
      </x:c>
      <x:c r="C1116" t="n">
        <x:v>113</x:v>
      </x:c>
      <x:c r="D1116" t="str">
        <x:v>TT10_C05_BDNB_N3_ENTRADA</x:v>
      </x:c>
      <x:c r="E1116" t="n">
        <x:v>1</x:v>
      </x:c>
      <x:c r="F1116" t="n">
        <x:v>1</x:v>
      </x:c>
      <x:c r="G1116" t="str">
        <x:v>Compra</x:v>
      </x:c>
      <x:c r="H1116" s="37" t="str">
        <x:v>TuercaISO7042 M3 autoblocante metálica, rosca nominal</x:v>
      </x:c>
      <x:c r="I1116" s="37" t="str">
        <x:v>Tuerca clase 8 / ISO 898-2</x:v>
      </x:c>
      <x:c r="J1116" t="str">
        <x:v>Cantidades por conjunto; no sumar como total de máquina.</x:v>
      </x:c>
    </x:row>
    <x:row r="1117" ht="30" customHeight="1">
      <x:c r="A1117" t="str">
        <x:v>TT10_C05_PC_23</x:v>
      </x:c>
      <x:c r="B1117" t="str">
        <x:v>BDNB: engranajes y pasadores propios</x:v>
      </x:c>
      <x:c r="C1117" t="n">
        <x:v>114</x:v>
      </x:c>
      <x:c r="D1117" t="str">
        <x:v>TT10_C05_BDNB_N3_SALIDA</x:v>
      </x:c>
      <x:c r="E1117" t="n">
        <x:v>1</x:v>
      </x:c>
      <x:c r="F1117" t="n">
        <x:v>1</x:v>
      </x:c>
      <x:c r="G1117" t="str">
        <x:v>Compra</x:v>
      </x:c>
      <x:c r="H1117" s="37" t="str">
        <x:v>TuercaISO7042 M3 autoblocante metálica, rosca nominal</x:v>
      </x:c>
      <x:c r="I1117" s="37" t="str">
        <x:v>Tuerca clase 8 / ISO 898-2</x:v>
      </x:c>
      <x:c r="J1117" t="str">
        <x:v>Cantidades por conjunto; no sumar como total de máquina.</x:v>
      </x:c>
    </x:row>
    <x:row r="1118" ht="30" customHeight="1">
      <x:c r="A1118" t="str">
        <x:v>TT10_C05_PC_23</x:v>
      </x:c>
      <x:c r="B1118" t="str">
        <x:v>BDNB: engranajes y pasadores propios</x:v>
      </x:c>
      <x:c r="C1118" t="n">
        <x:v>115</x:v>
      </x:c>
      <x:c r="D1118" t="str">
        <x:v>TT10_C05_BDNB_N5</x:v>
      </x:c>
      <x:c r="E1118" t="n">
        <x:v>4</x:v>
      </x:c>
      <x:c r="F1118" t="n">
        <x:v>4</x:v>
      </x:c>
      <x:c r="G1118" t="str">
        <x:v>Compra</x:v>
      </x:c>
      <x:c r="H1118" s="37" t="str">
        <x:v>TuercaISO4032 M5-8; rosca nominal</x:v>
      </x:c>
      <x:c r="I1118" s="37" t="str">
        <x:v>Tuerca clase 8 / ISO 898-2</x:v>
      </x:c>
      <x:c r="J1118" t="str">
        <x:v>Cantidades por conjunto; no sumar como total de máquina.</x:v>
      </x:c>
    </x:row>
    <x:row r="1119" ht="30" customHeight="1">
      <x:c r="A1119" t="str">
        <x:v>TT10_C05_PC_23</x:v>
      </x:c>
      <x:c r="B1119" t="str">
        <x:v>BDNB: engranajes y pasadores propios</x:v>
      </x:c>
      <x:c r="C1119" t="n">
        <x:v>116</x:v>
      </x:c>
      <x:c r="D1119" t="str">
        <x:v>TT10_C05_BDNB_PASADOR_ENTRADA</x:v>
      </x:c>
      <x:c r="E1119" t="n">
        <x:v>1</x:v>
      </x:c>
      <x:c r="F1119" t="n">
        <x:v>1</x:v>
      </x:c>
      <x:c r="G1119" t="str">
        <x:v>Fabricación</x:v>
      </x:c>
      <x:c r="H1119" s="37" t="str">
        <x:v>Pasador transversal3/16, cabeza7, puntaM3x5; C45E bonificado, Rp0.2 minimo650MPa</x:v>
      </x:c>
      <x:c r="I1119" s="37" t="str">
        <x:v>C45E / EN 10083-2</x:v>
      </x:c>
      <x:c r="J1119" t="str">
        <x:v>Cantidades por conjunto; no sumar como total de máquina.</x:v>
      </x:c>
    </x:row>
    <x:row r="1120" ht="30" customHeight="1">
      <x:c r="A1120" t="str">
        <x:v>TT10_C05_PC_23</x:v>
      </x:c>
      <x:c r="B1120" t="str">
        <x:v>BDNB: engranajes y pasadores propios</x:v>
      </x:c>
      <x:c r="C1120" t="n">
        <x:v>117</x:v>
      </x:c>
      <x:c r="D1120" t="str">
        <x:v>TT10_C05_BDNB_PASADOR_SALIDA</x:v>
      </x:c>
      <x:c r="E1120" t="n">
        <x:v>1</x:v>
      </x:c>
      <x:c r="F1120" t="n">
        <x:v>1</x:v>
      </x:c>
      <x:c r="G1120" t="str">
        <x:v>Fabricación</x:v>
      </x:c>
      <x:c r="H1120" s="37" t="str">
        <x:v>Pasador transversal3/16, cabeza7, puntaM3x5; C45E bonificado, Rp0.2 minimo650MPa</x:v>
      </x:c>
      <x:c r="I1120" s="37" t="str">
        <x:v>C45E / EN 10083-2</x:v>
      </x:c>
      <x:c r="J1120" t="str">
        <x:v>Cantidades por conjunto; no sumar como total de máquina.</x:v>
      </x:c>
    </x:row>
    <x:row r="1121" ht="30" customHeight="1">
      <x:c r="A1121" t="str">
        <x:v>TT10_C05_PC_23</x:v>
      </x:c>
      <x:c r="B1121" t="str">
        <x:v>BDNB: engranajes y pasadores propios</x:v>
      </x:c>
      <x:c r="C1121" t="n">
        <x:v>118</x:v>
      </x:c>
      <x:c r="D1121" t="str">
        <x:v>TT10_C05_BDNB_PLACA_REACCION</x:v>
      </x:c>
      <x:c r="E1121" t="n">
        <x:v>1</x:v>
      </x:c>
      <x:c r="F1121" t="n">
        <x:v>1</x:v>
      </x:c>
      <x:c r="G1121" t="str">
        <x:v>Fabricación</x:v>
      </x:c>
      <x:c r="H1121" s="37" t="str">
        <x:v>Reacción BDNB8mm,4Ø5.5PCD53.85; soldaduraa4 ambos lados a base</x:v>
      </x:c>
      <x:c r="I1121" s="37" t="str">
        <x:v>ASTM A36</x:v>
      </x:c>
      <x:c r="J1121" t="str">
        <x:v>Cantidades por conjunto; no sumar como total de máquina.</x:v>
      </x:c>
    </x:row>
    <x:row r="1122" ht="30" customHeight="1">
      <x:c r="A1122" t="str">
        <x:v>TT10_C05_PC_23</x:v>
      </x:c>
      <x:c r="B1122" t="str">
        <x:v>BDNB: engranajes y pasadores propios</x:v>
      </x:c>
      <x:c r="C1122" t="n">
        <x:v>119</x:v>
      </x:c>
      <x:c r="D1122" t="str">
        <x:v>TT10_C05_BDNB_RODAMIENTO_0</x:v>
      </x:c>
      <x:c r="E1122" t="n">
        <x:v>1</x:v>
      </x:c>
      <x:c r="F1122" t="n">
        <x:v>1</x:v>
      </x:c>
      <x:c r="G1122" t="str">
        <x:v>Compra</x:v>
      </x:c>
      <x:c r="H1122" s="37" t="str">
        <x:v>RodamientoSKF6006; envolvente de montaje; selección de vida separada</x:v>
      </x:c>
      <x:c r="I1122" s="37" t="str">
        <x:v>Equipo comprado</x:v>
      </x:c>
      <x:c r="J1122" t="str">
        <x:v>Cantidades por conjunto; no sumar como total de máquina.</x:v>
      </x:c>
    </x:row>
    <x:row r="1123" ht="30" customHeight="1">
      <x:c r="A1123" t="str">
        <x:v>TT10_C05_PC_23</x:v>
      </x:c>
      <x:c r="B1123" t="str">
        <x:v>BDNB: engranajes y pasadores propios</x:v>
      </x:c>
      <x:c r="C1123" t="n">
        <x:v>120</x:v>
      </x:c>
      <x:c r="D1123" t="str">
        <x:v>TT10_C05_BDNB_RODAMIENTO_1</x:v>
      </x:c>
      <x:c r="E1123" t="n">
        <x:v>1</x:v>
      </x:c>
      <x:c r="F1123" t="n">
        <x:v>1</x:v>
      </x:c>
      <x:c r="G1123" t="str">
        <x:v>Compra</x:v>
      </x:c>
      <x:c r="H1123" s="37" t="str">
        <x:v>RodamientoSKF6006; envolvente de montaje; selección de vida separada</x:v>
      </x:c>
      <x:c r="I1123" s="37" t="str">
        <x:v>Equipo comprado</x:v>
      </x:c>
      <x:c r="J1123" t="str">
        <x:v>Cantidades por conjunto; no sumar como total de máquina.</x:v>
      </x:c>
    </x:row>
    <x:row r="1124" ht="30" customHeight="1">
      <x:c r="A1124" t="str">
        <x:v>TT10_C05_PC_23</x:v>
      </x:c>
      <x:c r="B1124" t="str">
        <x:v>BDNB: engranajes y pasadores propios</x:v>
      </x:c>
      <x:c r="C1124" t="n">
        <x:v>121</x:v>
      </x:c>
      <x:c r="D1124" t="str">
        <x:v>TT10_C05_BDNB_RODAMIENTO_2</x:v>
      </x:c>
      <x:c r="E1124" t="n">
        <x:v>1</x:v>
      </x:c>
      <x:c r="F1124" t="n">
        <x:v>1</x:v>
      </x:c>
      <x:c r="G1124" t="str">
        <x:v>Compra</x:v>
      </x:c>
      <x:c r="H1124" s="37" t="str">
        <x:v>RodamientoSKF6906; envolvente de montaje; selección de vida separada</x:v>
      </x:c>
      <x:c r="I1124" s="37" t="str">
        <x:v>Equipo comprado</x:v>
      </x:c>
      <x:c r="J1124" t="str">
        <x:v>Cantidades por conjunto; no sumar como total de máquina.</x:v>
      </x:c>
    </x:row>
    <x:row r="1125" ht="30" customHeight="1">
      <x:c r="A1125" t="str">
        <x:v>TT10_C05_PC_23</x:v>
      </x:c>
      <x:c r="B1125" t="str">
        <x:v>BDNB: engranajes y pasadores propios</x:v>
      </x:c>
      <x:c r="C1125" t="n">
        <x:v>122</x:v>
      </x:c>
      <x:c r="D1125" t="str">
        <x:v>TT10_C05_BDNB_RODAMIENTO_3</x:v>
      </x:c>
      <x:c r="E1125" t="n">
        <x:v>1</x:v>
      </x:c>
      <x:c r="F1125" t="n">
        <x:v>1</x:v>
      </x:c>
      <x:c r="G1125" t="str">
        <x:v>Compra</x:v>
      </x:c>
      <x:c r="H1125" s="37" t="str">
        <x:v>RodamientoSKF6906; envolvente de montaje; selección de vida separada</x:v>
      </x:c>
      <x:c r="I1125" s="37" t="str">
        <x:v>Equipo comprado</x:v>
      </x:c>
      <x:c r="J1125" t="str">
        <x:v>Cantidades por conjunto; no sumar como total de máquina.</x:v>
      </x:c>
    </x:row>
    <x:row r="1126" ht="30" customHeight="1">
      <x:c r="A1126" t="str">
        <x:v>TT10_C05_PC_23</x:v>
      </x:c>
      <x:c r="B1126" t="str">
        <x:v>BDNB: engranajes y pasadores propios</x:v>
      </x:c>
      <x:c r="C1126" t="n">
        <x:v>123</x:v>
      </x:c>
      <x:c r="D1126" t="str">
        <x:v>TT10_C05_BDNB_W10</x:v>
      </x:c>
      <x:c r="E1126" t="n">
        <x:v>4</x:v>
      </x:c>
      <x:c r="F1126" t="n">
        <x:v>4</x:v>
      </x:c>
      <x:c r="G1126" t="str">
        <x:v>Compra</x:v>
      </x:c>
      <x:c r="H1126" s="37" t="str">
        <x:v>ArandelaISO7089 M10</x:v>
      </x:c>
      <x:c r="I1126" s="37" t="str">
        <x:v>Arandela endurecida 300 HV / ISO 7089</x:v>
      </x:c>
      <x:c r="J1126" t="str">
        <x:v>Cantidades por conjunto; no sumar como total de máquina.</x:v>
      </x:c>
    </x:row>
    <x:row r="1127" ht="30" customHeight="1">
      <x:c r="A1127" t="str">
        <x:v>TT10_C05_PC_23</x:v>
      </x:c>
      <x:c r="B1127" t="str">
        <x:v>BDNB: engranajes y pasadores propios</x:v>
      </x:c>
      <x:c r="C1127" t="n">
        <x:v>124</x:v>
      </x:c>
      <x:c r="D1127" t="str">
        <x:v>TT10_C05_BDNB_W5</x:v>
      </x:c>
      <x:c r="E1127" t="n">
        <x:v>4</x:v>
      </x:c>
      <x:c r="F1127" t="n">
        <x:v>4</x:v>
      </x:c>
      <x:c r="G1127" t="str">
        <x:v>Compra</x:v>
      </x:c>
      <x:c r="H1127" s="37" t="str">
        <x:v>ArandelaDIN433 M5,9x5.3x1</x:v>
      </x:c>
      <x:c r="I1127" s="37" t="str">
        <x:v>Arandela endurecida 300 HV / ISO 7089</x:v>
      </x:c>
      <x:c r="J1127" t="str">
        <x:v>Cantidades por conjunto; no sumar como total de máquina.</x:v>
      </x:c>
    </x:row>
    <x:row r="1128" ht="30" customHeight="1">
      <x:c r="A1128" t="str">
        <x:v>TT10_C05_PC_23</x:v>
      </x:c>
      <x:c r="B1128" t="str">
        <x:v>BDNB: engranajes y pasadores propios</x:v>
      </x:c>
      <x:c r="C1128" t="n">
        <x:v>125</x:v>
      </x:c>
      <x:c r="D1128" t="str">
        <x:v>TT10_C05_BDNB_W6</x:v>
      </x:c>
      <x:c r="E1128" t="n">
        <x:v>8</x:v>
      </x:c>
      <x:c r="F1128" t="n">
        <x:v>8</x:v>
      </x:c>
      <x:c r="G1128" t="str">
        <x:v>Compra</x:v>
      </x:c>
      <x:c r="H1128" s="37" t="str">
        <x:v>ArandelaISO7089 M6</x:v>
      </x:c>
      <x:c r="I1128" s="37" t="str">
        <x:v>Arandela endurecida 300 HV / ISO 7089</x:v>
      </x:c>
      <x:c r="J1128" t="str">
        <x:v>Cantidades por conjunto; no sumar como total de máquina.</x:v>
      </x:c>
    </x:row>
    <x:row r="1129" ht="30" customHeight="1">
      <x:c r="A1129" t="str">
        <x:v>TT10_C05_PC_24</x:v>
      </x:c>
      <x:c r="B1129" t="str">
        <x:v>Puestos de recuperación de actuadores</x:v>
      </x:c>
      <x:c r="C1129" t="n">
        <x:v>6</x:v>
      </x:c>
      <x:c r="D1129" t="str">
        <x:v>TT10_C03_ACCESO_PUERTO_N</x:v>
      </x:c>
      <x:c r="E1129" t="n">
        <x:v>1</x:v>
      </x:c>
      <x:c r="F1129" t="n">
        <x:v>1</x:v>
      </x:c>
      <x:c r="G1129" t="str">
        <x:v>Fabricación</x:v>
      </x:c>
      <x:c r="H1129" s="37" t="str">
        <x:v>Guia de herramienta desde exterior N; puerto nominal rear+15.5/Z+53.7; NO conexion remota al actuador</x:v>
      </x:c>
      <x:c r="I1129" s="37" t="str">
        <x:v>ASTM A36</x:v>
      </x:c>
      <x:c r="J1129" t="str">
        <x:v>Cantidades por conjunto; no sumar como total de máquina.</x:v>
      </x:c>
    </x:row>
    <x:row r="1130" ht="30" customHeight="1">
      <x:c r="A1130" t="str">
        <x:v>TT10_C05_PC_24</x:v>
      </x:c>
      <x:c r="B1130" t="str">
        <x:v>Puestos de recuperación de actuadores</x:v>
      </x:c>
      <x:c r="C1130" t="n">
        <x:v>7</x:v>
      </x:c>
      <x:c r="D1130" t="str">
        <x:v>TT10_C03_ACCESO_PUERTO_P</x:v>
      </x:c>
      <x:c r="E1130" t="n">
        <x:v>1</x:v>
      </x:c>
      <x:c r="F1130" t="n">
        <x:v>1</x:v>
      </x:c>
      <x:c r="G1130" t="str">
        <x:v>Fabricación</x:v>
      </x:c>
      <x:c r="H1130" s="37" t="str">
        <x:v>Guia de herramienta desde exterior P; puerto nominal rear+15.5/Z+53.7; NO conexion remota al actuador</x:v>
      </x:c>
      <x:c r="I1130" s="37" t="str">
        <x:v>ASTM A36</x:v>
      </x:c>
      <x:c r="J1130" t="str">
        <x:v>Cantidades por conjunto; no sumar como total de máquina.</x:v>
      </x:c>
    </x:row>
    <x:row r="1131" ht="30" customHeight="1">
      <x:c r="A1131" t="str">
        <x:v>TT10_C05_PC_24</x:v>
      </x:c>
      <x:c r="B1131" t="str">
        <x:v>Puestos de recuperación de actuadores</x:v>
      </x:c>
      <x:c r="C1131" t="n">
        <x:v>13</x:v>
      </x:c>
      <x:c r="D1131" t="str">
        <x:v>TT10_C03_REGISTRO_PUERTO_N</x:v>
      </x:c>
      <x:c r="E1131" t="n">
        <x:v>1</x:v>
      </x:c>
      <x:c r="F1131" t="n">
        <x:v>1</x:v>
      </x:c>
      <x:c r="G1131" t="str">
        <x:v>Fabricación</x:v>
      </x:c>
      <x:c r="H1131" s="37" t="str">
        <x:v>Registro exterior desmontable3 con accesoD50; fijaciones/proteccion de puesto por completar</x:v>
      </x:c>
      <x:c r="I1131" s="37" t="str">
        <x:v>ASTM A36</x:v>
      </x:c>
      <x:c r="J1131" t="str">
        <x:v>Cantidades por conjunto; no sumar como total de máquina.</x:v>
      </x:c>
    </x:row>
    <x:row r="1132" ht="30" customHeight="1">
      <x:c r="A1132" t="str">
        <x:v>TT10_C05_PC_24</x:v>
      </x:c>
      <x:c r="B1132" t="str">
        <x:v>Puestos de recuperación de actuadores</x:v>
      </x:c>
      <x:c r="C1132" t="n">
        <x:v>14</x:v>
      </x:c>
      <x:c r="D1132" t="str">
        <x:v>TT10_C03_REGISTRO_PUERTO_P</x:v>
      </x:c>
      <x:c r="E1132" t="n">
        <x:v>1</x:v>
      </x:c>
      <x:c r="F1132" t="n">
        <x:v>1</x:v>
      </x:c>
      <x:c r="G1132" t="str">
        <x:v>Fabricación</x:v>
      </x:c>
      <x:c r="H1132" s="37" t="str">
        <x:v>Registro exterior desmontable3 con accesoD50; fijaciones/proteccion de puesto por completar</x:v>
      </x:c>
      <x:c r="I1132" s="37" t="str">
        <x:v>ASTM A36</x:v>
      </x:c>
      <x:c r="J1132" t="str">
        <x:v>Cantidades por conjunto; no sumar como total de máquina.</x:v>
      </x:c>
    </x:row>
    <x:row r="1133" ht="30" customHeight="1">
      <x:c r="A1133" t="str">
        <x:v>TT10_C05_PC_24</x:v>
      </x:c>
      <x:c r="B1133" t="str">
        <x:v>Puestos de recuperación de actuadores</x:v>
      </x:c>
      <x:c r="C1133" t="n">
        <x:v>163</x:v>
      </x:c>
      <x:c r="D1133" t="str">
        <x:v>TT10_D_BASE_RECUP_N</x:v>
      </x:c>
      <x:c r="E1133" t="n">
        <x:v>1</x:v>
      </x:c>
      <x:c r="F1133" t="n">
        <x:v>1</x:v>
      </x:c>
      <x:c r="G1133" t="str">
        <x:v>Fabricación</x:v>
      </x:c>
      <x:c r="H1133" s="37" t="str">
        <x:v>Base de mando de recuperación</x:v>
      </x:c>
      <x:c r="I1133" s="37" t="str">
        <x:v>ASTM A36</x:v>
      </x:c>
      <x:c r="J1133" t="str">
        <x:v>Cantidades por conjunto; no sumar como total de máquina.</x:v>
      </x:c>
    </x:row>
    <x:row r="1134" ht="30" customHeight="1">
      <x:c r="A1134" t="str">
        <x:v>TT10_C05_PC_24</x:v>
      </x:c>
      <x:c r="B1134" t="str">
        <x:v>Puestos de recuperación de actuadores</x:v>
      </x:c>
      <x:c r="C1134" t="n">
        <x:v>164</x:v>
      </x:c>
      <x:c r="D1134" t="str">
        <x:v>TT10_D_BASE_RECUP_P</x:v>
      </x:c>
      <x:c r="E1134" t="n">
        <x:v>1</x:v>
      </x:c>
      <x:c r="F1134" t="n">
        <x:v>1</x:v>
      </x:c>
      <x:c r="G1134" t="str">
        <x:v>Fabricación</x:v>
      </x:c>
      <x:c r="H1134" s="37" t="str">
        <x:v>Base de mando de recuperación</x:v>
      </x:c>
      <x:c r="I1134" s="37" t="str">
        <x:v>ASTM A36</x:v>
      </x:c>
      <x:c r="J1134" t="str">
        <x:v>Cantidades por conjunto; no sumar como total de máquina.</x:v>
      </x:c>
    </x:row>
    <x:row r="1135" ht="30" customHeight="1">
      <x:c r="A1135" t="str">
        <x:v>TT10_C05_PC_24</x:v>
      </x:c>
      <x:c r="B1135" t="str">
        <x:v>Puestos de recuperación de actuadores</x:v>
      </x:c>
      <x:c r="C1135" t="n">
        <x:v>207</x:v>
      </x:c>
      <x:c r="D1135" t="str">
        <x:v>TT10_D_POSTE_RECUP_N</x:v>
      </x:c>
      <x:c r="E1135" t="n">
        <x:v>1</x:v>
      </x:c>
      <x:c r="F1135" t="n">
        <x:v>1</x:v>
      </x:c>
      <x:c r="G1135" t="str">
        <x:v>Fabricación</x:v>
      </x:c>
      <x:c r="H1135" s="37" t="str">
        <x:v>Soporte de manivela y desbloqueo manual N</x:v>
      </x:c>
      <x:c r="I1135" s="37" t="str">
        <x:v>ASTM A36</x:v>
      </x:c>
      <x:c r="J1135" t="str">
        <x:v>Cantidades por conjunto; no sumar como total de máquina.</x:v>
      </x:c>
    </x:row>
    <x:row r="1136" ht="30" customHeight="1">
      <x:c r="A1136" t="str">
        <x:v>TT10_C05_PC_24</x:v>
      </x:c>
      <x:c r="B1136" t="str">
        <x:v>Puestos de recuperación de actuadores</x:v>
      </x:c>
      <x:c r="C1136" t="n">
        <x:v>208</x:v>
      </x:c>
      <x:c r="D1136" t="str">
        <x:v>TT10_D_POSTE_RECUP_P</x:v>
      </x:c>
      <x:c r="E1136" t="n">
        <x:v>1</x:v>
      </x:c>
      <x:c r="F1136" t="n">
        <x:v>1</x:v>
      </x:c>
      <x:c r="G1136" t="str">
        <x:v>Fabricación</x:v>
      </x:c>
      <x:c r="H1136" s="37" t="str">
        <x:v>Soporte de manivela y desbloqueo manual P</x:v>
      </x:c>
      <x:c r="I1136" s="37" t="str">
        <x:v>ASTM A36</x:v>
      </x:c>
      <x:c r="J1136" t="str">
        <x:v>Cantidades por conjunto; no sumar como total de máquina.</x:v>
      </x:c>
    </x:row>
    <x:row r="1137" ht="30" customHeight="1">
      <x:c r="A1137" t="str">
        <x:v>TT10_C05_PC_24</x:v>
      </x:c>
      <x:c r="B1137" t="str">
        <x:v>Puestos de recuperación de actuadores</x:v>
      </x:c>
      <x:c r="C1137" t="n">
        <x:v>390</x:v>
      </x:c>
      <x:c r="D1137" t="str">
        <x:v>TT10_PE_ACT_CUERPO</x:v>
      </x:c>
      <x:c r="E1137" t="n">
        <x:v>2</x:v>
      </x:c>
      <x:c r="F1137" t="n">
        <x:v>2</x:v>
      </x:c>
      <x:c r="G1137" t="str">
        <x:v>Compra</x:v>
      </x:c>
      <x:c r="H1137" s="37" t="str">
        <x:v>Thomson HD24B026-0250LPS2MMSD: interfaces nominales y envolvente conservadora, NO CAD oficial</x:v>
      </x:c>
      <x:c r="I1137" s="37" t="str">
        <x:v>Conjunto comercial; selección condicionada</x:v>
      </x:c>
      <x:c r="J1137" t="str">
        <x:v>Cantidades por conjunto; no sumar como total de máquina.</x:v>
      </x:c>
    </x:row>
    <x:row r="1138" ht="30" customHeight="1">
      <x:c r="A1138" t="str">
        <x:v>TT10_C05_PC_24</x:v>
      </x:c>
      <x:c r="B1138" t="str">
        <x:v>Puestos de recuperación de actuadores</x:v>
      </x:c>
      <x:c r="C1138" t="n">
        <x:v>391</x:v>
      </x:c>
      <x:c r="D1138" t="str">
        <x:v>TT10_PE_ACT_VASTAGO</x:v>
      </x:c>
      <x:c r="E1138" t="n">
        <x:v>2</x:v>
      </x:c>
      <x:c r="F1138" t="n">
        <x:v>2</x:v>
      </x:c>
      <x:c r="G1138" t="str">
        <x:v>Compra</x:v>
      </x:c>
      <x:c r="H1138" s="37" t="str">
        <x:v>Extremo y vástago comercial nominal D30.2; taladro12.2; parte móvil de candidato Thomson</x:v>
      </x:c>
      <x:c r="I1138" s="37" t="str">
        <x:v>Subcomponente de actuador comercial</x:v>
      </x:c>
      <x:c r="J1138" t="str">
        <x:v>Cantidades por conjunto; no sumar como total de máquina.</x:v>
      </x:c>
    </x:row>
    <x:row r="1139" ht="30" customHeight="1">
      <x:c r="A1139" t="str">
        <x:v>TT10_C05_PC_25</x:v>
      </x:c>
      <x:c r="B1139" t="str">
        <x:v>Soportes de armario y mandos</x:v>
      </x:c>
      <x:c r="C1139" t="n">
        <x:v>152</x:v>
      </x:c>
      <x:c r="D1139" t="str">
        <x:v>TT10_D_ARMARIO</x:v>
      </x:c>
      <x:c r="E1139" t="n">
        <x:v>1</x:v>
      </x:c>
      <x:c r="F1139" t="n">
        <x:v>1</x:v>
      </x:c>
      <x:c r="G1139" t="str">
        <x:v>Compra</x:v>
      </x:c>
      <x:c r="H1139" s="37" t="str">
        <x:v>Armario de variador y control; representación de presentación</x:v>
      </x:c>
      <x:c r="I1139" s="37" t="str">
        <x:v>Armario comercial; chapa y acabado según referencia de compra</x:v>
      </x:c>
      <x:c r="J1139" t="str">
        <x:v>Cantidades por conjunto; no sumar como total de máquina.</x:v>
      </x:c>
    </x:row>
    <x:row r="1140" ht="30" customHeight="1">
      <x:c r="A1140" t="str">
        <x:v>TT10_C05_PC_25</x:v>
      </x:c>
      <x:c r="B1140" t="str">
        <x:v>Soportes de armario y mandos</x:v>
      </x:c>
      <x:c r="C1140" t="n">
        <x:v>157</x:v>
      </x:c>
      <x:c r="D1140" t="str">
        <x:v>TT10_D_BASE_ARMARIO</x:v>
      </x:c>
      <x:c r="E1140" t="n">
        <x:v>1</x:v>
      </x:c>
      <x:c r="F1140" t="n">
        <x:v>1</x:v>
      </x:c>
      <x:c r="G1140" t="str">
        <x:v>Fabricación</x:v>
      </x:c>
      <x:c r="H1140" s="37" t="str">
        <x:v>Base del armario</x:v>
      </x:c>
      <x:c r="I1140" s="37" t="str">
        <x:v>ASTM A36</x:v>
      </x:c>
      <x:c r="J1140" t="str">
        <x:v>Cantidades por conjunto; no sumar como total de máquina.</x:v>
      </x:c>
    </x:row>
    <x:row r="1141" ht="30" customHeight="1">
      <x:c r="A1141" t="str">
        <x:v>TT10_C05_PC_25</x:v>
      </x:c>
      <x:c r="B1141" t="str">
        <x:v>Soportes de armario y mandos</x:v>
      </x:c>
      <x:c r="C1141" t="n">
        <x:v>158</x:v>
      </x:c>
      <x:c r="D1141" t="str">
        <x:v>TT10_D_BASE_BOTONERA</x:v>
      </x:c>
      <x:c r="E1141" t="n">
        <x:v>1</x:v>
      </x:c>
      <x:c r="F1141" t="n">
        <x:v>1</x:v>
      </x:c>
      <x:c r="G1141" t="str">
        <x:v>Fabricación</x:v>
      </x:c>
      <x:c r="H1141" s="37" t="str">
        <x:v>Base de botonera</x:v>
      </x:c>
      <x:c r="I1141" s="37" t="str">
        <x:v>ASTM A36</x:v>
      </x:c>
      <x:c r="J1141" t="str">
        <x:v>Cantidades por conjunto; no sumar como total de máquina.</x:v>
      </x:c>
    </x:row>
    <x:row r="1142" ht="30" customHeight="1">
      <x:c r="A1142" t="str">
        <x:v>TT10_C05_PC_25</x:v>
      </x:c>
      <x:c r="B1142" t="str">
        <x:v>Soportes de armario y mandos</x:v>
      </x:c>
      <x:c r="C1142" t="n">
        <x:v>162</x:v>
      </x:c>
      <x:c r="D1142" t="str">
        <x:v>TT10_D_BASE_PRESENTE</x:v>
      </x:c>
      <x:c r="E1142" t="n">
        <x:v>1</x:v>
      </x:c>
      <x:c r="F1142" t="n">
        <x:v>1</x:v>
      </x:c>
      <x:c r="G1142" t="str">
        <x:v>Fabricación</x:v>
      </x:c>
      <x:c r="H1142" s="37" t="str">
        <x:v>Base del mando de hombre presente</x:v>
      </x:c>
      <x:c r="I1142" s="37" t="str">
        <x:v>ASTM A36</x:v>
      </x:c>
      <x:c r="J1142" t="str">
        <x:v>Cantidades por conjunto; no sumar como total de máquina.</x:v>
      </x:c>
    </x:row>
    <x:row r="1143" ht="30" customHeight="1">
      <x:c r="A1143" t="str">
        <x:v>TT10_C05_PC_25</x:v>
      </x:c>
      <x:c r="B1143" t="str">
        <x:v>Soportes de armario y mandos</x:v>
      </x:c>
      <x:c r="C1143" t="n">
        <x:v>166</x:v>
      </x:c>
      <x:c r="D1143" t="str">
        <x:v>TT10_D_BOTONERA</x:v>
      </x:c>
      <x:c r="E1143" t="n">
        <x:v>1</x:v>
      </x:c>
      <x:c r="F1143" t="n">
        <x:v>1</x:v>
      </x:c>
      <x:c r="G1143" t="str">
        <x:v>Compra</x:v>
      </x:c>
      <x:c r="H1143" s="37" t="str">
        <x:v>Botonera: subir, bajar, retorno y paro de emergencia</x:v>
      </x:c>
      <x:c r="I1143" s="37" t="str">
        <x:v>Dispositivo de mando comercial; materiales según referencia OEM</x:v>
      </x:c>
      <x:c r="J1143" t="str">
        <x:v>Cantidades por conjunto; no sumar como total de máquina.</x:v>
      </x:c>
    </x:row>
    <x:row r="1144" ht="30" customHeight="1">
      <x:c r="A1144" t="str">
        <x:v>TT10_C05_PC_25</x:v>
      </x:c>
      <x:c r="B1144" t="str">
        <x:v>Soportes de armario y mandos</x:v>
      </x:c>
      <x:c r="C1144" t="n">
        <x:v>176</x:v>
      </x:c>
      <x:c r="D1144" t="str">
        <x:v>TT10_D_CABLE_PRESENTE</x:v>
      </x:c>
      <x:c r="E1144" t="n">
        <x:v>1</x:v>
      </x:c>
      <x:c r="F1144" t="n">
        <x:v>1</x:v>
      </x:c>
      <x:c r="G1144" t="str">
        <x:v>Compra</x:v>
      </x:c>
      <x:c r="H1144" s="37" t="str">
        <x:v>Eje de conexión geométrica CABLE_PRESENTE</x:v>
      </x:c>
      <x:c r="I1144" s="37" t="str">
        <x:v>Cable/conducción comercial; composición según ficha</x:v>
      </x:c>
      <x:c r="J1144" t="str">
        <x:v>Cantidades por conjunto; no sumar como total de máquina.</x:v>
      </x:c>
    </x:row>
    <x:row r="1145" ht="30" customHeight="1">
      <x:c r="A1145" t="str">
        <x:v>TT10_C05_PC_25</x:v>
      </x:c>
      <x:c r="B1145" t="str">
        <x:v>Soportes de armario y mandos</x:v>
      </x:c>
      <x:c r="C1145" t="n">
        <x:v>188</x:v>
      </x:c>
      <x:c r="D1145" t="str">
        <x:v>TT10_D_MANDO_PRESENTE</x:v>
      </x:c>
      <x:c r="E1145" t="n">
        <x:v>1</x:v>
      </x:c>
      <x:c r="F1145" t="n">
        <x:v>1</x:v>
      </x:c>
      <x:c r="G1145" t="str">
        <x:v>Fabricación</x:v>
      </x:c>
      <x:c r="H1145" s="37" t="str">
        <x:v>Palanca de hombre presente para liberación manual nominal</x:v>
      </x:c>
      <x:c r="I1145" s="37" t="str">
        <x:v>ASTM A36</x:v>
      </x:c>
      <x:c r="J1145" t="str">
        <x:v>Cantidades por conjunto; no sumar como total de máquina.</x:v>
      </x:c>
    </x:row>
    <x:row r="1146" ht="30" customHeight="1">
      <x:c r="A1146" t="str">
        <x:v>TT10_C05_PC_25</x:v>
      </x:c>
      <x:c r="B1146" t="str">
        <x:v>Soportes de armario y mandos</x:v>
      </x:c>
      <x:c r="C1146" t="n">
        <x:v>202</x:v>
      </x:c>
      <x:c r="D1146" t="str">
        <x:v>TT10_D_POSTE_ARMARIO</x:v>
      </x:c>
      <x:c r="E1146" t="n">
        <x:v>1</x:v>
      </x:c>
      <x:c r="F1146" t="n">
        <x:v>1</x:v>
      </x:c>
      <x:c r="G1146" t="str">
        <x:v>Fabricación</x:v>
      </x:c>
      <x:c r="H1146" s="37" t="str">
        <x:v>Soporte de armario</x:v>
      </x:c>
      <x:c r="I1146" s="37" t="str">
        <x:v>ASTM A36</x:v>
      </x:c>
      <x:c r="J1146" t="str">
        <x:v>Cantidades por conjunto; no sumar como total de máquina.</x:v>
      </x:c>
    </x:row>
    <x:row r="1147" ht="30" customHeight="1">
      <x:c r="A1147" t="str">
        <x:v>TT10_C05_PC_25</x:v>
      </x:c>
      <x:c r="B1147" t="str">
        <x:v>Soportes de armario y mandos</x:v>
      </x:c>
      <x:c r="C1147" t="n">
        <x:v>203</x:v>
      </x:c>
      <x:c r="D1147" t="str">
        <x:v>TT10_D_POSTE_BOTONERA</x:v>
      </x:c>
      <x:c r="E1147" t="n">
        <x:v>1</x:v>
      </x:c>
      <x:c r="F1147" t="n">
        <x:v>1</x:v>
      </x:c>
      <x:c r="G1147" t="str">
        <x:v>Fabricación</x:v>
      </x:c>
      <x:c r="H1147" s="37" t="str">
        <x:v>Poste de botonera fuera del plano de giro</x:v>
      </x:c>
      <x:c r="I1147" s="37" t="str">
        <x:v>ASTM A36</x:v>
      </x:c>
      <x:c r="J1147" t="str">
        <x:v>Cantidades por conjunto; no sumar como total de máquina.</x:v>
      </x:c>
    </x:row>
    <x:row r="1148" ht="30" customHeight="1">
      <x:c r="A1148" t="str">
        <x:v>TT10_C05_PC_26</x:v>
      </x:c>
      <x:c r="B1148" t="str">
        <x:v>Mando exterior y varilla del selector</x:v>
      </x:c>
      <x:c r="C1148" t="n">
        <x:v>17</x:v>
      </x:c>
      <x:c r="D1148" t="str">
        <x:v>TT10_C03_SELECTOR_COLLAR_1</x:v>
      </x:c>
      <x:c r="E1148" t="n">
        <x:v>1</x:v>
      </x:c>
      <x:c r="F1148" t="n">
        <x:v>1</x:v>
      </x:c>
      <x:c r="G1148" t="str">
        <x:v>Fabricación</x:v>
      </x:c>
      <x:c r="H1148" s="37" t="str">
        <x:v>Collar de varilla para sujetar horquilla; fijacion radial y retencion por completar</x:v>
      </x:c>
      <x:c r="I1148" s="37" t="str">
        <x:v>C45E / EN 10083-2</x:v>
      </x:c>
      <x:c r="J1148" t="str">
        <x:v>Cantidades por conjunto; no sumar como total de máquina.</x:v>
      </x:c>
    </x:row>
    <x:row r="1149" ht="30" customHeight="1">
      <x:c r="A1149" t="str">
        <x:v>TT10_C05_PC_26</x:v>
      </x:c>
      <x:c r="B1149" t="str">
        <x:v>Mando exterior y varilla del selector</x:v>
      </x:c>
      <x:c r="C1149" t="n">
        <x:v>18</x:v>
      </x:c>
      <x:c r="D1149" t="str">
        <x:v>TT10_C03_SELECTOR_COLLAR_2</x:v>
      </x:c>
      <x:c r="E1149" t="n">
        <x:v>1</x:v>
      </x:c>
      <x:c r="F1149" t="n">
        <x:v>1</x:v>
      </x:c>
      <x:c r="G1149" t="str">
        <x:v>Fabricación</x:v>
      </x:c>
      <x:c r="H1149" s="37" t="str">
        <x:v>Collar de varilla para sujetar horquilla; fijacion radial y retencion por completar</x:v>
      </x:c>
      <x:c r="I1149" s="37" t="str">
        <x:v>C45E / EN 10083-2</x:v>
      </x:c>
      <x:c r="J1149" t="str">
        <x:v>Cantidades por conjunto; no sumar como total de máquina.</x:v>
      </x:c>
    </x:row>
    <x:row r="1150" ht="30" customHeight="1">
      <x:c r="A1150" t="str">
        <x:v>TT10_C05_PC_26</x:v>
      </x:c>
      <x:c r="B1150" t="str">
        <x:v>Mando exterior y varilla del selector</x:v>
      </x:c>
      <x:c r="C1150" t="n">
        <x:v>20</x:v>
      </x:c>
      <x:c r="D1150" t="str">
        <x:v>TT10_C03_SELECTOR_ENCLAVAMIENTO</x:v>
      </x:c>
      <x:c r="E1150" t="n">
        <x:v>1</x:v>
      </x:c>
      <x:c r="F1150" t="n">
        <x:v>1</x:v>
      </x:c>
      <x:c r="G1150" t="str">
        <x:v>Fabricación</x:v>
      </x:c>
      <x:c r="H1150" s="37" t="str">
        <x:v>Pasador positivoD6; levantar16mm antes de seleccionar y reinsertar; retencion cautiva y mando remoto pendientes</x:v>
      </x:c>
      <x:c r="I1150" s="37" t="str">
        <x:v>C45E / EN 10083-2</x:v>
      </x:c>
      <x:c r="J1150" t="str">
        <x:v>Cantidades por conjunto; no sumar como total de máquina.</x:v>
      </x:c>
    </x:row>
    <x:row r="1151" ht="30" customHeight="1">
      <x:c r="A1151" t="str">
        <x:v>TT10_C05_PC_26</x:v>
      </x:c>
      <x:c r="B1151" t="str">
        <x:v>Mando exterior y varilla del selector</x:v>
      </x:c>
      <x:c r="C1151" t="n">
        <x:v>21</x:v>
      </x:c>
      <x:c r="D1151" t="str">
        <x:v>TT10_C03_SELECTOR_HORQUILLA</x:v>
      </x:c>
      <x:c r="E1151" t="n">
        <x:v>1</x:v>
      </x:c>
      <x:c r="F1151" t="n">
        <x:v>1</x:v>
      </x:c>
      <x:c r="G1151" t="str">
        <x:v>Fabricación</x:v>
      </x:c>
      <x:c r="H1151" s="37" t="str">
        <x:v>Horquilla10 en ranura12; 1 mm nominal por flanco; garras de seleccion con la maquina parada</x:v>
      </x:c>
      <x:c r="I1151" s="37" t="str">
        <x:v>ASTM A36</x:v>
      </x:c>
      <x:c r="J1151" t="str">
        <x:v>Cantidades por conjunto; no sumar como total de máquina.</x:v>
      </x:c>
    </x:row>
    <x:row r="1152" ht="30" customHeight="1">
      <x:c r="A1152" t="str">
        <x:v>TT10_C05_PC_26</x:v>
      </x:c>
      <x:c r="B1152" t="str">
        <x:v>Mando exterior y varilla del selector</x:v>
      </x:c>
      <x:c r="C1152" t="n">
        <x:v>22</x:v>
      </x:c>
      <x:c r="D1152" t="str">
        <x:v>TT10_C03_SELECTOR_MANGUITO</x:v>
      </x:c>
      <x:c r="E1152" t="n">
        <x:v>1</x:v>
      </x:c>
      <x:c r="F1152" t="n">
        <x:v>1</x:v>
      </x:c>
      <x:c r="G1152" t="str">
        <x:v>Fabricación</x:v>
      </x:c>
      <x:c r="H1152" s="37" t="str">
        <x:v>Manguito estriado: neutro X923..979; E+18/M-18; 6 alojamientos D12.2 PCD72 por cara</x:v>
      </x:c>
      <x:c r="I1152" s="37" t="str">
        <x:v>AISI 4140 bonificado</x:v>
      </x:c>
      <x:c r="J1152" t="str">
        <x:v>Cantidades por conjunto; no sumar como total de máquina.</x:v>
      </x:c>
    </x:row>
    <x:row r="1153" ht="30" customHeight="1">
      <x:c r="A1153" t="str">
        <x:v>TT10_C05_PC_26</x:v>
      </x:c>
      <x:c r="B1153" t="str">
        <x:v>Mando exterior y varilla del selector</x:v>
      </x:c>
      <x:c r="C1153" t="n">
        <x:v>25</x:v>
      </x:c>
      <x:c r="D1153" t="str">
        <x:v>TT10_C03_SELECTOR_VARILLA</x:v>
      </x:c>
      <x:c r="E1153" t="n">
        <x:v>1</x:v>
      </x:c>
      <x:c r="F1153" t="n">
        <x:v>1</x:v>
      </x:c>
      <x:c r="G1153" t="str">
        <x:v>Fabricación</x:v>
      </x:c>
      <x:c r="H1153" s="37" t="str">
        <x:v>Varilla selector D16; tres taladrosD6.5 con paso18; E-N-M por pasador positivo</x:v>
      </x:c>
      <x:c r="I1153" s="37" t="str">
        <x:v>C45E / EN 10083-2</x:v>
      </x:c>
      <x:c r="J1153" t="str">
        <x:v>Cantidades por conjunto; no sumar como total de máquina.</x:v>
      </x:c>
    </x:row>
    <x:row r="1154" ht="30" customHeight="1">
      <x:c r="A1154" t="str">
        <x:v>TT10_C05_PC_26</x:v>
      </x:c>
      <x:c r="B1154" t="str">
        <x:v>Mando exterior y varilla del selector</x:v>
      </x:c>
      <x:c r="C1154" t="n">
        <x:v>70</x:v>
      </x:c>
      <x:c r="D1154" t="str">
        <x:v>TT10_C04_SELECTOR_CUBO_E</x:v>
      </x:c>
      <x:c r="E1154" t="n">
        <x:v>1</x:v>
      </x:c>
      <x:c r="F1154" t="n">
        <x:v>1</x:v>
      </x:c>
      <x:c r="G1154" t="str">
        <x:v>Fabricación</x:v>
      </x:c>
      <x:c r="H1154" s="37" t="str">
        <x:v>CuboE con extension; pasoD41 hastaX1062, socketD40H7 y chavetero12x35</x:v>
      </x:c>
      <x:c r="I1154" s="37" t="str">
        <x:v>AISI 4140 bonificado</x:v>
      </x:c>
      <x:c r="J1154" t="str">
        <x:v>Cantidades por conjunto; no sumar como total de máquina.</x:v>
      </x:c>
    </x:row>
    <x:row r="1155" ht="30" customHeight="1">
      <x:c r="A1155" t="str">
        <x:v>TT10_C05_PC_26</x:v>
      </x:c>
      <x:c r="B1155" t="str">
        <x:v>Mando exterior y varilla del selector</x:v>
      </x:c>
      <x:c r="C1155" t="n">
        <x:v>71</x:v>
      </x:c>
      <x:c r="D1155" t="str">
        <x:v>TT10_C04_SELECTOR_EJE</x:v>
      </x:c>
      <x:c r="E1155" t="n">
        <x:v>1</x:v>
      </x:c>
      <x:c r="F1155" t="n">
        <x:v>1</x:v>
      </x:c>
      <x:c r="G1155" t="str">
        <x:v>Fabricación</x:v>
      </x:c>
      <x:c r="H1155" s="37" t="str">
        <x:v>Eje D40h6; extremoX1060; ranuraDIN471D37.5x1.85 enX855.1</x:v>
      </x:c>
      <x:c r="I1155" s="37" t="str">
        <x:v>42CrMo4+QT; pistas58-64HRC</x:v>
      </x:c>
      <x:c r="J1155" t="str">
        <x:v>Cantidades por conjunto; no sumar como total de máquina.</x:v>
      </x:c>
    </x:row>
    <x:row r="1156" ht="30" customHeight="1">
      <x:c r="A1156" t="str">
        <x:v>TT10_C05_PC_26</x:v>
      </x:c>
      <x:c r="B1156" t="str">
        <x:v>Mando exterior y varilla del selector</x:v>
      </x:c>
      <x:c r="C1156" t="n">
        <x:v>126</x:v>
      </x:c>
      <x:c r="D1156" t="str">
        <x:v>TT10_C05_BLOQUE_SELECTOR</x:v>
      </x:c>
      <x:c r="E1156" t="n">
        <x:v>1</x:v>
      </x:c>
      <x:c r="F1156" t="n">
        <x:v>1</x:v>
      </x:c>
      <x:c r="G1156" t="str">
        <x:v>Fabricación</x:v>
      </x:c>
      <x:c r="H1156" s="37" t="str">
        <x:v>BloqueC03 conservado con4M4laterales para retencion cautiva</x:v>
      </x:c>
      <x:c r="I1156" s="37" t="str">
        <x:v>ASTM A36</x:v>
      </x:c>
      <x:c r="J1156" t="str">
        <x:v>Cantidades por conjunto; no sumar como total de máquina.</x:v>
      </x:c>
    </x:row>
    <x:row r="1157" ht="30" customHeight="1">
      <x:c r="A1157" t="str">
        <x:v>TT10_C05_PC_26</x:v>
      </x:c>
      <x:c r="B1157" t="str">
        <x:v>Mando exterior y varilla del selector</x:v>
      </x:c>
      <x:c r="C1157" t="n">
        <x:v>144</x:v>
      </x:c>
      <x:c r="D1157" t="str">
        <x:v>TT10_C05_RETEN_CAUTIVO_SELECTOR</x:v>
      </x:c>
      <x:c r="E1157" t="n">
        <x:v>1</x:v>
      </x:c>
      <x:c r="F1157" t="n">
        <x:v>1</x:v>
      </x:c>
      <x:c r="G1157" t="str">
        <x:v>Fabricación</x:v>
      </x:c>
      <x:c r="H1157" s="37" t="str">
        <x:v>Puente cautivo para pasadorD6;23mm hasta cabeza, permite levantar16mm;4M4 laterales al bloque</x:v>
      </x:c>
      <x:c r="I1157" s="37" t="str">
        <x:v>ASTM A36</x:v>
      </x:c>
      <x:c r="J1157" t="str">
        <x:v>Cantidades por conjunto; no sumar como total de máquina.</x:v>
      </x:c>
    </x:row>
    <x:row r="1158" ht="30" customHeight="1">
      <x:c r="A1158" t="str">
        <x:v>TT10_C05_PC_26</x:v>
      </x:c>
      <x:c r="B1158" t="str">
        <x:v>Mando exterior y varilla del selector</x:v>
      </x:c>
      <x:c r="C1158" t="n">
        <x:v>192</x:v>
      </x:c>
      <x:c r="D1158" t="str">
        <x:v>TT10_D_PALANCA_SELECTOR</x:v>
      </x:c>
      <x:c r="E1158" t="n">
        <x:v>1</x:v>
      </x:c>
      <x:c r="F1158" t="n">
        <x:v>1</x:v>
      </x:c>
      <x:c r="G1158" t="str">
        <x:v>Fabricación</x:v>
      </x:c>
      <x:c r="H1158" s="37" t="str">
        <x:v>Selector E-0-M a altura accesible; transmisión por varilla</x:v>
      </x:c>
      <x:c r="I1158" s="37" t="str">
        <x:v>ASTM A36</x:v>
      </x:c>
      <x:c r="J1158" t="str">
        <x:v>Cantidades por conjunto; no sumar como total de máquina.</x:v>
      </x:c>
    </x:row>
    <x:row r="1159" ht="30" customHeight="1">
      <x:c r="A1159" t="str">
        <x:v>TT10_C05_PC_26</x:v>
      </x:c>
      <x:c r="B1159" t="str">
        <x:v>Mando exterior y varilla del selector</x:v>
      </x:c>
      <x:c r="C1159" t="n">
        <x:v>206</x:v>
      </x:c>
      <x:c r="D1159" t="str">
        <x:v>TT10_D_POSTE_MANDO</x:v>
      </x:c>
      <x:c r="E1159" t="n">
        <x:v>1</x:v>
      </x:c>
      <x:c r="F1159" t="n">
        <x:v>1</x:v>
      </x:c>
      <x:c r="G1159" t="str">
        <x:v>Fabricación</x:v>
      </x:c>
      <x:c r="H1159" s="37" t="str">
        <x:v>Soporte del mando manual fuera del plano del volante</x:v>
      </x:c>
      <x:c r="I1159" s="37" t="str">
        <x:v>ASTM A36</x:v>
      </x:c>
      <x:c r="J1159" t="str">
        <x:v>Cantidades por conjunto; no sumar como total de máquina.</x:v>
      </x:c>
    </x:row>
    <x:row r="1160" ht="30" customHeight="1">
      <x:c r="A1160" t="str">
        <x:v>TT10_C05_PC_26</x:v>
      </x:c>
      <x:c r="B1160" t="str">
        <x:v>Mando exterior y varilla del selector</x:v>
      </x:c>
      <x:c r="C1160" t="n">
        <x:v>212</x:v>
      </x:c>
      <x:c r="D1160" t="str">
        <x:v>TT10_D_ROD_SELECTOR</x:v>
      </x:c>
      <x:c r="E1160" t="n">
        <x:v>1</x:v>
      </x:c>
      <x:c r="F1160" t="n">
        <x:v>1</x:v>
      </x:c>
      <x:c r="G1160" t="str">
        <x:v>Fabricación</x:v>
      </x:c>
      <x:c r="H1160" s="37" t="str">
        <x:v>Eje de conexión geométrica ROD_SELECTOR</x:v>
      </x:c>
      <x:c r="I1160" s="37" t="str">
        <x:v>ASTM A36</x:v>
      </x:c>
      <x:c r="J1160" t="str">
        <x:v>Cantidades por conjunto; no sumar como total de máquina.</x:v>
      </x:c>
    </x:row>
  </x:sheetData>
  <x:pageMargins left="0.7" right="0.7" top="0.75" bottom="0.75" header="0.3" footer="0.3"/>
  <x:drawing xmlns:r="http://schemas.openxmlformats.org/officeDocument/2006/relationships" r:id="R2f251621a5a24597"/>
  <x:tableParts count="1">
    <x:tablePart xmlns:r="http://schemas.openxmlformats.org/officeDocument/2006/relationships" r:id="R0014becc870c472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7" hidden="0" customWidth="1"/>
    <x:col min="2" max="2" width="35" hidden="0" customWidth="1"/>
    <x:col min="3" max="3" width="11" hidden="0" customWidth="1"/>
    <x:col min="4" max="4" width="65" hidden="0" customWidth="1"/>
    <x:col min="5" max="5" width="44" hidden="0" customWidth="1"/>
    <x:col min="6" max="6" width="20" hidden="0" customWidth="1"/>
    <x:col min="7" max="7" width="20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</x:cols>
  <x:sheetData>
    <x:row r="2">
      <x:c r="A2" s="22" t="str">
        <x:v>SESUVECA - TOLVA TROMPO / BOM DEL MODELO ACTIVO</x:v>
      </x:c>
    </x:row>
    <x:row r="3">
      <x:c r="A3" t="str">
        <x:v>Estado</x:v>
      </x:c>
      <x:c r="B3" s="30" t="str">
        <x:v>NO LIBERADA PARA FABRICACIÓN</x:v>
      </x:c>
    </x:row>
    <x:row r="4">
      <x:c r="A4" t="str">
        <x:v>Cód.</x:v>
      </x:c>
      <x:c r="B4" t="n">
        <x:f>COUNTA(B9:B500)</x:f>
        <x:v>492</x:v>
      </x:c>
      <x:c r="C4" t="str">
        <x:v>Instancias</x:v>
      </x:c>
      <x:c r="D4" t="n">
        <x:f>SUM(C9:C500)</x:f>
        <x:v>996</x:v>
      </x:c>
      <x:c r="E4" t="str">
        <x:v>Masa disponible (kg)</x:v>
      </x:c>
      <x:c r="F4" s="29" t="n">
        <x:f>SUM(G9:G500)</x:f>
        <x:v>17378.65736623754</x:v>
      </x:c>
      <x:c r="H4" t="str">
        <x:v>Masas n/d</x:v>
      </x:c>
      <x:c r="I4" t="n">
        <x:f>COUNTBLANK(F9:F500)</x:f>
        <x:v>83</x:v>
      </x:c>
    </x:row>
    <x:row r="5">
      <x:c r="A5" t="str">
        <x:v>Autor</x:v>
      </x:c>
      <x:c r="B5" t="str">
        <x:v>JAVIER ACEVEDO</x:v>
      </x:c>
      <x:c r="D5" t="str">
        <x:v>25/10/2026; fuente: TT10_C05_CONJUNTO.SLDASM, modelo interno C06.</x:v>
      </x:c>
    </x:row>
    <x:row r="6">
      <x:c r="A6" t="str">
        <x:v>Masa disponible excluye masas n/d. Los cajones se cuentan completos aquí; sus chapas se detallan sin sumar dos veces.</x:v>
      </x:c>
    </x:row>
    <x:row r="8" ht="30" customHeight="1">
      <x:c r="A8" s="32" t="str">
        <x:v>Pos.</x:v>
      </x:c>
      <x:c r="B8" s="32" t="str">
        <x:v>Código</x:v>
      </x:c>
      <x:c r="C8" s="32" t="str">
        <x:v>Cantidad</x:v>
      </x:c>
      <x:c r="D8" s="32" t="str">
        <x:v>Descripción de la geometría vigente</x:v>
      </x:c>
      <x:c r="E8" s="32" t="str">
        <x:v>Material / especificación</x:v>
      </x:c>
      <x:c r="F8" s="32" t="str">
        <x:v>Masa unitaria kg</x:v>
      </x:c>
      <x:c r="G8" s="32" t="str">
        <x:v>Masa disponible kg</x:v>
      </x:c>
      <x:c r="H8" s="32" t="str">
        <x:v>Suministro</x:v>
      </x:c>
      <x:c r="I8" s="32" t="str">
        <x:v>Volumen nativo m³</x:v>
      </x:c>
      <x:c r="J8" s="32" t="str">
        <x:v>Archivo nativo</x:v>
      </x:c>
      <x:c r="K8" s="32" t="str">
        <x:v>Base de masa</x:v>
      </x:c>
    </x:row>
    <x:row r="9" ht="32" customHeight="1">
      <x:c r="A9" s="33" t="n">
        <x:v>1</x:v>
      </x:c>
      <x:c r="B9" s="33" t="str">
        <x:v>TT10_22240_N</x:v>
      </x:c>
      <x:c r="C9" s="33" t="n">
        <x:v>1</x:v>
      </x:c>
      <x:c r="D9" s="34" t="str">
        <x:v>SKF22240CC/W33 200x360x98; envolvente sin rodillos</x:v>
      </x:c>
      <x:c r="E9" s="34" t="str">
        <x:v>Conjunto comprado; acero/ fundición según OEM</x:v>
      </x:c>
      <x:c r="F9" s="35" t="n">
        <x:v>43.5</x:v>
      </x:c>
      <x:c r="G9" s="35" t="n">
        <x:f>IF(F9="","",C9*F9)</x:f>
        <x:v>43.5</x:v>
      </x:c>
      <x:c r="H9" s="33" t="str">
        <x:v>Compra</x:v>
      </x:c>
      <x:c r="I9" s="36" t="n">
        <x:v>0.006892070815467962</x:v>
      </x:c>
      <x:c r="J9" s="33" t="str">
        <x:v>C05E_TT10_22240_N.SLDPRT</x:v>
      </x:c>
      <x:c r="K9" s="33" t="str">
        <x:v>Catálogo/fuente conservada</x:v>
      </x:c>
    </x:row>
    <x:row r="10" ht="32" customHeight="1">
      <x:c r="A10" s="33" t="n">
        <x:v>2</x:v>
      </x:c>
      <x:c r="B10" s="33" t="str">
        <x:v>TT10_22240_P</x:v>
      </x:c>
      <x:c r="C10" s="33" t="n">
        <x:v>1</x:v>
      </x:c>
      <x:c r="D10" s="34" t="str">
        <x:v>SKF22240CC/W33 200x360x98; envolvente sin rodillos</x:v>
      </x:c>
      <x:c r="E10" s="34" t="str">
        <x:v>Conjunto comprado; acero/ fundición según OEM</x:v>
      </x:c>
      <x:c r="F10" s="35" t="n">
        <x:v>43.5</x:v>
      </x:c>
      <x:c r="G10" s="35" t="n">
        <x:f>IF(F10="","",C10*F10)</x:f>
        <x:v>43.5</x:v>
      </x:c>
      <x:c r="H10" s="33" t="str">
        <x:v>Compra</x:v>
      </x:c>
      <x:c r="I10" s="36" t="n">
        <x:v>0.006892070815467994</x:v>
      </x:c>
      <x:c r="J10" s="33" t="str">
        <x:v>C05E_TT10_22240_P.SLDPRT</x:v>
      </x:c>
      <x:c r="K10" s="33" t="str">
        <x:v>Catálogo/fuente conservada</x:v>
      </x:c>
    </x:row>
    <x:row r="11" ht="32" customHeight="1">
      <x:c r="A11" s="33" t="n">
        <x:v>3</x:v>
      </x:c>
      <x:c r="B11" s="33" t="str">
        <x:v>TT10_BAP_P0</x:v>
      </x:c>
      <x:c r="C11" s="33" t="n">
        <x:v>32</x:v>
      </x:c>
      <x:c r="D11" s="34" t="str">
        <x:v>Perno ISO4014 M30x140 clase8.8; rosca nominal</x:v>
      </x:c>
      <x:c r="E11" s="34" t="str">
        <x:v>Clase 8.8 / ISO 898-1</x:v>
      </x:c>
      <x:c r="F11" s="35" t="n">
        <x:v>1.04584059281472</x:v>
      </x:c>
      <x:c r="G11" s="35" t="n">
        <x:f>IF(F11="","",C11*F11)</x:f>
        <x:v>33.46689897007104</x:v>
      </x:c>
      <x:c r="H11" s="33" t="str">
        <x:v>Compra</x:v>
      </x:c>
      <x:c r="I11" s="36" t="n">
        <x:v>0.00013322810099550573</x:v>
      </x:c>
      <x:c r="J11" s="33" t="str">
        <x:v>C05E_TT10_BAP_P0.SLDPRT</x:v>
      </x:c>
      <x:c r="K11" s="33" t="str">
        <x:v>CAD_volume_x_specified_density</x:v>
      </x:c>
    </x:row>
    <x:row r="12" ht="32" customHeight="1">
      <x:c r="A12" s="33" t="n">
        <x:v>4</x:v>
      </x:c>
      <x:c r="B12" s="33" t="str">
        <x:v>TT10_BUJE_PIN_N</x:v>
      </x:c>
      <x:c r="C12" s="33" t="n">
        <x:v>1</x:v>
      </x:c>
      <x:c r="D12" s="34" t="str">
        <x:v>Casquillo CuSn12 Ø69 s6 / Ø65.5 H9 final, L85, C0.5 interiores</x:v>
      </x:c>
      <x:c r="E12" s="34" t="str">
        <x:v>CuSn12 / EN 1982</x:v>
      </x:c>
      <x:c r="F12" s="35" t="n">
        <x:v>0.27610017935767134</x:v>
      </x:c>
      <x:c r="G12" s="35" t="n">
        <x:f>IF(F12="","",C12*F12)</x:f>
        <x:v>0.27610017935767134</x:v>
      </x:c>
      <x:c r="H12" s="33" t="str">
        <x:v>Fabricación</x:v>
      </x:c>
      <x:c r="I12" s="36" t="n">
        <x:v>0.00003137502038155356</x:v>
      </x:c>
      <x:c r="J12" s="33" t="str">
        <x:v>C05E_TT10_BUJE_PIN_N.SLDPRT</x:v>
      </x:c>
      <x:c r="K12" s="33" t="str">
        <x:v>CAD_volume_x_specified_density</x:v>
      </x:c>
    </x:row>
    <x:row r="13" ht="32" customHeight="1">
      <x:c r="A13" s="33" t="n">
        <x:v>5</x:v>
      </x:c>
      <x:c r="B13" s="33" t="str">
        <x:v>TT10_BUJE_PIN_P</x:v>
      </x:c>
      <x:c r="C13" s="33" t="n">
        <x:v>1</x:v>
      </x:c>
      <x:c r="D13" s="34" t="str">
        <x:v>Casquillo CuSn12 Ø69 s6 / Ø65.5 H9 final, L85, C0.5 interiores</x:v>
      </x:c>
      <x:c r="E13" s="34" t="str">
        <x:v>CuSn12 / EN 1982</x:v>
      </x:c>
      <x:c r="F13" s="35" t="n">
        <x:v>0.27610017935767134</x:v>
      </x:c>
      <x:c r="G13" s="35" t="n">
        <x:f>IF(F13="","",C13*F13)</x:f>
        <x:v>0.27610017935767134</x:v>
      </x:c>
      <x:c r="H13" s="33" t="str">
        <x:v>Fabricación</x:v>
      </x:c>
      <x:c r="I13" s="36" t="n">
        <x:v>0.00003137502038155356</x:v>
      </x:c>
      <x:c r="J13" s="33" t="str">
        <x:v>C05E_TT10_BUJE_PIN_P.SLDPRT</x:v>
      </x:c>
      <x:c r="K13" s="33" t="str">
        <x:v>CAD_volume_x_specified_density</x:v>
      </x:c>
    </x:row>
    <x:row r="14" ht="32" customHeight="1">
      <x:c r="A14" s="33" t="n">
        <x:v>6</x:v>
      </x:c>
      <x:c r="B14" s="33" t="str">
        <x:v>TT10_C03_ACCESO_PUERTO_N</x:v>
      </x:c>
      <x:c r="C14" s="33" t="n">
        <x:v>1</x:v>
      </x:c>
      <x:c r="D14" s="34" t="str">
        <x:v>Guia de herramienta desde exterior N; puerto nominal rear+15.5/Z+53.7; NO conexion remota al actuador</x:v>
      </x:c>
      <x:c r="E14" s="34" t="str">
        <x:v>ASTM A36</x:v>
      </x:c>
      <x:c r="F14" s="35" t="n">
        <x:v>0.1539283565985772</x:v>
      </x:c>
      <x:c r="G14" s="35" t="n">
        <x:f>IF(F14="","",C14*F14)</x:f>
        <x:v>0.1539283565985772</x:v>
      </x:c>
      <x:c r="H14" s="33" t="str">
        <x:v>Fabricación</x:v>
      </x:c>
      <x:c r="I14" s="36" t="n">
        <x:v>0.00001960870784695251</x:v>
      </x:c>
      <x:c r="J14" s="33" t="str">
        <x:v>C05E_TT10_C03_ACCESO_PUERTO_N.SLDPRT</x:v>
      </x:c>
      <x:c r="K14" s="33" t="str">
        <x:v>CAD_volume_x_specified_density</x:v>
      </x:c>
    </x:row>
    <x:row r="15" ht="32" customHeight="1">
      <x:c r="A15" s="33" t="n">
        <x:v>7</x:v>
      </x:c>
      <x:c r="B15" s="33" t="str">
        <x:v>TT10_C03_ACCESO_PUERTO_P</x:v>
      </x:c>
      <x:c r="C15" s="33" t="n">
        <x:v>1</x:v>
      </x:c>
      <x:c r="D15" s="34" t="str">
        <x:v>Guia de herramienta desde exterior P; puerto nominal rear+15.5/Z+53.7; NO conexion remota al actuador</x:v>
      </x:c>
      <x:c r="E15" s="34" t="str">
        <x:v>ASTM A36</x:v>
      </x:c>
      <x:c r="F15" s="35" t="n">
        <x:v>0.15392835659857768</x:v>
      </x:c>
      <x:c r="G15" s="35" t="n">
        <x:f>IF(F15="","",C15*F15)</x:f>
        <x:v>0.15392835659857768</x:v>
      </x:c>
      <x:c r="H15" s="33" t="str">
        <x:v>Fabricación</x:v>
      </x:c>
      <x:c r="I15" s="36" t="n">
        <x:v>0.00001960870784695257</x:v>
      </x:c>
      <x:c r="J15" s="33" t="str">
        <x:v>C05E_TT10_C03_ACCESO_PUERTO_P.SLDPRT</x:v>
      </x:c>
      <x:c r="K15" s="33" t="str">
        <x:v>CAD_volume_x_specified_density</x:v>
      </x:c>
    </x:row>
    <x:row r="16" ht="32" customHeight="1">
      <x:c r="A16" s="33" t="n">
        <x:v>8</x:v>
      </x:c>
      <x:c r="B16" s="33" t="str">
        <x:v>TT10_C03_CADENA_ESLABON</x:v>
      </x:c>
      <x:c r="C16" s="33" t="n">
        <x:v>122</x:v>
      </x:c>
      <x:c r="D16" s="34" t="str">
        <x:v>Renold16B1: referencia visual de eslabon; no fabricar. Rodillos compartidos representados dos veces</x:v>
      </x:c>
      <x:c r="E16" s="34" t="str">
        <x:v>Equipo comprado Renold</x:v>
      </x:c>
      <x:c r="F16" s="35" t="n">
        <x:v>0.07111999999999999</x:v>
      </x:c>
      <x:c r="G16" s="35" t="n">
        <x:f>IF(F16="","",C16*F16)</x:f>
        <x:v>8.676639999999999</x:v>
      </x:c>
      <x:c r="H16" s="33" t="str">
        <x:v>Compra</x:v>
      </x:c>
      <x:c r="I16" s="36" t="n">
        <x:v>0.000010061549253363657</x:v>
      </x:c>
      <x:c r="J16" s="33" t="str">
        <x:v>C05E_TT10_C03_CADENA_ESLABON.SLDPRT</x:v>
      </x:c>
      <x:c r="K16" s="33" t="str">
        <x:v>Catálogo/fuente conservada</x:v>
      </x:c>
    </x:row>
    <x:row r="17" ht="32" customHeight="1">
      <x:c r="A17" s="33" t="n">
        <x:v>9</x:v>
      </x:c>
      <x:c r="B17" s="33" t="str">
        <x:v>TT10_C03_HK4020_E1</x:v>
      </x:c>
      <x:c r="C17" s="33" t="n">
        <x:v>1</x:v>
      </x:c>
      <x:c r="D17" s="34" t="str">
        <x:v>SKF HK4020; 40x47x20; rodillos y jaula omitidos</x:v>
      </x:c>
      <x:c r="E17" s="34" t="str">
        <x:v>Conjunto comprado; acero/ fundición según OEM</x:v>
      </x:c>
      <x:c r="F17" s="35"/>
      <x:c r="G17" s="35" t="str">
        <x:f>IF(F17="","",C17*F17)</x:f>
      </x:c>
      <x:c r="H17" s="33" t="str">
        <x:v>Compra</x:v>
      </x:c>
      <x:c r="I17" s="36" t="n">
        <x:v>0.000009566149630180507</x:v>
      </x:c>
      <x:c r="J17" s="33" t="str">
        <x:v>C05E_TT10_C03_HK4020_E1.SLDPRT</x:v>
      </x:c>
      <x:c r="K17" s="33" t="str">
        <x:v>OEM_mass_required</x:v>
      </x:c>
    </x:row>
    <x:row r="18" ht="32" customHeight="1">
      <x:c r="A18" s="33" t="n">
        <x:v>10</x:v>
      </x:c>
      <x:c r="B18" s="33" t="str">
        <x:v>TT10_C03_HK4020_E2</x:v>
      </x:c>
      <x:c r="C18" s="33" t="n">
        <x:v>1</x:v>
      </x:c>
      <x:c r="D18" s="34" t="str">
        <x:v>SKF HK4020; 40x47x20; rodillos y jaula omitidos</x:v>
      </x:c>
      <x:c r="E18" s="34" t="str">
        <x:v>Conjunto comprado; acero/ fundición según OEM</x:v>
      </x:c>
      <x:c r="F18" s="35"/>
      <x:c r="G18" s="35" t="str">
        <x:f>IF(F18="","",C18*F18)</x:f>
      </x:c>
      <x:c r="H18" s="33" t="str">
        <x:v>Compra</x:v>
      </x:c>
      <x:c r="I18" s="36" t="n">
        <x:v>0.000009566149630180612</x:v>
      </x:c>
      <x:c r="J18" s="33" t="str">
        <x:v>C05E_TT10_C03_HK4020_E2.SLDPRT</x:v>
      </x:c>
      <x:c r="K18" s="33" t="str">
        <x:v>OEM_mass_required</x:v>
      </x:c>
    </x:row>
    <x:row r="19" ht="32" customHeight="1">
      <x:c r="A19" s="33" t="n">
        <x:v>11</x:v>
      </x:c>
      <x:c r="B19" s="33" t="str">
        <x:v>TT10_C03_HK4020_M1</x:v>
      </x:c>
      <x:c r="C19" s="33" t="n">
        <x:v>1</x:v>
      </x:c>
      <x:c r="D19" s="34" t="str">
        <x:v>SKF HK4020; 40x47x20; rodillos y jaula omitidos</x:v>
      </x:c>
      <x:c r="E19" s="34" t="str">
        <x:v>Conjunto comprado; acero/ fundición según OEM</x:v>
      </x:c>
      <x:c r="F19" s="35"/>
      <x:c r="G19" s="35" t="str">
        <x:f>IF(F19="","",C19*F19)</x:f>
      </x:c>
      <x:c r="H19" s="33" t="str">
        <x:v>Compra</x:v>
      </x:c>
      <x:c r="I19" s="36" t="n">
        <x:v>0.000009566149630180558</x:v>
      </x:c>
      <x:c r="J19" s="33" t="str">
        <x:v>C05E_TT10_C03_HK4020_M1.SLDPRT</x:v>
      </x:c>
      <x:c r="K19" s="33" t="str">
        <x:v>OEM_mass_required</x:v>
      </x:c>
    </x:row>
    <x:row r="20" ht="32" customHeight="1">
      <x:c r="A20" s="33" t="n">
        <x:v>12</x:v>
      </x:c>
      <x:c r="B20" s="33" t="str">
        <x:v>TT10_C03_HK4020_M2</x:v>
      </x:c>
      <x:c r="C20" s="33" t="n">
        <x:v>1</x:v>
      </x:c>
      <x:c r="D20" s="34" t="str">
        <x:v>SKF HK4020; 40x47x20; rodillos y jaula omitidos</x:v>
      </x:c>
      <x:c r="E20" s="34" t="str">
        <x:v>Conjunto comprado; acero/ fundición según OEM</x:v>
      </x:c>
      <x:c r="F20" s="35"/>
      <x:c r="G20" s="35" t="str">
        <x:f>IF(F20="","",C20*F20)</x:f>
      </x:c>
      <x:c r="H20" s="33" t="str">
        <x:v>Compra</x:v>
      </x:c>
      <x:c r="I20" s="36" t="n">
        <x:v>0.000009566149630180558</x:v>
      </x:c>
      <x:c r="J20" s="33" t="str">
        <x:v>C05E_TT10_C03_HK4020_M2.SLDPRT</x:v>
      </x:c>
      <x:c r="K20" s="33" t="str">
        <x:v>OEM_mass_required</x:v>
      </x:c>
    </x:row>
    <x:row r="21" ht="32" customHeight="1">
      <x:c r="A21" s="33" t="n">
        <x:v>13</x:v>
      </x:c>
      <x:c r="B21" s="33" t="str">
        <x:v>TT10_C03_REGISTRO_PUERTO_N</x:v>
      </x:c>
      <x:c r="C21" s="33" t="n">
        <x:v>1</x:v>
      </x:c>
      <x:c r="D21" s="34" t="str">
        <x:v>Registro exterior desmontable3 con accesoD50; fijaciones/proteccion de puesto por completar</x:v>
      </x:c>
      <x:c r="E21" s="34" t="str">
        <x:v>ASTM A36</x:v>
      </x:c>
      <x:c r="F21" s="35" t="n">
        <x:v>0.8486596831300074</x:v>
      </x:c>
      <x:c r="G21" s="35" t="n">
        <x:f>IF(F21="","",C21*F21)</x:f>
        <x:v>0.8486596831300074</x:v>
      </x:c>
      <x:c r="H21" s="33" t="str">
        <x:v>Fabricación</x:v>
      </x:c>
      <x:c r="I21" s="36" t="n">
        <x:v>0.00010810951377452323</x:v>
      </x:c>
      <x:c r="J21" s="33" t="str">
        <x:v>C05E_TT10_C03_REGISTRO_PUERTO_N.SLDPRT</x:v>
      </x:c>
      <x:c r="K21" s="33" t="str">
        <x:v>CAD_volume_x_specified_density</x:v>
      </x:c>
    </x:row>
    <x:row r="22" ht="32" customHeight="1">
      <x:c r="A22" s="33" t="n">
        <x:v>14</x:v>
      </x:c>
      <x:c r="B22" s="33" t="str">
        <x:v>TT10_C03_REGISTRO_PUERTO_P</x:v>
      </x:c>
      <x:c r="C22" s="33" t="n">
        <x:v>1</x:v>
      </x:c>
      <x:c r="D22" s="34" t="str">
        <x:v>Registro exterior desmontable3 con accesoD50; fijaciones/proteccion de puesto por completar</x:v>
      </x:c>
      <x:c r="E22" s="34" t="str">
        <x:v>ASTM A36</x:v>
      </x:c>
      <x:c r="F22" s="35" t="n">
        <x:v>0.8486596831300074</x:v>
      </x:c>
      <x:c r="G22" s="35" t="n">
        <x:f>IF(F22="","",C22*F22)</x:f>
        <x:v>0.8486596831300074</x:v>
      </x:c>
      <x:c r="H22" s="33" t="str">
        <x:v>Fabricación</x:v>
      </x:c>
      <x:c r="I22" s="36" t="n">
        <x:v>0.00010810951377452323</x:v>
      </x:c>
      <x:c r="J22" s="33" t="str">
        <x:v>C05E_TT10_C03_REGISTRO_PUERTO_P.SLDPRT</x:v>
      </x:c>
      <x:c r="K22" s="33" t="str">
        <x:v>CAD_volume_x_specified_density</x:v>
      </x:c>
    </x:row>
    <x:row r="23" ht="32" customHeight="1">
      <x:c r="A23" s="33" t="n">
        <x:v>15</x:v>
      </x:c>
      <x:c r="B23" s="33" t="str">
        <x:v>TT10_C03_SELECTOR_6008_1</x:v>
      </x:c>
      <x:c r="C23" s="33" t="n">
        <x:v>1</x:v>
      </x:c>
      <x:c r="D23" s="34" t="str">
        <x:v>SKF6008 40x68x15; contorno de interfaz</x:v>
      </x:c>
      <x:c r="E23" s="34" t="str">
        <x:v>Conjunto comprado; acero/ fundición según OEM</x:v>
      </x:c>
      <x:c r="F23" s="35"/>
      <x:c r="G23" s="35" t="str">
        <x:f>IF(F23="","",C23*F23)</x:f>
      </x:c>
      <x:c r="H23" s="33" t="str">
        <x:v>Compra</x:v>
      </x:c>
      <x:c r="I23" s="36" t="n">
        <x:v>0.00003562566069170795</x:v>
      </x:c>
      <x:c r="J23" s="33" t="str">
        <x:v>C05E_TT10_C03_SELECTOR_6008_1.SLDPRT</x:v>
      </x:c>
      <x:c r="K23" s="33" t="str">
        <x:v>OEM_mass_required</x:v>
      </x:c>
    </x:row>
    <x:row r="24" ht="32" customHeight="1">
      <x:c r="A24" s="33" t="n">
        <x:v>16</x:v>
      </x:c>
      <x:c r="B24" s="33" t="str">
        <x:v>TT10_C03_SELECTOR_6008_2</x:v>
      </x:c>
      <x:c r="C24" s="33" t="n">
        <x:v>1</x:v>
      </x:c>
      <x:c r="D24" s="34" t="str">
        <x:v>SKF6008 40x68x15; contorno de interfaz</x:v>
      </x:c>
      <x:c r="E24" s="34" t="str">
        <x:v>Conjunto comprado; acero/ fundición según OEM</x:v>
      </x:c>
      <x:c r="F24" s="35"/>
      <x:c r="G24" s="35" t="str">
        <x:f>IF(F24="","",C24*F24)</x:f>
      </x:c>
      <x:c r="H24" s="33" t="str">
        <x:v>Compra</x:v>
      </x:c>
      <x:c r="I24" s="36" t="n">
        <x:v>0.00003562566069170768</x:v>
      </x:c>
      <x:c r="J24" s="33" t="str">
        <x:v>C05E_TT10_C03_SELECTOR_6008_2.SLDPRT</x:v>
      </x:c>
      <x:c r="K24" s="33" t="str">
        <x:v>OEM_mass_required</x:v>
      </x:c>
    </x:row>
    <x:row r="25" ht="32" customHeight="1">
      <x:c r="A25" s="33" t="n">
        <x:v>17</x:v>
      </x:c>
      <x:c r="B25" s="33" t="str">
        <x:v>TT10_C03_SELECTOR_COLLAR_1</x:v>
      </x:c>
      <x:c r="C25" s="33" t="n">
        <x:v>1</x:v>
      </x:c>
      <x:c r="D25" s="34" t="str">
        <x:v>Collar de varilla para sujetar horquilla; fijacion radial y retencion por completar</x:v>
      </x:c>
      <x:c r="E25" s="34" t="str">
        <x:v>C45E / EN 10083-2</x:v>
      </x:c>
      <x:c r="F25" s="35" t="n">
        <x:v>0.009666075838509584</x:v>
      </x:c>
      <x:c r="G25" s="35" t="n">
        <x:f>IF(F25="","",C25*F25)</x:f>
        <x:v>0.009666075838509584</x:v>
      </x:c>
      <x:c r="H25" s="33" t="str">
        <x:v>Fabricación</x:v>
      </x:c>
      <x:c r="I25" s="36" t="n">
        <x:v>0.0000012313472405744694</x:v>
      </x:c>
      <x:c r="J25" s="33" t="str">
        <x:v>C05E_TT10_C03_SELECTOR_COLLAR_1.SLDPRT</x:v>
      </x:c>
      <x:c r="K25" s="33" t="str">
        <x:v>CAD_volume_x_specified_density</x:v>
      </x:c>
    </x:row>
    <x:row r="26" ht="32" customHeight="1">
      <x:c r="A26" s="33" t="n">
        <x:v>18</x:v>
      </x:c>
      <x:c r="B26" s="33" t="str">
        <x:v>TT10_C03_SELECTOR_COLLAR_2</x:v>
      </x:c>
      <x:c r="C26" s="33" t="n">
        <x:v>1</x:v>
      </x:c>
      <x:c r="D26" s="34" t="str">
        <x:v>Collar de varilla para sujetar horquilla; fijacion radial y retencion por completar</x:v>
      </x:c>
      <x:c r="E26" s="34" t="str">
        <x:v>C45E / EN 10083-2</x:v>
      </x:c>
      <x:c r="F26" s="35" t="n">
        <x:v>0.009666075838509584</x:v>
      </x:c>
      <x:c r="G26" s="35" t="n">
        <x:f>IF(F26="","",C26*F26)</x:f>
        <x:v>0.009666075838509584</x:v>
      </x:c>
      <x:c r="H26" s="33" t="str">
        <x:v>Fabricación</x:v>
      </x:c>
      <x:c r="I26" s="36" t="n">
        <x:v>0.0000012313472405744694</x:v>
      </x:c>
      <x:c r="J26" s="33" t="str">
        <x:v>C05E_TT10_C03_SELECTOR_COLLAR_2.SLDPRT</x:v>
      </x:c>
      <x:c r="K26" s="33" t="str">
        <x:v>CAD_volume_x_specified_density</x:v>
      </x:c>
    </x:row>
    <x:row r="27" ht="32" customHeight="1">
      <x:c r="A27" s="33" t="n">
        <x:v>19</x:v>
      </x:c>
      <x:c r="B27" s="33" t="str">
        <x:v>TT10_C03_SELECTOR_CUBIERTA</x:v>
      </x:c>
      <x:c r="C27" s="33" t="n">
        <x:v>1</x:v>
      </x:c>
      <x:c r="D27" s="34" t="str">
        <x:v>Cubierta desmontable3; ranura50x36 para recorrido completo; cierreM6 por detallar</x:v>
      </x:c>
      <x:c r="E27" s="34" t="str">
        <x:v>ASTM A36</x:v>
      </x:c>
      <x:c r="F27" s="35" t="n">
        <x:v>0.4830105000000181</x:v>
      </x:c>
      <x:c r="G27" s="35" t="n">
        <x:f>IF(F27="","",C27*F27)</x:f>
        <x:v>0.4830105000000181</x:v>
      </x:c>
      <x:c r="H27" s="33" t="str">
        <x:v>Fabricación</x:v>
      </x:c>
      <x:c r="I27" s="36" t="n">
        <x:v>0.0000615300000000023</x:v>
      </x:c>
      <x:c r="J27" s="33" t="str">
        <x:v>C05E_TT10_C03_SELECTOR_CUBIERTA.SLDPRT</x:v>
      </x:c>
      <x:c r="K27" s="33" t="str">
        <x:v>CAD_volume_x_specified_density</x:v>
      </x:c>
    </x:row>
    <x:row r="28" ht="32" customHeight="1">
      <x:c r="A28" s="33" t="n">
        <x:v>20</x:v>
      </x:c>
      <x:c r="B28" s="33" t="str">
        <x:v>TT10_C03_SELECTOR_ENCLAVAMIENTO</x:v>
      </x:c>
      <x:c r="C28" s="33" t="n">
        <x:v>1</x:v>
      </x:c>
      <x:c r="D28" s="34" t="str">
        <x:v>Pasador positivoD6; levantar16mm antes de seleccionar y reinsertar; retencion cautiva y mando remoto pendientes</x:v>
      </x:c>
      <x:c r="E28" s="34" t="str">
        <x:v>C45E / EN 10083-2</x:v>
      </x:c>
      <x:c r="F28" s="35" t="n">
        <x:v>0.009396032387989176</x:v>
      </x:c>
      <x:c r="G28" s="35" t="n">
        <x:f>IF(F28="","",C28*F28)</x:f>
        <x:v>0.009396032387989176</x:v>
      </x:c>
      <x:c r="H28" s="33" t="str">
        <x:v>Fabricación</x:v>
      </x:c>
      <x:c r="I28" s="36" t="n">
        <x:v>0.0000011969468010177294</x:v>
      </x:c>
      <x:c r="J28" s="33" t="str">
        <x:v>C05E_TT10_C03_SELECTOR_ENCLAVAMIENTO.SLDPRT</x:v>
      </x:c>
      <x:c r="K28" s="33" t="str">
        <x:v>CAD_volume_x_specified_density</x:v>
      </x:c>
    </x:row>
    <x:row r="29" ht="32" customHeight="1">
      <x:c r="A29" s="33" t="n">
        <x:v>21</x:v>
      </x:c>
      <x:c r="B29" s="33" t="str">
        <x:v>TT10_C03_SELECTOR_HORQUILLA</x:v>
      </x:c>
      <x:c r="C29" s="33" t="n">
        <x:v>1</x:v>
      </x:c>
      <x:c r="D29" s="34" t="str">
        <x:v>Horquilla10 en ranura12; 1 mm nominal por flanco; garras de seleccion con la maquina parada</x:v>
      </x:c>
      <x:c r="E29" s="34" t="str">
        <x:v>ASTM A36</x:v>
      </x:c>
      <x:c r="F29" s="35" t="n">
        <x:v>0.4431621791438086</x:v>
      </x:c>
      <x:c r="G29" s="35" t="n">
        <x:f>IF(F29="","",C29*F29)</x:f>
        <x:v>0.4431621791438086</x:v>
      </x:c>
      <x:c r="H29" s="33" t="str">
        <x:v>Fabricación</x:v>
      </x:c>
      <x:c r="I29" s="36" t="n">
        <x:v>0.00005645378078265078</x:v>
      </x:c>
      <x:c r="J29" s="33" t="str">
        <x:v>C05E_TT10_C03_SELECTOR_HORQUILLA.SLDPRT</x:v>
      </x:c>
      <x:c r="K29" s="33" t="str">
        <x:v>CAD_volume_x_specified_density</x:v>
      </x:c>
    </x:row>
    <x:row r="30" ht="32" customHeight="1">
      <x:c r="A30" s="33" t="n">
        <x:v>22</x:v>
      </x:c>
      <x:c r="B30" s="33" t="str">
        <x:v>TT10_C03_SELECTOR_MANGUITO</x:v>
      </x:c>
      <x:c r="C30" s="33" t="n">
        <x:v>1</x:v>
      </x:c>
      <x:c r="D30" s="34" t="str">
        <x:v>Manguito estriado: neutro X923..979; E+18/M-18; 6 alojamientos D12.2 PCD72 por cara</x:v>
      </x:c>
      <x:c r="E30" s="34" t="str">
        <x:v>AISI 4140 bonificado</x:v>
      </x:c>
      <x:c r="F30" s="35" t="n">
        <x:v>1.8646130918460626</x:v>
      </x:c>
      <x:c r="G30" s="35" t="n">
        <x:f>IF(F30="","",C30*F30)</x:f>
        <x:v>1.8646130918460626</x:v>
      </x:c>
      <x:c r="H30" s="33" t="str">
        <x:v>Fabricación</x:v>
      </x:c>
      <x:c r="I30" s="36" t="n">
        <x:v>0.00023753033017147294</x:v>
      </x:c>
      <x:c r="J30" s="33" t="str">
        <x:v>C05E_TT10_C03_SELECTOR_MANGUITO.SLDPRT</x:v>
      </x:c>
      <x:c r="K30" s="33" t="str">
        <x:v>CAD_volume_x_specified_density</x:v>
      </x:c>
    </x:row>
    <x:row r="31" ht="32" customHeight="1">
      <x:c r="A31" s="33" t="n">
        <x:v>23</x:v>
      </x:c>
      <x:c r="B31" s="33" t="str">
        <x:v>TT10_C03_SELECTOR_PARED_E</x:v>
      </x:c>
      <x:c r="C31" s="33" t="n">
        <x:v>1</x:v>
      </x:c>
      <x:c r="D31" s="34" t="str">
        <x:v>Pared mecanizada8; roscasM6; tapa de retencion y asiento axial por cadena de cotas</x:v>
      </x:c>
      <x:c r="E31" s="34" t="str">
        <x:v>ASTM A36</x:v>
      </x:c>
      <x:c r="F31" s="35" t="n">
        <x:v>2.3864925476085377</x:v>
      </x:c>
      <x:c r="G31" s="35" t="n">
        <x:f>IF(F31="","",C31*F31)</x:f>
        <x:v>2.3864925476085377</x:v>
      </x:c>
      <x:c r="H31" s="33" t="str">
        <x:v>Fabricación</x:v>
      </x:c>
      <x:c r="I31" s="36" t="n">
        <x:v>0.0003040117895042723</x:v>
      </x:c>
      <x:c r="J31" s="33" t="str">
        <x:v>C05E_TT10_C03_SELECTOR_PARED_E.SLDPRT</x:v>
      </x:c>
      <x:c r="K31" s="33" t="str">
        <x:v>CAD_volume_x_specified_density</x:v>
      </x:c>
    </x:row>
    <x:row r="32" ht="32" customHeight="1">
      <x:c r="A32" s="33" t="n">
        <x:v>24</x:v>
      </x:c>
      <x:c r="B32" s="33" t="str">
        <x:v>TT10_C03_SELECTOR_PARED_M</x:v>
      </x:c>
      <x:c r="C32" s="33" t="n">
        <x:v>1</x:v>
      </x:c>
      <x:c r="D32" s="34" t="str">
        <x:v>Pared mecanizada8; roscasM6; tapa de retencion y asiento axial por cadena de cotas</x:v>
      </x:c>
      <x:c r="E32" s="34" t="str">
        <x:v>ASTM A36</x:v>
      </x:c>
      <x:c r="F32" s="35" t="n">
        <x:v>2.3864925476085377</x:v>
      </x:c>
      <x:c r="G32" s="35" t="n">
        <x:f>IF(F32="","",C32*F32)</x:f>
        <x:v>2.3864925476085377</x:v>
      </x:c>
      <x:c r="H32" s="33" t="str">
        <x:v>Fabricación</x:v>
      </x:c>
      <x:c r="I32" s="36" t="n">
        <x:v>0.0003040117895042723</x:v>
      </x:c>
      <x:c r="J32" s="33" t="str">
        <x:v>C05E_TT10_C03_SELECTOR_PARED_M.SLDPRT</x:v>
      </x:c>
      <x:c r="K32" s="33" t="str">
        <x:v>CAD_volume_x_specified_density</x:v>
      </x:c>
    </x:row>
    <x:row r="33" ht="32" customHeight="1">
      <x:c r="A33" s="33" t="n">
        <x:v>25</x:v>
      </x:c>
      <x:c r="B33" s="33" t="str">
        <x:v>TT10_C03_SELECTOR_VARILLA</x:v>
      </x:c>
      <x:c r="C33" s="33" t="n">
        <x:v>1</x:v>
      </x:c>
      <x:c r="D33" s="34" t="str">
        <x:v>Varilla selector D16; tres taladrosD6.5 con paso18; E-N-M por pasador positivo</x:v>
      </x:c>
      <x:c r="E33" s="34" t="str">
        <x:v>C45E / EN 10083-2</x:v>
      </x:c>
      <x:c r="F33" s="35" t="n">
        <x:v>0.2718644073740423</x:v>
      </x:c>
      <x:c r="G33" s="35" t="n">
        <x:f>IF(F33="","",C33*F33)</x:f>
        <x:v>0.2718644073740423</x:v>
      </x:c>
      <x:c r="H33" s="33" t="str">
        <x:v>Fabricación</x:v>
      </x:c>
      <x:c r="I33" s="36" t="n">
        <x:v>0.00003463240858268055</x:v>
      </x:c>
      <x:c r="J33" s="33" t="str">
        <x:v>C05E_TT10_C03_SELECTOR_VARILLA.SLDPRT</x:v>
      </x:c>
      <x:c r="K33" s="33" t="str">
        <x:v>CAD_volume_x_specified_density</x:v>
      </x:c>
    </x:row>
    <x:row r="34" ht="32" customHeight="1">
      <x:c r="A34" s="33" t="n">
        <x:v>26</x:v>
      </x:c>
      <x:c r="B34" s="33" t="str">
        <x:v>TT10_C03_TAPA_RETENCION_E</x:v>
      </x:c>
      <x:c r="C34" s="33" t="n">
        <x:v>1</x:v>
      </x:c>
      <x:c r="D34" s="34" t="str">
        <x:v>Tapa estacionaria: labio axial para cuboD100, pasoD92 libre al manguitoD90; junta axial0.2 por ajustar</x:v>
      </x:c>
      <x:c r="E34" s="34" t="str">
        <x:v>ASTM A36</x:v>
      </x:c>
      <x:c r="F34" s="35" t="n">
        <x:v>0.1528105601216403</x:v>
      </x:c>
      <x:c r="G34" s="35" t="n">
        <x:f>IF(F34="","",C34*F34)</x:f>
        <x:v>0.1528105601216403</x:v>
      </x:c>
      <x:c r="H34" s="33" t="str">
        <x:v>Fabricación</x:v>
      </x:c>
      <x:c r="I34" s="36" t="n">
        <x:v>0.000019466313391291758</x:v>
      </x:c>
      <x:c r="J34" s="33" t="str">
        <x:v>C05E_TT10_C03_TAPA_RETENCION_E.SLDPRT</x:v>
      </x:c>
      <x:c r="K34" s="33" t="str">
        <x:v>CAD_volume_x_specified_density</x:v>
      </x:c>
    </x:row>
    <x:row r="35" ht="32" customHeight="1">
      <x:c r="A35" s="33" t="n">
        <x:v>27</x:v>
      </x:c>
      <x:c r="B35" s="33" t="str">
        <x:v>TT10_C03_TAPA_RETENCION_M</x:v>
      </x:c>
      <x:c r="C35" s="33" t="n">
        <x:v>1</x:v>
      </x:c>
      <x:c r="D35" s="34" t="str">
        <x:v>Tapa estacionaria: labio axial para cuboD100, pasoD92 libre al manguitoD90; junta axial0.2 por ajustar</x:v>
      </x:c>
      <x:c r="E35" s="34" t="str">
        <x:v>ASTM A36</x:v>
      </x:c>
      <x:c r="F35" s="35" t="n">
        <x:v>0.1528105601216403</x:v>
      </x:c>
      <x:c r="G35" s="35" t="n">
        <x:f>IF(F35="","",C35*F35)</x:f>
        <x:v>0.1528105601216403</x:v>
      </x:c>
      <x:c r="H35" s="33" t="str">
        <x:v>Fabricación</x:v>
      </x:c>
      <x:c r="I35" s="36" t="n">
        <x:v>0.000019466313391291758</x:v>
      </x:c>
      <x:c r="J35" s="33" t="str">
        <x:v>C05E_TT10_C03_TAPA_RETENCION_M.SLDPRT</x:v>
      </x:c>
      <x:c r="K35" s="33" t="str">
        <x:v>CAD_volume_x_specified_density</x:v>
      </x:c>
    </x:row>
    <x:row r="36" ht="32" customHeight="1">
      <x:c r="A36" s="33" t="n">
        <x:v>28</x:v>
      </x:c>
      <x:c r="B36" s="33" t="str">
        <x:v>TT10_C04_ACOPLE_0</x:v>
      </x:c>
      <x:c r="C36" s="33" t="n">
        <x:v>1</x:v>
      </x:c>
      <x:c r="D36" s="34" t="str">
        <x:v>Brida110x8,PCD82/6M8; bore30H7; asiento25, desmontaje axial</x:v>
      </x:c>
      <x:c r="E36" s="34" t="str">
        <x:v>C45E / EN 10083-2</x:v>
      </x:c>
      <x:c r="F36" s="35" t="n">
        <x:v>0.8336965820092869</x:v>
      </x:c>
      <x:c r="G36" s="35" t="n">
        <x:f>IF(F36="","",C36*F36)</x:f>
        <x:v>0.8336965820092869</x:v>
      </x:c>
      <x:c r="H36" s="33" t="str">
        <x:v>Fabricación</x:v>
      </x:c>
      <x:c r="I36" s="36" t="n">
        <x:v>0.00010620338624322126</x:v>
      </x:c>
      <x:c r="J36" s="33" t="str">
        <x:v>C05E_TT10_C04_ACOPLE_0.SLDPRT</x:v>
      </x:c>
      <x:c r="K36" s="33" t="str">
        <x:v>CAD_volume_x_specified_density</x:v>
      </x:c>
    </x:row>
    <x:row r="37" ht="32" customHeight="1">
      <x:c r="A37" s="33" t="n">
        <x:v>29</x:v>
      </x:c>
      <x:c r="B37" s="33" t="str">
        <x:v>TT10_C04_ACOPLE_1</x:v>
      </x:c>
      <x:c r="C37" s="33" t="n">
        <x:v>1</x:v>
      </x:c>
      <x:c r="D37" s="34" t="str">
        <x:v>Brida110x8,PCD82/6M8; bore30H7; asiento30, desmontaje axial</x:v>
      </x:c>
      <x:c r="E37" s="34" t="str">
        <x:v>C45E / EN 10083-2</x:v>
      </x:c>
      <x:c r="F37" s="35" t="n">
        <x:v>0.8698921402067635</x:v>
      </x:c>
      <x:c r="G37" s="35" t="n">
        <x:f>IF(F37="","",C37*F37)</x:f>
        <x:v>0.8698921402067635</x:v>
      </x:c>
      <x:c r="H37" s="33" t="str">
        <x:v>Fabricación</x:v>
      </x:c>
      <x:c r="I37" s="36" t="n">
        <x:v>0.00011081428537665777</x:v>
      </x:c>
      <x:c r="J37" s="33" t="str">
        <x:v>C05E_TT10_C04_ACOPLE_1.SLDPRT</x:v>
      </x:c>
      <x:c r="K37" s="33" t="str">
        <x:v>CAD_volume_x_specified_density</x:v>
      </x:c>
    </x:row>
    <x:row r="38" ht="32" customHeight="1">
      <x:c r="A38" s="33" t="n">
        <x:v>30</x:v>
      </x:c>
      <x:c r="B38" s="33" t="str">
        <x:v>TT10_C04_ACOPLE_B8_0</x:v>
      </x:c>
      <x:c r="C38" s="33" t="n">
        <x:v>4</x:v>
      </x:c>
      <x:c r="D38" s="34" t="str">
        <x:v>M8x25,8.8; cabeza exterior; apriete por plano</x:v>
      </x:c>
      <x:c r="E38" s="34" t="str">
        <x:v>Clase 10.9 / ISO 898-1</x:v>
      </x:c>
      <x:c r="F38" s="35" t="n">
        <x:v>0.015953837722502133</x:v>
      </x:c>
      <x:c r="G38" s="35" t="n">
        <x:f>IF(F38="","",C38*F38)</x:f>
        <x:v>0.06381535089000853</x:v>
      </x:c>
      <x:c r="H38" s="33" t="str">
        <x:v>Compra</x:v>
      </x:c>
      <x:c r="I38" s="36" t="n">
        <x:v>0.000002032336015605367</x:v>
      </x:c>
      <x:c r="J38" s="33" t="str">
        <x:v>C05E_TT10_C04_ACOPLE_B8_0.SLDPRT</x:v>
      </x:c>
      <x:c r="K38" s="33" t="str">
        <x:v>CAD_volume_x_specified_density</x:v>
      </x:c>
    </x:row>
    <x:row r="39" ht="32" customHeight="1">
      <x:c r="A39" s="33" t="n">
        <x:v>31</x:v>
      </x:c>
      <x:c r="B39" s="33" t="str">
        <x:v>TT10_C04_ACOPLE_B8_4</x:v>
      </x:c>
      <x:c r="C39" s="33" t="n">
        <x:v>2</x:v>
      </x:c>
      <x:c r="D39" s="34" t="str">
        <x:v>M8x25,8.8; cabeza exterior; apriete por plano</x:v>
      </x:c>
      <x:c r="E39" s="34" t="str">
        <x:v>Clase 10.9 / ISO 898-1</x:v>
      </x:c>
      <x:c r="F39" s="35" t="n">
        <x:v>0.01595383772250211</x:v>
      </x:c>
      <x:c r="G39" s="35" t="n">
        <x:f>IF(F39="","",C39*F39)</x:f>
        <x:v>0.03190767544500422</x:v>
      </x:c>
      <x:c r="H39" s="33" t="str">
        <x:v>Compra</x:v>
      </x:c>
      <x:c r="I39" s="36" t="n">
        <x:v>0.000002032336015605364</x:v>
      </x:c>
      <x:c r="J39" s="33" t="str">
        <x:v>C05E_TT10_C04_ACOPLE_B8_4.SLDPRT</x:v>
      </x:c>
      <x:c r="K39" s="33" t="str">
        <x:v>CAD_volume_x_specified_density</x:v>
      </x:c>
    </x:row>
    <x:row r="40" ht="32" customHeight="1">
      <x:c r="A40" s="33" t="n">
        <x:v>32</x:v>
      </x:c>
      <x:c r="B40" s="33" t="str">
        <x:v>TT10_C04_ACOPLE_N8_0</x:v>
      </x:c>
      <x:c r="C40" s="33" t="n">
        <x:v>4</x:v>
      </x:c>
      <x:c r="D40" s="34" t="str">
        <x:v>TuercaM8 clase8, autoblocante nominal</x:v>
      </x:c>
      <x:c r="E40" s="34" t="str">
        <x:v>Tuerca clase 10 / ISO 898-2</x:v>
      </x:c>
      <x:c r="F40" s="35" t="n">
        <x:v>0.004903135670159075</x:v>
      </x:c>
      <x:c r="G40" s="35" t="n">
        <x:f>IF(F40="","",C40*F40)</x:f>
        <x:v>0.0196125426806363</x:v>
      </x:c>
      <x:c r="H40" s="33" t="str">
        <x:v>Compra</x:v>
      </x:c>
      <x:c r="I40" s="36" t="n">
        <x:v>6.246032700839587e-7</x:v>
      </x:c>
      <x:c r="J40" s="33" t="str">
        <x:v>C05E_TT10_C04_ACOPLE_N8_0.SLDPRT</x:v>
      </x:c>
      <x:c r="K40" s="33" t="str">
        <x:v>CAD_volume_x_specified_density</x:v>
      </x:c>
    </x:row>
    <x:row r="41" ht="32" customHeight="1">
      <x:c r="A41" s="33" t="n">
        <x:v>33</x:v>
      </x:c>
      <x:c r="B41" s="33" t="str">
        <x:v>TT10_C04_ACOPLE_N8_2</x:v>
      </x:c>
      <x:c r="C41" s="33" t="n">
        <x:v>2</x:v>
      </x:c>
      <x:c r="D41" s="34" t="str">
        <x:v>TuercaM8 clase8, autoblocante nominal</x:v>
      </x:c>
      <x:c r="E41" s="34" t="str">
        <x:v>Tuerca clase 10 / ISO 898-2</x:v>
      </x:c>
      <x:c r="F41" s="35" t="n">
        <x:v>0.004903135670158967</x:v>
      </x:c>
      <x:c r="G41" s="35" t="n">
        <x:f>IF(F41="","",C41*F41)</x:f>
        <x:v>0.009806271340317934</x:v>
      </x:c>
      <x:c r="H41" s="33" t="str">
        <x:v>Compra</x:v>
      </x:c>
      <x:c r="I41" s="36" t="n">
        <x:v>6.246032700839448e-7</x:v>
      </x:c>
      <x:c r="J41" s="33" t="str">
        <x:v>C05E_TT10_C04_ACOPLE_N8_2.SLDPRT</x:v>
      </x:c>
      <x:c r="K41" s="33" t="str">
        <x:v>CAD_volume_x_specified_density</x:v>
      </x:c>
    </x:row>
    <x:row r="42" ht="32" customHeight="1">
      <x:c r="A42" s="33" t="n">
        <x:v>34</x:v>
      </x:c>
      <x:c r="B42" s="33" t="str">
        <x:v>TT10_C04_ASIENTO_CHUMACERAS</x:v>
      </x:c>
      <x:c r="C42" s="33" t="n">
        <x:v>1</x:v>
      </x:c>
      <x:c r="D42" s="34" t="str">
        <x:v>Bloque90x180x52.1; cara superior mecanizada y4M12 ciegas28</x:v>
      </x:c>
      <x:c r="E42" s="34" t="str">
        <x:v>Conjunto comprado; acero/ fundición según OEM</x:v>
      </x:c>
      <x:c r="F42" s="35"/>
      <x:c r="G42" s="35" t="str">
        <x:f>IF(F42="","",C42*F42)</x:f>
      </x:c>
      <x:c r="H42" s="33" t="str">
        <x:v>Compra</x:v>
      </x:c>
      <x:c r="I42" s="36" t="n">
        <x:v>0.0008313530984207246</x:v>
      </x:c>
      <x:c r="J42" s="33" t="str">
        <x:v>C05E_TT10_C04_ASIENTO_CHUMACERAS.SLDPRT</x:v>
      </x:c>
      <x:c r="K42" s="33" t="str">
        <x:v>OEM_mass_required</x:v>
      </x:c>
    </x:row>
    <x:row r="43" ht="32" customHeight="1">
      <x:c r="A43" s="33" t="n">
        <x:v>35</x:v>
      </x:c>
      <x:c r="B43" s="33" t="str">
        <x:v>TT10_C04_B6008_M6_1_0</x:v>
      </x:c>
      <x:c r="C43" s="33" t="n">
        <x:v>2</x:v>
      </x:c>
      <x:c r="D43" s="34" t="str">
        <x:v>M6x20 ISO7380-1,10.9; contorno nominal</x:v>
      </x:c>
      <x:c r="E43" s="34" t="str">
        <x:v>Clase 10.9 / ISO 898-1</x:v>
      </x:c>
      <x:c r="F43" s="35" t="n">
        <x:v>0.006682188190885903</x:v>
      </x:c>
      <x:c r="G43" s="35" t="n">
        <x:f>IF(F43="","",C43*F43)</x:f>
        <x:v>0.013364376381771806</x:v>
      </x:c>
      <x:c r="H43" s="33" t="str">
        <x:v>Compra</x:v>
      </x:c>
      <x:c r="I43" s="36" t="n">
        <x:v>8.512341644440641e-7</x:v>
      </x:c>
      <x:c r="J43" s="33" t="str">
        <x:v>C05E_TT10_C04_B6008_M6_1_0.SLDPRT</x:v>
      </x:c>
      <x:c r="K43" s="33" t="str">
        <x:v>CAD_volume_x_specified_density</x:v>
      </x:c>
    </x:row>
    <x:row r="44" ht="32" customHeight="1">
      <x:c r="A44" s="33" t="n">
        <x:v>36</x:v>
      </x:c>
      <x:c r="B44" s="33" t="str">
        <x:v>TT10_C04_B6008_M6_1_2</x:v>
      </x:c>
      <x:c r="C44" s="33" t="n">
        <x:v>1</x:v>
      </x:c>
      <x:c r="D44" s="34" t="str">
        <x:v>M6x20 ISO7380-1,10.9; contorno nominal</x:v>
      </x:c>
      <x:c r="E44" s="34" t="str">
        <x:v>Clase 10.9 / ISO 898-1</x:v>
      </x:c>
      <x:c r="F44" s="35" t="n">
        <x:v>0.006682188190887562</x:v>
      </x:c>
      <x:c r="G44" s="35" t="n">
        <x:f>IF(F44="","",C44*F44)</x:f>
        <x:v>0.006682188190887562</x:v>
      </x:c>
      <x:c r="H44" s="33" t="str">
        <x:v>Compra</x:v>
      </x:c>
      <x:c r="I44" s="36" t="n">
        <x:v>8.512341644442754e-7</x:v>
      </x:c>
      <x:c r="J44" s="33" t="str">
        <x:v>C05E_TT10_C04_B6008_M6_1_2.SLDPRT</x:v>
      </x:c>
      <x:c r="K44" s="33" t="str">
        <x:v>CAD_volume_x_specified_density</x:v>
      </x:c>
    </x:row>
    <x:row r="45" ht="32" customHeight="1">
      <x:c r="A45" s="33" t="n">
        <x:v>37</x:v>
      </x:c>
      <x:c r="B45" s="33" t="str">
        <x:v>TT10_C04_B6008_M6_1_3</x:v>
      </x:c>
      <x:c r="C45" s="33" t="n">
        <x:v>1</x:v>
      </x:c>
      <x:c r="D45" s="34" t="str">
        <x:v>M6x20 ISO7380-1,10.9; contorno nominal</x:v>
      </x:c>
      <x:c r="E45" s="34" t="str">
        <x:v>Clase 10.9 / ISO 898-1</x:v>
      </x:c>
      <x:c r="F45" s="35" t="n">
        <x:v>0.006682188190885904</x:v>
      </x:c>
      <x:c r="G45" s="35" t="n">
        <x:f>IF(F45="","",C45*F45)</x:f>
        <x:v>0.006682188190885904</x:v>
      </x:c>
      <x:c r="H45" s="33" t="str">
        <x:v>Compra</x:v>
      </x:c>
      <x:c r="I45" s="36" t="n">
        <x:v>8.512341644440642e-7</x:v>
      </x:c>
      <x:c r="J45" s="33" t="str">
        <x:v>C05E_TT10_C04_B6008_M6_1_3.SLDPRT</x:v>
      </x:c>
      <x:c r="K45" s="33" t="str">
        <x:v>CAD_volume_x_specified_density</x:v>
      </x:c>
    </x:row>
    <x:row r="46" ht="32" customHeight="1">
      <x:c r="A46" s="33" t="n">
        <x:v>38</x:v>
      </x:c>
      <x:c r="B46" s="33" t="str">
        <x:v>TT10_C04_B6008_M6_2_0</x:v>
      </x:c>
      <x:c r="C46" s="33" t="n">
        <x:v>2</x:v>
      </x:c>
      <x:c r="D46" s="34" t="str">
        <x:v>M6x20 ISO7380-1,10.9; contorno nominal</x:v>
      </x:c>
      <x:c r="E46" s="34" t="str">
        <x:v>Clase 10.9 / ISO 898-1</x:v>
      </x:c>
      <x:c r="F46" s="35" t="n">
        <x:v>0.006682188190885903</x:v>
      </x:c>
      <x:c r="G46" s="35" t="n">
        <x:f>IF(F46="","",C46*F46)</x:f>
        <x:v>0.013364376381771806</x:v>
      </x:c>
      <x:c r="H46" s="33" t="str">
        <x:v>Compra</x:v>
      </x:c>
      <x:c r="I46" s="36" t="n">
        <x:v>8.512341644440641e-7</x:v>
      </x:c>
      <x:c r="J46" s="33" t="str">
        <x:v>C05E_TT10_C04_B6008_M6_2_0.SLDPRT</x:v>
      </x:c>
      <x:c r="K46" s="33" t="str">
        <x:v>CAD_volume_x_specified_density</x:v>
      </x:c>
    </x:row>
    <x:row r="47" ht="32" customHeight="1">
      <x:c r="A47" s="33" t="n">
        <x:v>39</x:v>
      </x:c>
      <x:c r="B47" s="33" t="str">
        <x:v>TT10_C04_B6008_M6_2_1</x:v>
      </x:c>
      <x:c r="C47" s="33" t="n">
        <x:v>2</x:v>
      </x:c>
      <x:c r="D47" s="34" t="str">
        <x:v>M6x20 ISO7380-1,10.9; contorno nominal</x:v>
      </x:c>
      <x:c r="E47" s="34" t="str">
        <x:v>Clase 10.9 / ISO 898-1</x:v>
      </x:c>
      <x:c r="F47" s="35" t="n">
        <x:v>0.006682188190887562</x:v>
      </x:c>
      <x:c r="G47" s="35" t="n">
        <x:f>IF(F47="","",C47*F47)</x:f>
        <x:v>0.013364376381775124</x:v>
      </x:c>
      <x:c r="H47" s="33" t="str">
        <x:v>Compra</x:v>
      </x:c>
      <x:c r="I47" s="36" t="n">
        <x:v>8.512341644442754e-7</x:v>
      </x:c>
      <x:c r="J47" s="33" t="str">
        <x:v>C05E_TT10_C04_B6008_M6_2_1.SLDPRT</x:v>
      </x:c>
      <x:c r="K47" s="33" t="str">
        <x:v>CAD_volume_x_specified_density</x:v>
      </x:c>
    </x:row>
    <x:row r="48" ht="32" customHeight="1">
      <x:c r="A48" s="33" t="n">
        <x:v>40</x:v>
      </x:c>
      <x:c r="B48" s="33" t="str">
        <x:v>TT10_C04_BANCADA</x:v>
      </x:c>
      <x:c r="C48" s="33" t="n">
        <x:v>1</x:v>
      </x:c>
      <x:c r="D48" s="34" t="str">
        <x:v>Bancada215x200x20, sobre poste corto; soldaduraa3</x:v>
      </x:c>
      <x:c r="E48" s="34" t="str">
        <x:v>ASTM A36</x:v>
      </x:c>
      <x:c r="F48" s="35" t="n">
        <x:v>6.745673115496585</x:v>
      </x:c>
      <x:c r="G48" s="35" t="n">
        <x:f>IF(F48="","",C48*F48)</x:f>
        <x:v>6.745673115496585</x:v>
      </x:c>
      <x:c r="H48" s="33" t="str">
        <x:v>Fabricación</x:v>
      </x:c>
      <x:c r="I48" s="36" t="n">
        <x:v>0.0008593214159868261</x:v>
      </x:c>
      <x:c r="J48" s="33" t="str">
        <x:v>C05E_TT10_C04_BANCADA.SLDPRT</x:v>
      </x:c>
      <x:c r="K48" s="33" t="str">
        <x:v>CAD_volume_x_specified_density</x:v>
      </x:c>
    </x:row>
    <x:row r="49" ht="32" customHeight="1">
      <x:c r="A49" s="33" t="n">
        <x:v>41</x:v>
      </x:c>
      <x:c r="B49" s="33" t="str">
        <x:v>TT10_C04_CARTELA_0</x:v>
      </x:c>
      <x:c r="C49" s="33" t="n">
        <x:v>1</x:v>
      </x:c>
      <x:c r="D49" s="34" t="str">
        <x:v>Cartela12,165x55, a3 continuo a placa y poste</x:v>
      </x:c>
      <x:c r="E49" s="34" t="str">
        <x:v>ASTM A36</x:v>
      </x:c>
      <x:c r="F49" s="35" t="n">
        <x:v>0.4274324999999842</x:v>
      </x:c>
      <x:c r="G49" s="35" t="n">
        <x:f>IF(F49="","",C49*F49)</x:f>
        <x:v>0.4274324999999842</x:v>
      </x:c>
      <x:c r="H49" s="33" t="str">
        <x:v>Fabricación</x:v>
      </x:c>
      <x:c r="I49" s="36" t="n">
        <x:v>0.00005444999999999798</x:v>
      </x:c>
      <x:c r="J49" s="33" t="str">
        <x:v>C05E_TT10_C04_CARTELA_0.SLDPRT</x:v>
      </x:c>
      <x:c r="K49" s="33" t="str">
        <x:v>CAD_volume_x_specified_density</x:v>
      </x:c>
    </x:row>
    <x:row r="50" ht="32" customHeight="1">
      <x:c r="A50" s="33" t="n">
        <x:v>42</x:v>
      </x:c>
      <x:c r="B50" s="33" t="str">
        <x:v>TT10_C04_CARTELA_1</x:v>
      </x:c>
      <x:c r="C50" s="33" t="n">
        <x:v>1</x:v>
      </x:c>
      <x:c r="D50" s="34" t="str">
        <x:v>Cartela12,165x55, a3 continuo a placa y poste</x:v>
      </x:c>
      <x:c r="E50" s="34" t="str">
        <x:v>ASTM A36</x:v>
      </x:c>
      <x:c r="F50" s="35" t="n">
        <x:v>0.4274324999999841</x:v>
      </x:c>
      <x:c r="G50" s="35" t="n">
        <x:f>IF(F50="","",C50*F50)</x:f>
        <x:v>0.4274324999999841</x:v>
      </x:c>
      <x:c r="H50" s="33" t="str">
        <x:v>Fabricación</x:v>
      </x:c>
      <x:c r="I50" s="36" t="n">
        <x:v>0.000054449999999997976</x:v>
      </x:c>
      <x:c r="J50" s="33" t="str">
        <x:v>C05E_TT10_C04_CARTELA_1.SLDPRT</x:v>
      </x:c>
      <x:c r="K50" s="33" t="str">
        <x:v>CAD_volume_x_specified_density</x:v>
      </x:c>
    </x:row>
    <x:row r="51" ht="32" customHeight="1">
      <x:c r="A51" s="33" t="n">
        <x:v>43</x:v>
      </x:c>
      <x:c r="B51" s="33" t="str">
        <x:v>TT10_C04_CHAVETA_ACOPLE_0</x:v>
      </x:c>
      <x:c r="C51" s="33" t="n">
        <x:v>1</x:v>
      </x:c>
      <x:c r="D51" s="34" t="str">
        <x:v>Chaveta8x7x25</x:v>
      </x:c>
      <x:c r="E51" s="34" t="str">
        <x:v>AISI 4140 bonificado</x:v>
      </x:c>
      <x:c r="F51" s="35" t="n">
        <x:v>0.01099</x:v>
      </x:c>
      <x:c r="G51" s="35" t="n">
        <x:f>IF(F51="","",C51*F51)</x:f>
        <x:v>0.01099</x:v>
      </x:c>
      <x:c r="H51" s="33" t="str">
        <x:v>Compra</x:v>
      </x:c>
      <x:c r="I51" s="36" t="n">
        <x:v>0.0000014</x:v>
      </x:c>
      <x:c r="J51" s="33" t="str">
        <x:v>C05E_TT10_C04_CHAVETA_ACOPLE_0.SLDPRT</x:v>
      </x:c>
      <x:c r="K51" s="33" t="str">
        <x:v>CAD_volume_x_specified_density</x:v>
      </x:c>
    </x:row>
    <x:row r="52" ht="32" customHeight="1">
      <x:c r="A52" s="33" t="n">
        <x:v>44</x:v>
      </x:c>
      <x:c r="B52" s="33" t="str">
        <x:v>TT10_C04_CHAVETA_ACOPLE_1</x:v>
      </x:c>
      <x:c r="C52" s="33" t="n">
        <x:v>1</x:v>
      </x:c>
      <x:c r="D52" s="34" t="str">
        <x:v>Chaveta8x7x30</x:v>
      </x:c>
      <x:c r="E52" s="34" t="str">
        <x:v>AISI 4140 bonificado</x:v>
      </x:c>
      <x:c r="F52" s="35" t="n">
        <x:v>0.013188</x:v>
      </x:c>
      <x:c r="G52" s="35" t="n">
        <x:f>IF(F52="","",C52*F52)</x:f>
        <x:v>0.013188</x:v>
      </x:c>
      <x:c r="H52" s="33" t="str">
        <x:v>Compra</x:v>
      </x:c>
      <x:c r="I52" s="36" t="n">
        <x:v>0.00000168</x:v>
      </x:c>
      <x:c r="J52" s="33" t="str">
        <x:v>C05E_TT10_C04_CHAVETA_ACOPLE_1.SLDPRT</x:v>
      </x:c>
      <x:c r="K52" s="33" t="str">
        <x:v>CAD_volume_x_specified_density</x:v>
      </x:c>
    </x:row>
    <x:row r="53" ht="32" customHeight="1">
      <x:c r="A53" s="33" t="n">
        <x:v>45</x:v>
      </x:c>
      <x:c r="B53" s="33" t="str">
        <x:v>TT10_C04_CHAVETA_CORONA</x:v>
      </x:c>
      <x:c r="C53" s="33" t="n">
        <x:v>1</x:v>
      </x:c>
      <x:c r="D53" s="34" t="str">
        <x:v>Chaveta8x7x40 de corona</x:v>
      </x:c>
      <x:c r="E53" s="34" t="str">
        <x:v>AISI 4140 bonificado</x:v>
      </x:c>
      <x:c r="F53" s="35" t="n">
        <x:v>0.017584000000000006</x:v>
      </x:c>
      <x:c r="G53" s="35" t="n">
        <x:f>IF(F53="","",C53*F53)</x:f>
        <x:v>0.017584000000000006</x:v>
      </x:c>
      <x:c r="H53" s="33" t="str">
        <x:v>Compra</x:v>
      </x:c>
      <x:c r="I53" s="36" t="n">
        <x:v>0.0000022400000000000006</x:v>
      </x:c>
      <x:c r="J53" s="33" t="str">
        <x:v>C05E_TT10_C04_CHAVETA_CORONA.SLDPRT</x:v>
      </x:c>
      <x:c r="K53" s="33" t="str">
        <x:v>CAD_volume_x_specified_density</x:v>
      </x:c>
    </x:row>
    <x:row r="54" ht="32" customHeight="1">
      <x:c r="A54" s="33" t="n">
        <x:v>46</x:v>
      </x:c>
      <x:c r="B54" s="33" t="str">
        <x:v>TT10_C04_CHAVETA_MOTOR</x:v>
      </x:c>
      <x:c r="C54" s="33" t="n">
        <x:v>1</x:v>
      </x:c>
      <x:c r="D54" s="34" t="str">
        <x:v>Chaveta12x8x35, extremos planos; interfaz propia, no ejeOEM aprobado</x:v>
      </x:c>
      <x:c r="E54" s="34" t="str">
        <x:v>Equipo comprado; materiales y masa según ficha OEM</x:v>
      </x:c>
      <x:c r="F54" s="35"/>
      <x:c r="G54" s="35" t="str">
        <x:f>IF(F54="","",C54*F54)</x:f>
      </x:c>
      <x:c r="H54" s="33" t="str">
        <x:v>Compra</x:v>
      </x:c>
      <x:c r="I54" s="36" t="n">
        <x:v>0.00000336</x:v>
      </x:c>
      <x:c r="J54" s="33" t="str">
        <x:v>C05E_TT10_C04_CHAVETA_MOTOR.SLDPRT</x:v>
      </x:c>
      <x:c r="K54" s="33" t="str">
        <x:v>OEM_mass_required</x:v>
      </x:c>
    </x:row>
    <x:row r="55" ht="32" customHeight="1">
      <x:c r="A55" s="33" t="n">
        <x:v>47</x:v>
      </x:c>
      <x:c r="B55" s="33" t="str">
        <x:v>TT10_C04_CORONA_20D</x:v>
      </x:c>
      <x:c r="C55" s="33" t="n">
        <x:v>1</x:v>
      </x:c>
      <x:c r="D55" s="34" t="str">
        <x:v>Corona10888120; bore30H7 y chavetero8JS9 abierto al bore en todo su ancho; dentado comprado simplificado</x:v>
      </x:c>
      <x:c r="E55" s="34" t="str">
        <x:v>C45E</x:v>
      </x:c>
      <x:c r="F55" s="35"/>
      <x:c r="G55" s="35" t="str">
        <x:f>IF(F55="","",C55*F55)</x:f>
      </x:c>
      <x:c r="H55" s="33" t="str">
        <x:v>Compra</x:v>
      </x:c>
      <x:c r="I55" s="36" t="n">
        <x:v>0.0005079433919965839</x:v>
      </x:c>
      <x:c r="J55" s="33" t="str">
        <x:v>C05E_TT10_C04_CORONA_20D.SLDPRT</x:v>
      </x:c>
      <x:c r="K55" s="33" t="str">
        <x:v>OEM_mass_required</x:v>
      </x:c>
    </x:row>
    <x:row r="56" ht="32" customHeight="1">
      <x:c r="A56" s="33" t="n">
        <x:v>48</x:v>
      </x:c>
      <x:c r="B56" s="33" t="str">
        <x:v>TT10_C04_DIN471_40</x:v>
      </x:c>
      <x:c r="C56" s="33" t="n">
        <x:v>1</x:v>
      </x:c>
      <x:c r="D56" s="34" t="str">
        <x:v>ComprarDIN471-40,1.75; contorno instalado simplificado, no fabricar</x:v>
      </x:c>
      <x:c r="E56" s="34" t="str">
        <x:v>Acero resorte DIN471</x:v>
      </x:c>
      <x:c r="F56" s="35" t="n">
        <x:v>0.009469644031405917</x:v>
      </x:c>
      <x:c r="G56" s="35" t="n">
        <x:f>IF(F56="","",C56*F56)</x:f>
        <x:v>0.009469644031405917</x:v>
      </x:c>
      <x:c r="H56" s="33" t="str">
        <x:v>Compra</x:v>
      </x:c>
      <x:c r="I56" s="36" t="n">
        <x:v>0.0000012063240804338747</x:v>
      </x:c>
      <x:c r="J56" s="33" t="str">
        <x:v>C05E_TT10_C04_DIN471_40.SLDPRT</x:v>
      </x:c>
      <x:c r="K56" s="33" t="str">
        <x:v>CAD_volume_x_specified_density</x:v>
      </x:c>
    </x:row>
    <x:row r="57" ht="32" customHeight="1">
      <x:c r="A57" s="33" t="n">
        <x:v>49</x:v>
      </x:c>
      <x:c r="B57" s="33" t="str">
        <x:v>TT10_C04_EJE_MANUAL</x:v>
      </x:c>
      <x:c r="C57" s="33" t="n">
        <x:v>1</x:v>
      </x:c>
      <x:c r="D57" s="34" t="str">
        <x:v>EjeD30h7,L184; chaveteros8x7, t1=4, extremos planos</x:v>
      </x:c>
      <x:c r="E57" s="34" t="str">
        <x:v>AISI 4140 bonificado</x:v>
      </x:c>
      <x:c r="F57" s="35" t="n">
        <x:v>1.005391829734768</x:v>
      </x:c>
      <x:c r="G57" s="35" t="n">
        <x:f>IF(F57="","",C57*F57)</x:f>
        <x:v>1.005391829734768</x:v>
      </x:c>
      <x:c r="H57" s="33" t="str">
        <x:v>Fabricación</x:v>
      </x:c>
      <x:c r="I57" s="36" t="n">
        <x:v>0.00012807539232290039</x:v>
      </x:c>
      <x:c r="J57" s="33" t="str">
        <x:v>C05E_TT10_C04_EJE_MANUAL.SLDPRT</x:v>
      </x:c>
      <x:c r="K57" s="33" t="str">
        <x:v>CAD_volume_x_specified_density</x:v>
      </x:c>
    </x:row>
    <x:row r="58" ht="32" customHeight="1">
      <x:c r="A58" s="33" t="n">
        <x:v>50</x:v>
      </x:c>
      <x:c r="B58" s="33" t="str">
        <x:v>TT10_C04_EJE_TIMON</x:v>
      </x:c>
      <x:c r="C58" s="33" t="n">
        <x:v>1</x:v>
      </x:c>
      <x:c r="D58" s="34" t="str">
        <x:v>Eje heredado con extremoX1026 y chavetero adicional8x7x30; Mayr conservado</x:v>
      </x:c>
      <x:c r="E58" s="34" t="str">
        <x:v>AISI 4140 bonificado</x:v>
      </x:c>
      <x:c r="F58" s="35" t="n">
        <x:v>1.477027152539655</x:v>
      </x:c>
      <x:c r="G58" s="35" t="n">
        <x:f>IF(F58="","",C58*F58)</x:f>
        <x:v>1.477027152539655</x:v>
      </x:c>
      <x:c r="H58" s="33" t="str">
        <x:v>Fabricación</x:v>
      </x:c>
      <x:c r="I58" s="36" t="n">
        <x:v>0.00018815632516428727</x:v>
      </x:c>
      <x:c r="J58" s="33" t="str">
        <x:v>C05E_TT10_C04_EJE_TIMON.SLDPRT</x:v>
      </x:c>
      <x:c r="K58" s="33" t="str">
        <x:v>CAD_volume_x_specified_density</x:v>
      </x:c>
    </x:row>
    <x:row r="59" ht="32" customHeight="1">
      <x:c r="A59" s="33" t="n">
        <x:v>51</x:v>
      </x:c>
      <x:c r="B59" s="33" t="str">
        <x:v>TT10_C04_ENTRADA_MOTOR</x:v>
      </x:c>
      <x:c r="C59" s="33" t="n">
        <x:v>1</x:v>
      </x:c>
      <x:c r="D59" s="34" t="str">
        <x:v>Interfaz nominal de entradaD40, separacion2mm del ejecomun; motor comercial aun nominal</x:v>
      </x:c>
      <x:c r="E59" s="34" t="str">
        <x:v>Equipo comprado; materiales y masa según ficha OEM</x:v>
      </x:c>
      <x:c r="F59" s="35"/>
      <x:c r="G59" s="35" t="str">
        <x:f>IF(F59="","",C59*F59)</x:f>
      </x:c>
      <x:c r="H59" s="33" t="str">
        <x:v>Compra</x:v>
      </x:c>
      <x:c r="I59" s="36" t="n">
        <x:v>0.00010861181960419455</x:v>
      </x:c>
      <x:c r="J59" s="33" t="str">
        <x:v>C05E_TT10_C04_ENTRADA_MOTOR.SLDPRT</x:v>
      </x:c>
      <x:c r="K59" s="33" t="str">
        <x:v>OEM_mass_required</x:v>
      </x:c>
    </x:row>
    <x:row r="60" ht="32" customHeight="1">
      <x:c r="A60" s="33" t="n">
        <x:v>52</x:v>
      </x:c>
      <x:c r="B60" s="33" t="str">
        <x:v>TT10_C04_ESPACIADOR6008</x:v>
      </x:c>
      <x:c r="C60" s="33" t="n">
        <x:v>1</x:v>
      </x:c>
      <x:c r="D60" s="34" t="str">
        <x:v>Separador7 entre tapa izquierda y anillo exterior6008</x:v>
      </x:c>
      <x:c r="E60" s="34" t="str">
        <x:v>Conjunto comprado; acero/ fundición según OEM</x:v>
      </x:c>
      <x:c r="F60" s="35"/>
      <x:c r="G60" s="35" t="str">
        <x:f>IF(F60="","",C60*F60)</x:f>
      </x:c>
      <x:c r="H60" s="33" t="str">
        <x:v>Compra</x:v>
      </x:c>
      <x:c r="I60" s="36" t="n">
        <x:v>0.000011527979994568266</x:v>
      </x:c>
      <x:c r="J60" s="33" t="str">
        <x:v>C05E_TT10_C04_ESPACIADOR6008.SLDPRT</x:v>
      </x:c>
      <x:c r="K60" s="33" t="str">
        <x:v>OEM_mass_required</x:v>
      </x:c>
    </x:row>
    <x:row r="61" ht="32" customHeight="1">
      <x:c r="A61" s="33" t="n">
        <x:v>53</x:v>
      </x:c>
      <x:c r="B61" s="33" t="str">
        <x:v>TT10_C04_GUARDA_ANCLA6_4470</x:v>
      </x:c>
      <x:c r="C61" s="33" t="n">
        <x:v>1</x:v>
      </x:c>
      <x:c r="D61" s="34" t="str">
        <x:v>M6x16,8.8 a bancada; no anclaje a losa</x:v>
      </x:c>
      <x:c r="E61" s="34" t="str">
        <x:v>Tornilleria8.8</x:v>
      </x:c>
      <x:c r="F61" s="35"/>
      <x:c r="G61" s="35" t="str">
        <x:f>IF(F61="","",C61*F61)</x:f>
      </x:c>
      <x:c r="H61" s="33" t="str">
        <x:v>Compra</x:v>
      </x:c>
      <x:c r="I61" s="36" t="n">
        <x:v>7.381368289150243e-7</x:v>
      </x:c>
      <x:c r="J61" s="33" t="str">
        <x:v>C05E_TT10_C04_GUARDA_ANCLA6_4470.SLDPRT</x:v>
      </x:c>
      <x:c r="K61" s="33" t="str">
        <x:v>OEM_mass_required</x:v>
      </x:c>
    </x:row>
    <x:row r="62" ht="32" customHeight="1">
      <x:c r="A62" s="33" t="n">
        <x:v>54</x:v>
      </x:c>
      <x:c r="B62" s="33" t="str">
        <x:v>TT10_C04_GUARDA_ANCLA6_4630</x:v>
      </x:c>
      <x:c r="C62" s="33" t="n">
        <x:v>1</x:v>
      </x:c>
      <x:c r="D62" s="34" t="str">
        <x:v>M6x16,8.8 a bancada; no anclaje a losa</x:v>
      </x:c>
      <x:c r="E62" s="34" t="str">
        <x:v>Tornilleria8.8</x:v>
      </x:c>
      <x:c r="F62" s="35"/>
      <x:c r="G62" s="35" t="str">
        <x:f>IF(F62="","",C62*F62)</x:f>
      </x:c>
      <x:c r="H62" s="33" t="str">
        <x:v>Compra</x:v>
      </x:c>
      <x:c r="I62" s="36" t="n">
        <x:v>7.381368289150243e-7</x:v>
      </x:c>
      <x:c r="J62" s="33" t="str">
        <x:v>C05E_TT10_C04_GUARDA_ANCLA6_4630.SLDPRT</x:v>
      </x:c>
      <x:c r="K62" s="33" t="str">
        <x:v>OEM_mass_required</x:v>
      </x:c>
    </x:row>
    <x:row r="63" ht="32" customHeight="1">
      <x:c r="A63" s="33" t="n">
        <x:v>55</x:v>
      </x:c>
      <x:c r="B63" s="33" t="str">
        <x:v>TT10_C04_GUARDA_B6_0</x:v>
      </x:c>
      <x:c r="C63" s="33" t="n">
        <x:v>4</x:v>
      </x:c>
      <x:c r="D63" s="34" t="str">
        <x:v>M6x50,8.8 para tapa frontal</x:v>
      </x:c>
      <x:c r="E63" s="34" t="str">
        <x:v>Clase 8.8 / ISO 898-1</x:v>
      </x:c>
      <x:c r="F63" s="35" t="n">
        <x:v>0.01381699581669022</x:v>
      </x:c>
      <x:c r="G63" s="35" t="n">
        <x:f>IF(F63="","",C63*F63)</x:f>
        <x:v>0.05526798326676088</x:v>
      </x:c>
      <x:c r="H63" s="33" t="str">
        <x:v>Compra</x:v>
      </x:c>
      <x:c r="I63" s="36" t="n">
        <x:v>0.0000017601268556293273</x:v>
      </x:c>
      <x:c r="J63" s="33" t="str">
        <x:v>C05E_TT10_C04_GUARDA_B6_0.SLDPRT</x:v>
      </x:c>
      <x:c r="K63" s="33" t="str">
        <x:v>CAD_volume_x_specified_density</x:v>
      </x:c>
    </x:row>
    <x:row r="64" ht="32" customHeight="1">
      <x:c r="A64" s="33" t="n">
        <x:v>56</x:v>
      </x:c>
      <x:c r="B64" s="33" t="str">
        <x:v>TT10_C04_GUARDA_BANDA</x:v>
      </x:c>
      <x:c r="C64" s="33" t="n">
        <x:v>1</x:v>
      </x:c>
      <x:c r="D64" s="34" t="str">
        <x:v>Banda2, ancho36; tapa inferior; soldar a posterior, frontal desmontable</x:v>
      </x:c>
      <x:c r="E64" s="34" t="str">
        <x:v>ASTM A36</x:v>
      </x:c>
      <x:c r="F64" s="35" t="n">
        <x:v>1.8968700119936164</x:v>
      </x:c>
      <x:c r="G64" s="35" t="n">
        <x:f>IF(F64="","",C64*F64)</x:f>
        <x:v>1.8968700119936164</x:v>
      </x:c>
      <x:c r="H64" s="33" t="str">
        <x:v>Fabricación</x:v>
      </x:c>
      <x:c r="I64" s="36" t="n">
        <x:v>0.0002416394919737091</x:v>
      </x:c>
      <x:c r="J64" s="33" t="str">
        <x:v>C05E_TT10_C04_GUARDA_BANDA.SLDPRT</x:v>
      </x:c>
      <x:c r="K64" s="33" t="str">
        <x:v>CAD_volume_x_specified_density</x:v>
      </x:c>
    </x:row>
    <x:row r="65" ht="32" customHeight="1">
      <x:c r="A65" s="33" t="n">
        <x:v>57</x:v>
      </x:c>
      <x:c r="B65" s="33" t="str">
        <x:v>TT10_C04_GUARDA_BASEW6_4470</x:v>
      </x:c>
      <x:c r="C65" s="33" t="n">
        <x:v>1</x:v>
      </x:c>
      <x:c r="D65" s="34" t="str">
        <x:v>Arandela6,12x6.6x2</x:v>
      </x:c>
      <x:c r="E65" s="34" t="str">
        <x:v>Arandela endurecida 300 HV / ISO 7089</x:v>
      </x:c>
      <x:c r="F65" s="35"/>
      <x:c r="G65" s="35" t="str">
        <x:f>IF(F65="","",C65*F65)</x:f>
      </x:c>
      <x:c r="H65" s="33" t="str">
        <x:v>Compra</x:v>
      </x:c>
      <x:c r="I65" s="36" t="n">
        <x:v>1.5777078306328167e-7</x:v>
      </x:c>
      <x:c r="J65" s="33" t="str">
        <x:v>C05E_TT10_C04_GUARDA_BASEW6_4470.SLDPRT</x:v>
      </x:c>
      <x:c r="K65" s="33" t="str">
        <x:v>OEM_mass_required</x:v>
      </x:c>
    </x:row>
    <x:row r="66" ht="32" customHeight="1">
      <x:c r="A66" s="33" t="n">
        <x:v>58</x:v>
      </x:c>
      <x:c r="B66" s="33" t="str">
        <x:v>TT10_C04_GUARDA_BASEW6_4630</x:v>
      </x:c>
      <x:c r="C66" s="33" t="n">
        <x:v>1</x:v>
      </x:c>
      <x:c r="D66" s="34" t="str">
        <x:v>Arandela6,12x6.6x2</x:v>
      </x:c>
      <x:c r="E66" s="34" t="str">
        <x:v>Arandela endurecida 300 HV / ISO 7089</x:v>
      </x:c>
      <x:c r="F66" s="35"/>
      <x:c r="G66" s="35" t="str">
        <x:f>IF(F66="","",C66*F66)</x:f>
      </x:c>
      <x:c r="H66" s="33" t="str">
        <x:v>Compra</x:v>
      </x:c>
      <x:c r="I66" s="36" t="n">
        <x:v>1.5777078306328167e-7</x:v>
      </x:c>
      <x:c r="J66" s="33" t="str">
        <x:v>C05E_TT10_C04_GUARDA_BASEW6_4630.SLDPRT</x:v>
      </x:c>
      <x:c r="K66" s="33" t="str">
        <x:v>OEM_mass_required</x:v>
      </x:c>
    </x:row>
    <x:row r="67" ht="32" customHeight="1">
      <x:c r="A67" s="33" t="n">
        <x:v>59</x:v>
      </x:c>
      <x:c r="B67" s="33" t="str">
        <x:v>TT10_C04_GUARDA_FRONTAL</x:v>
      </x:c>
      <x:c r="C67" s="33" t="n">
        <x:v>1</x:v>
      </x:c>
      <x:c r="D67" s="34" t="str">
        <x:v>Chapa2; contorno de cadena; inferiorZ1107; paso superior/FRONTAL</x:v>
      </x:c>
      <x:c r="E67" s="34" t="str">
        <x:v>ASTM A36</x:v>
      </x:c>
      <x:c r="F67" s="35" t="n">
        <x:v>4.5008520548983855</x:v>
      </x:c>
      <x:c r="G67" s="35" t="n">
        <x:f>IF(F67="","",C67*F67)</x:f>
        <x:v>4.5008520548983855</x:v>
      </x:c>
      <x:c r="H67" s="33" t="str">
        <x:v>Fabricación</x:v>
      </x:c>
      <x:c r="I67" s="36" t="n">
        <x:v>0.0005733569496685841</x:v>
      </x:c>
      <x:c r="J67" s="33" t="str">
        <x:v>C05E_TT10_C04_GUARDA_FRONTAL.SLDPRT</x:v>
      </x:c>
      <x:c r="K67" s="33" t="str">
        <x:v>CAD_volume_x_specified_density</x:v>
      </x:c>
    </x:row>
    <x:row r="68" ht="32" customHeight="1">
      <x:c r="A68" s="33" t="n">
        <x:v>60</x:v>
      </x:c>
      <x:c r="B68" s="33" t="str">
        <x:v>TT10_C04_GUARDA_N6_0</x:v>
      </x:c>
      <x:c r="C68" s="33" t="n">
        <x:v>3</x:v>
      </x:c>
      <x:c r="D68" s="34" t="str">
        <x:v>TuercaM6 autoblocante metalica; contorno nominal</x:v>
      </x:c>
      <x:c r="E68" s="34" t="str">
        <x:v>Tornilleria8</x:v>
      </x:c>
      <x:c r="F68" s="35"/>
      <x:c r="G68" s="35" t="str">
        <x:f>IF(F68="","",C68*F68)</x:f>
      </x:c>
      <x:c r="H68" s="33" t="str">
        <x:v>Compra</x:v>
      </x:c>
      <x:c r="I68" s="36" t="n">
        <x:v>3.4996923897681935e-7</x:v>
      </x:c>
      <x:c r="J68" s="33" t="str">
        <x:v>C05E_TT10_C04_GUARDA_N6_0.SLDPRT</x:v>
      </x:c>
      <x:c r="K68" s="33" t="str">
        <x:v>OEM_mass_required</x:v>
      </x:c>
    </x:row>
    <x:row r="69" ht="32" customHeight="1">
      <x:c r="A69" s="33" t="n">
        <x:v>61</x:v>
      </x:c>
      <x:c r="B69" s="33" t="str">
        <x:v>TT10_C04_GUARDA_N6_2</x:v>
      </x:c>
      <x:c r="C69" s="33" t="n">
        <x:v>1</x:v>
      </x:c>
      <x:c r="D69" s="34" t="str">
        <x:v>TuercaM6 autoblocante metalica; contorno nominal</x:v>
      </x:c>
      <x:c r="E69" s="34" t="str">
        <x:v>Tornilleria8</x:v>
      </x:c>
      <x:c r="F69" s="35"/>
      <x:c r="G69" s="35" t="str">
        <x:f>IF(F69="","",C69*F69)</x:f>
      </x:c>
      <x:c r="H69" s="33" t="str">
        <x:v>Compra</x:v>
      </x:c>
      <x:c r="I69" s="36" t="n">
        <x:v>3.4996923897680585e-7</x:v>
      </x:c>
      <x:c r="J69" s="33" t="str">
        <x:v>C05E_TT10_C04_GUARDA_N6_2.SLDPRT</x:v>
      </x:c>
      <x:c r="K69" s="33" t="str">
        <x:v>OEM_mass_required</x:v>
      </x:c>
    </x:row>
    <x:row r="70" ht="32" customHeight="1">
      <x:c r="A70" s="33" t="n">
        <x:v>62</x:v>
      </x:c>
      <x:c r="B70" s="33" t="str">
        <x:v>TT10_C04_GUARDA_POSTERIOR</x:v>
      </x:c>
      <x:c r="C70" s="33" t="n">
        <x:v>1</x:v>
      </x:c>
      <x:c r="D70" s="34" t="str">
        <x:v>Chapa2; contorno de cadena; inferiorZ1107; paso superior/POSTERIOR</x:v>
      </x:c>
      <x:c r="E70" s="34" t="str">
        <x:v>ASTM A36</x:v>
      </x:c>
      <x:c r="F70" s="35" t="n">
        <x:v>4.465222046588096</x:v>
      </x:c>
      <x:c r="G70" s="35" t="n">
        <x:f>IF(F70="","",C70*F70)</x:f>
        <x:v>4.465222046588096</x:v>
      </x:c>
      <x:c r="H70" s="33" t="str">
        <x:v>Fabricación</x:v>
      </x:c>
      <x:c r="I70" s="36" t="n">
        <x:v>0.0005688180951067638</x:v>
      </x:c>
      <x:c r="J70" s="33" t="str">
        <x:v>C05E_TT10_C04_GUARDA_POSTERIOR.SLDPRT</x:v>
      </x:c>
      <x:c r="K70" s="33" t="str">
        <x:v>CAD_volume_x_specified_density</x:v>
      </x:c>
    </x:row>
    <x:row r="71" ht="32" customHeight="1">
      <x:c r="A71" s="33" t="n">
        <x:v>63</x:v>
      </x:c>
      <x:c r="B71" s="33" t="str">
        <x:v>TT10_C04_GUARDA_W6_0</x:v>
      </x:c>
      <x:c r="C71" s="33" t="n">
        <x:v>3</x:v>
      </x:c>
      <x:c r="D71" s="34" t="str">
        <x:v>ArandelaM6,12x6.6x1.6</x:v>
      </x:c>
      <x:c r="E71" s="34" t="str">
        <x:v>Arandela endurecida 300 HV / ISO 7089</x:v>
      </x:c>
      <x:c r="F71" s="35"/>
      <x:c r="G71" s="35" t="str">
        <x:f>IF(F71="","",C71*F71)</x:f>
      </x:c>
      <x:c r="H71" s="33" t="str">
        <x:v>Compra</x:v>
      </x:c>
      <x:c r="I71" s="36" t="n">
        <x:v>1.2621662645062634e-7</x:v>
      </x:c>
      <x:c r="J71" s="33" t="str">
        <x:v>C05E_TT10_C04_GUARDA_W6_0.SLDPRT</x:v>
      </x:c>
      <x:c r="K71" s="33" t="str">
        <x:v>OEM_mass_required</x:v>
      </x:c>
    </x:row>
    <x:row r="72" ht="32" customHeight="1">
      <x:c r="A72" s="33" t="n">
        <x:v>64</x:v>
      </x:c>
      <x:c r="B72" s="33" t="str">
        <x:v>TT10_C04_GUARDA_W6_2</x:v>
      </x:c>
      <x:c r="C72" s="33" t="n">
        <x:v>1</x:v>
      </x:c>
      <x:c r="D72" s="34" t="str">
        <x:v>ArandelaM6,12x6.6x1.6</x:v>
      </x:c>
      <x:c r="E72" s="34" t="str">
        <x:v>Arandela endurecida 300 HV / ISO 7089</x:v>
      </x:c>
      <x:c r="F72" s="35"/>
      <x:c r="G72" s="35" t="str">
        <x:f>IF(F72="","",C72*F72)</x:f>
      </x:c>
      <x:c r="H72" s="33" t="str">
        <x:v>Compra</x:v>
      </x:c>
      <x:c r="I72" s="36" t="n">
        <x:v>1.2621662645062496e-7</x:v>
      </x:c>
      <x:c r="J72" s="33" t="str">
        <x:v>C05E_TT10_C04_GUARDA_W6_2.SLDPRT</x:v>
      </x:c>
      <x:c r="K72" s="33" t="str">
        <x:v>OEM_mass_required</x:v>
      </x:c>
    </x:row>
    <x:row r="73" ht="32" customHeight="1">
      <x:c r="A73" s="33" t="n">
        <x:v>65</x:v>
      </x:c>
      <x:c r="B73" s="33" t="str">
        <x:v>TT10_C04_PEDESTAL_SELECTOR</x:v>
      </x:c>
      <x:c r="C73" s="33" t="n">
        <x:v>1</x:v>
      </x:c>
      <x:c r="D73" s="34" t="str">
        <x:v>Pedestal con ventana46 para paso real de cadena/resguardo; soporte local por verificar</x:v>
      </x:c>
      <x:c r="E73" s="34" t="str">
        <x:v>ASTM A36</x:v>
      </x:c>
      <x:c r="F73" s="35" t="n">
        <x:v>121.43771694816124</x:v>
      </x:c>
      <x:c r="G73" s="35" t="n">
        <x:f>IF(F73="","",C73*F73)</x:f>
        <x:v>121.43771694816124</x:v>
      </x:c>
      <x:c r="H73" s="33" t="str">
        <x:v>Fabricación</x:v>
      </x:c>
      <x:c r="I73" s="36" t="n">
        <x:v>0.015469772859638374</x:v>
      </x:c>
      <x:c r="J73" s="33" t="str">
        <x:v>C05E_TT10_C04_PEDESTAL_SELECTOR.SLDPRT</x:v>
      </x:c>
      <x:c r="K73" s="33" t="str">
        <x:v>CAD_volume_x_specified_density</x:v>
      </x:c>
    </x:row>
    <x:row r="74" ht="32" customHeight="1">
      <x:c r="A74" s="33" t="n">
        <x:v>66</x:v>
      </x:c>
      <x:c r="B74" s="33" t="str">
        <x:v>TT10_C04_PLACA_TIMON</x:v>
      </x:c>
      <x:c r="C74" s="33" t="n">
        <x:v>1</x:v>
      </x:c>
      <x:c r="D74" s="34" t="str">
        <x:v>Placa de estacion existente con ventanaR57x25 para bridas110; apoyos yMayr conservados</x:v>
      </x:c>
      <x:c r="E74" s="34" t="str">
        <x:v>ASTM A36</x:v>
      </x:c>
      <x:c r="F74" s="35" t="n">
        <x:v>6.746581226498115</x:v>
      </x:c>
      <x:c r="G74" s="35" t="n">
        <x:f>IF(F74="","",C74*F74)</x:f>
        <x:v>6.746581226498115</x:v>
      </x:c>
      <x:c r="H74" s="33" t="str">
        <x:v>Fabricación</x:v>
      </x:c>
      <x:c r="I74" s="36" t="n">
        <x:v>0.0008594370989169573</x:v>
      </x:c>
      <x:c r="J74" s="33" t="str">
        <x:v>C05E_TT10_C04_PLACA_TIMON.SLDPRT</x:v>
      </x:c>
      <x:c r="K74" s="33" t="str">
        <x:v>CAD_volume_x_specified_density</x:v>
      </x:c>
    </x:row>
    <x:row r="75" ht="32" customHeight="1">
      <x:c r="A75" s="33" t="n">
        <x:v>67</x:v>
      </x:c>
      <x:c r="B75" s="33" t="str">
        <x:v>TT10_C04_SELECTOR_APOYO_1</x:v>
      </x:c>
      <x:c r="C75" s="33" t="n">
        <x:v>1</x:v>
      </x:c>
      <x:c r="D75" s="34" t="str">
        <x:v>Asiento6008 abierto; montaje axial y4M6PCD84; no cavidad inaccesible</x:v>
      </x:c>
      <x:c r="E75" s="34" t="str">
        <x:v>Conjunto comprado; acero/ fundición según OEM</x:v>
      </x:c>
      <x:c r="F75" s="35"/>
      <x:c r="G75" s="35" t="str">
        <x:f>IF(F75="","",C75*F75)</x:f>
      </x:c>
      <x:c r="H75" s="33" t="str">
        <x:v>Compra</x:v>
      </x:c>
      <x:c r="I75" s="36" t="n">
        <x:v>0.0005119509455135512</x:v>
      </x:c>
      <x:c r="J75" s="33" t="str">
        <x:v>C05E_TT10_C04_SELECTOR_APOYO_1.SLDPRT</x:v>
      </x:c>
      <x:c r="K75" s="33" t="str">
        <x:v>OEM_mass_required</x:v>
      </x:c>
    </x:row>
    <x:row r="76" ht="32" customHeight="1">
      <x:c r="A76" s="33" t="n">
        <x:v>68</x:v>
      </x:c>
      <x:c r="B76" s="33" t="str">
        <x:v>TT10_C04_SELECTOR_APOYO_2</x:v>
      </x:c>
      <x:c r="C76" s="33" t="n">
        <x:v>1</x:v>
      </x:c>
      <x:c r="D76" s="34" t="str">
        <x:v>Asiento6008 abierto; montaje axial y4M6PCD84; no cavidad inaccesible</x:v>
      </x:c>
      <x:c r="E76" s="34" t="str">
        <x:v>Conjunto comprado; acero/ fundición según OEM</x:v>
      </x:c>
      <x:c r="F76" s="35"/>
      <x:c r="G76" s="35" t="str">
        <x:f>IF(F76="","",C76*F76)</x:f>
      </x:c>
      <x:c r="H76" s="33" t="str">
        <x:v>Compra</x:v>
      </x:c>
      <x:c r="I76" s="36" t="n">
        <x:v>0.0003777460511416506</x:v>
      </x:c>
      <x:c r="J76" s="33" t="str">
        <x:v>C05E_TT10_C04_SELECTOR_APOYO_2.SLDPRT</x:v>
      </x:c>
      <x:c r="K76" s="33" t="str">
        <x:v>OEM_mass_required</x:v>
      </x:c>
    </x:row>
    <x:row r="77" ht="32" customHeight="1">
      <x:c r="A77" s="33" t="n">
        <x:v>69</x:v>
      </x:c>
      <x:c r="B77" s="33" t="str">
        <x:v>TT10_C04_SELECTOR_BASE</x:v>
      </x:c>
      <x:c r="C77" s="33" t="n">
        <x:v>1</x:v>
      </x:c>
      <x:c r="D77" s="34" t="str">
        <x:v>Soporte con ventana46mm para cadena y guarda; caras restantes transmiten apoyo</x:v>
      </x:c>
      <x:c r="E77" s="34" t="str">
        <x:v>ASTM A36</x:v>
      </x:c>
      <x:c r="F77" s="35" t="n">
        <x:v>10.62508771621896</x:v>
      </x:c>
      <x:c r="G77" s="35" t="n">
        <x:f>IF(F77="","",C77*F77)</x:f>
        <x:v>10.62508771621896</x:v>
      </x:c>
      <x:c r="H77" s="33" t="str">
        <x:v>Fabricación</x:v>
      </x:c>
      <x:c r="I77" s="36" t="n">
        <x:v>0.0013535143587540077</x:v>
      </x:c>
      <x:c r="J77" s="33" t="str">
        <x:v>C05E_TT10_C04_SELECTOR_BASE.SLDPRT</x:v>
      </x:c>
      <x:c r="K77" s="33" t="str">
        <x:v>CAD_volume_x_specified_density</x:v>
      </x:c>
    </x:row>
    <x:row r="78" ht="32" customHeight="1">
      <x:c r="A78" s="33" t="n">
        <x:v>70</x:v>
      </x:c>
      <x:c r="B78" s="33" t="str">
        <x:v>TT10_C04_SELECTOR_CUBO_E</x:v>
      </x:c>
      <x:c r="C78" s="33" t="n">
        <x:v>1</x:v>
      </x:c>
      <x:c r="D78" s="34" t="str">
        <x:v>CuboE con extension; pasoD41 hastaX1062, socketD40H7 y chavetero12x35</x:v>
      </x:c>
      <x:c r="E78" s="34" t="str">
        <x:v>AISI 4140 bonificado</x:v>
      </x:c>
      <x:c r="F78" s="35" t="n">
        <x:v>4.038417329552955</x:v>
      </x:c>
      <x:c r="G78" s="35" t="n">
        <x:f>IF(F78="","",C78*F78)</x:f>
        <x:v>4.038417329552955</x:v>
      </x:c>
      <x:c r="H78" s="33" t="str">
        <x:v>Fabricación</x:v>
      </x:c>
      <x:c r="I78" s="36" t="n">
        <x:v>0.0005144480674589751</x:v>
      </x:c>
      <x:c r="J78" s="33" t="str">
        <x:v>C05E_TT10_C04_SELECTOR_CUBO_E.SLDPRT</x:v>
      </x:c>
      <x:c r="K78" s="33" t="str">
        <x:v>CAD_volume_x_specified_density</x:v>
      </x:c>
    </x:row>
    <x:row r="79" ht="32" customHeight="1">
      <x:c r="A79" s="33" t="n">
        <x:v>71</x:v>
      </x:c>
      <x:c r="B79" s="33" t="str">
        <x:v>TT10_C04_SELECTOR_EJE</x:v>
      </x:c>
      <x:c r="C79" s="33" t="n">
        <x:v>1</x:v>
      </x:c>
      <x:c r="D79" s="34" t="str">
        <x:v>Eje D40h6; extremoX1060; ranuraDIN471D37.5x1.85 enX855.1</x:v>
      </x:c>
      <x:c r="E79" s="34" t="str">
        <x:v>42CrMo4+QT; pistas58-64HRC</x:v>
      </x:c>
      <x:c r="F79" s="35"/>
      <x:c r="G79" s="35" t="str">
        <x:f>IF(F79="","",C79*F79)</x:f>
      </x:c>
      <x:c r="H79" s="33" t="str">
        <x:v>Compra</x:v>
      </x:c>
      <x:c r="I79" s="36" t="n">
        <x:v>0.00041275961987988273</x:v>
      </x:c>
      <x:c r="J79" s="33" t="str">
        <x:v>C05E_TT10_C04_SELECTOR_EJE.SLDPRT</x:v>
      </x:c>
      <x:c r="K79" s="33" t="str">
        <x:v>OEM_mass_required</x:v>
      </x:c>
    </x:row>
    <x:row r="80" ht="32" customHeight="1">
      <x:c r="A80" s="33" t="n">
        <x:v>72</x:v>
      </x:c>
      <x:c r="B80" s="33" t="str">
        <x:v>TT10_C04_SELECTOR_ESPACIADOR</x:v>
      </x:c>
      <x:c r="C80" s="33" t="n">
        <x:v>1</x:v>
      </x:c>
      <x:c r="D80" s="34" t="str">
        <x:v>Soporte con ventana46mm para cadena y guarda; caras restantes transmiten apoyo</x:v>
      </x:c>
      <x:c r="E80" s="34" t="str">
        <x:v>ASTM A36</x:v>
      </x:c>
      <x:c r="F80" s="35" t="n">
        <x:v>6.4998000000000165</x:v>
      </x:c>
      <x:c r="G80" s="35" t="n">
        <x:f>IF(F80="","",C80*F80)</x:f>
        <x:v>6.4998000000000165</x:v>
      </x:c>
      <x:c r="H80" s="33" t="str">
        <x:v>Fabricación</x:v>
      </x:c>
      <x:c r="I80" s="36" t="n">
        <x:v>0.0008280000000000021</x:v>
      </x:c>
      <x:c r="J80" s="33" t="str">
        <x:v>C05E_TT10_C04_SELECTOR_ESPACIADOR.SLDPRT</x:v>
      </x:c>
      <x:c r="K80" s="33" t="str">
        <x:v>CAD_volume_x_specified_density</x:v>
      </x:c>
    </x:row>
    <x:row r="81" ht="32" customHeight="1">
      <x:c r="A81" s="33" t="n">
        <x:v>73</x:v>
      </x:c>
      <x:c r="B81" s="33" t="str">
        <x:v>TT10_C04_SY30_B12_930_4491.25</x:v>
      </x:c>
      <x:c r="C81" s="33" t="n">
        <x:v>2</x:v>
      </x:c>
      <x:c r="D81" s="34" t="str">
        <x:v>M12x45,8.8;25.5mm nominales de rosca util</x:v>
      </x:c>
      <x:c r="E81" s="34" t="str">
        <x:v>Clase 8.8 / ISO 898-1</x:v>
      </x:c>
      <x:c r="F81" s="35" t="n">
        <x:v>0.056471501365591606</x:v>
      </x:c>
      <x:c r="G81" s="35" t="n">
        <x:f>IF(F81="","",C81*F81)</x:f>
        <x:v>0.11294300273118321</x:v>
      </x:c>
      <x:c r="H81" s="33" t="str">
        <x:v>Compra</x:v>
      </x:c>
      <x:c r="I81" s="36" t="n">
        <x:v>0.00000719382183001167</x:v>
      </x:c>
      <x:c r="J81" s="33" t="str">
        <x:v>C05E_TT10_C04_SY30_B12_930_4491.25.SLDPRT</x:v>
      </x:c>
      <x:c r="K81" s="33" t="str">
        <x:v>CAD_volume_x_specified_density</x:v>
      </x:c>
    </x:row>
    <x:row r="82" ht="32" customHeight="1">
      <x:c r="A82" s="33" t="n">
        <x:v>74</x:v>
      </x:c>
      <x:c r="B82" s="33" t="str">
        <x:v>TT10_C04_SY30_B12_972_4491.25</x:v>
      </x:c>
      <x:c r="C82" s="33" t="n">
        <x:v>2</x:v>
      </x:c>
      <x:c r="D82" s="34" t="str">
        <x:v>M12x45,8.8;25.5mm nominales de rosca util</x:v>
      </x:c>
      <x:c r="E82" s="34" t="str">
        <x:v>Clase 8.8 / ISO 898-1</x:v>
      </x:c>
      <x:c r="F82" s="35" t="n">
        <x:v>0.056471501365591745</x:v>
      </x:c>
      <x:c r="G82" s="35" t="n">
        <x:f>IF(F82="","",C82*F82)</x:f>
        <x:v>0.11294300273118349</x:v>
      </x:c>
      <x:c r="H82" s="33" t="str">
        <x:v>Compra</x:v>
      </x:c>
      <x:c r="I82" s="36" t="n">
        <x:v>0.000007193821830011688</x:v>
      </x:c>
      <x:c r="J82" s="33" t="str">
        <x:v>C05E_TT10_C04_SY30_B12_972_4491.25.SLDPRT</x:v>
      </x:c>
      <x:c r="K82" s="33" t="str">
        <x:v>CAD_volume_x_specified_density</x:v>
      </x:c>
    </x:row>
    <x:row r="83" ht="32" customHeight="1">
      <x:c r="A83" s="33" t="n">
        <x:v>75</x:v>
      </x:c>
      <x:c r="B83" s="33" t="str">
        <x:v>TT10_C04_SY30_W12_930_4491.25</x:v>
      </x:c>
      <x:c r="C83" s="33" t="n">
        <x:v>2</x:v>
      </x:c>
      <x:c r="D83" s="34" t="str">
        <x:v>ArandelaM12,24x13x2.5</x:v>
      </x:c>
      <x:c r="E83" s="34" t="str">
        <x:v>Arandela endurecida 300 HV / ISO 7089</x:v>
      </x:c>
      <x:c r="F83" s="35"/>
      <x:c r="G83" s="35" t="str">
        <x:f>IF(F83="","",C83*F83)</x:f>
      </x:c>
      <x:c r="H83" s="33" t="str">
        <x:v>Compra</x:v>
      </x:c>
      <x:c r="I83" s="36" t="n">
        <x:v>7.991426312569052e-7</x:v>
      </x:c>
      <x:c r="J83" s="33" t="str">
        <x:v>C05E_TT10_C04_SY30_W12_930_4491.25.SLDPRT</x:v>
      </x:c>
      <x:c r="K83" s="33" t="str">
        <x:v>OEM_mass_required</x:v>
      </x:c>
    </x:row>
    <x:row r="84" ht="32" customHeight="1">
      <x:c r="A84" s="33" t="n">
        <x:v>76</x:v>
      </x:c>
      <x:c r="B84" s="33" t="str">
        <x:v>TT10_C04_SY30_W12_930_4608.75</x:v>
      </x:c>
      <x:c r="C84" s="33" t="n">
        <x:v>2</x:v>
      </x:c>
      <x:c r="D84" s="34" t="str">
        <x:v>ArandelaM12,24x13x2.5</x:v>
      </x:c>
      <x:c r="E84" s="34" t="str">
        <x:v>Arandela endurecida 300 HV / ISO 7089</x:v>
      </x:c>
      <x:c r="F84" s="35"/>
      <x:c r="G84" s="35" t="str">
        <x:f>IF(F84="","",C84*F84)</x:f>
      </x:c>
      <x:c r="H84" s="33" t="str">
        <x:v>Compra</x:v>
      </x:c>
      <x:c r="I84" s="36" t="n">
        <x:v>7.991426312569052e-7</x:v>
      </x:c>
      <x:c r="J84" s="33" t="str">
        <x:v>C05E_TT10_C04_SY30_W12_930_4608.75.SLDPRT</x:v>
      </x:c>
      <x:c r="K84" s="33" t="str">
        <x:v>OEM_mass_required</x:v>
      </x:c>
    </x:row>
    <x:row r="85" ht="32" customHeight="1">
      <x:c r="A85" s="33" t="n">
        <x:v>77</x:v>
      </x:c>
      <x:c r="B85" s="33" t="str">
        <x:v>TT10_C04_TAPA6008_1</x:v>
      </x:c>
      <x:c r="C85" s="33" t="n">
        <x:v>1</x:v>
      </x:c>
      <x:c r="D85" s="34" t="str">
        <x:v>Tapa104x4, cabezas en cajera; desmontaje exterior</x:v>
      </x:c>
      <x:c r="E85" s="34" t="str">
        <x:v>ASTM A36</x:v>
      </x:c>
      <x:c r="F85" s="35" t="n">
        <x:v>0.19429475829817416</x:v>
      </x:c>
      <x:c r="G85" s="35" t="n">
        <x:f>IF(F85="","",C85*F85)</x:f>
        <x:v>0.19429475829817416</x:v>
      </x:c>
      <x:c r="H85" s="33" t="str">
        <x:v>Fabricación</x:v>
      </x:c>
      <x:c r="I85" s="36" t="n">
        <x:v>0.00002475092462397123</x:v>
      </x:c>
      <x:c r="J85" s="33" t="str">
        <x:v>C05E_TT10_C04_TAPA6008_1.SLDPRT</x:v>
      </x:c>
      <x:c r="K85" s="33" t="str">
        <x:v>CAD_volume_x_specified_density</x:v>
      </x:c>
    </x:row>
    <x:row r="86" ht="32" customHeight="1">
      <x:c r="A86" s="33" t="n">
        <x:v>78</x:v>
      </x:c>
      <x:c r="B86" s="33" t="str">
        <x:v>TT10_C04_TAPA6008_2</x:v>
      </x:c>
      <x:c r="C86" s="33" t="n">
        <x:v>1</x:v>
      </x:c>
      <x:c r="D86" s="34" t="str">
        <x:v>Tapa104x4, cabezas en cajera; desmontaje exterior</x:v>
      </x:c>
      <x:c r="E86" s="34" t="str">
        <x:v>ASTM A36</x:v>
      </x:c>
      <x:c r="F86" s="35" t="n">
        <x:v>0.17861004281586096</x:v>
      </x:c>
      <x:c r="G86" s="35" t="n">
        <x:f>IF(F86="","",C86*F86)</x:f>
        <x:v>0.17861004281586096</x:v>
      </x:c>
      <x:c r="H86" s="33" t="str">
        <x:v>Fabricación</x:v>
      </x:c>
      <x:c r="I86" s="36" t="n">
        <x:v>0.00002275287169628802</x:v>
      </x:c>
      <x:c r="J86" s="33" t="str">
        <x:v>C05E_TT10_C04_TAPA6008_2.SLDPRT</x:v>
      </x:c>
      <x:c r="K86" s="33" t="str">
        <x:v>CAD_volume_x_specified_density</x:v>
      </x:c>
    </x:row>
    <x:row r="87" ht="32" customHeight="1">
      <x:c r="A87" s="33" t="n">
        <x:v>79</x:v>
      </x:c>
      <x:c r="B87" s="33" t="str">
        <x:v>TT10_C04_TRAVESANO</x:v>
      </x:c>
      <x:c r="C87" s="33" t="n">
        <x:v>1</x:v>
      </x:c>
      <x:c r="D87" s="34" t="str">
        <x:v>RHS100x50x5,L230; une los dos postes del puesto manual, a3</x:v>
      </x:c>
      <x:c r="E87" s="34" t="str">
        <x:v>S275J0H / EN 10219-1</x:v>
      </x:c>
      <x:c r="F87" s="35" t="n">
        <x:v>2.5276999999999705</x:v>
      </x:c>
      <x:c r="G87" s="35" t="n">
        <x:f>IF(F87="","",C87*F87)</x:f>
        <x:v>2.5276999999999705</x:v>
      </x:c>
      <x:c r="H87" s="33" t="str">
        <x:v>Fabricación</x:v>
      </x:c>
      <x:c r="I87" s="36" t="n">
        <x:v>0.0003219999999999962</x:v>
      </x:c>
      <x:c r="J87" s="33" t="str">
        <x:v>C05E_TT10_C04_TRAVESANO.SLDPRT</x:v>
      </x:c>
      <x:c r="K87" s="33" t="str">
        <x:v>CAD_volume_x_specified_density</x:v>
      </x:c>
    </x:row>
    <x:row r="88" ht="32" customHeight="1">
      <x:c r="A88" s="33" t="n">
        <x:v>80</x:v>
      </x:c>
      <x:c r="B88" s="33" t="str">
        <x:v>TT10_C05_ARANDELA_TENSOR_0</x:v>
      </x:c>
      <x:c r="C88" s="33" t="n">
        <x:v>1</x:v>
      </x:c>
      <x:c r="D88" s="34" t="str">
        <x:v>Arandela puente44x21x4, endurecida, cubre ranura22</x:v>
      </x:c>
      <x:c r="E88" s="34" t="str">
        <x:v>Arandela endurecida 300 HV / ISO 7089</x:v>
      </x:c>
      <x:c r="F88" s="35" t="n">
        <x:v>0.03686894598436656</x:v>
      </x:c>
      <x:c r="G88" s="35" t="n">
        <x:f>IF(F88="","",C88*F88)</x:f>
        <x:v>0.03686894598436656</x:v>
      </x:c>
      <x:c r="H88" s="33" t="str">
        <x:v>Compra</x:v>
      </x:c>
      <x:c r="I88" s="36" t="n">
        <x:v>0.00000469668101711676</x:v>
      </x:c>
      <x:c r="J88" s="33" t="str">
        <x:v>C05E_TT10_C05_ARANDELA_TENSOR_0.SLDPRT</x:v>
      </x:c>
      <x:c r="K88" s="33" t="str">
        <x:v>CAD_volume_x_specified_density</x:v>
      </x:c>
    </x:row>
    <x:row r="89" ht="32" customHeight="1">
      <x:c r="A89" s="33" t="n">
        <x:v>81</x:v>
      </x:c>
      <x:c r="B89" s="33" t="str">
        <x:v>TT10_C05_ARANDELA_TENSOR_1</x:v>
      </x:c>
      <x:c r="C89" s="33" t="n">
        <x:v>1</x:v>
      </x:c>
      <x:c r="D89" s="34" t="str">
        <x:v>Arandela puente44x21x4, endurecida, cubre ranura22</x:v>
      </x:c>
      <x:c r="E89" s="34" t="str">
        <x:v>Arandela endurecida 300 HV / ISO 7089</x:v>
      </x:c>
      <x:c r="F89" s="35" t="n">
        <x:v>0.03686894598436656</x:v>
      </x:c>
      <x:c r="G89" s="35" t="n">
        <x:f>IF(F89="","",C89*F89)</x:f>
        <x:v>0.03686894598436656</x:v>
      </x:c>
      <x:c r="H89" s="33" t="str">
        <x:v>Compra</x:v>
      </x:c>
      <x:c r="I89" s="36" t="n">
        <x:v>0.00000469668101711676</x:v>
      </x:c>
      <x:c r="J89" s="33" t="str">
        <x:v>C05E_TT10_C05_ARANDELA_TENSOR_1.SLDPRT</x:v>
      </x:c>
      <x:c r="K89" s="33" t="str">
        <x:v>CAD_volume_x_specified_density</x:v>
      </x:c>
    </x:row>
    <x:row r="90" ht="32" customHeight="1">
      <x:c r="A90" s="33" t="n">
        <x:v>82</x:v>
      </x:c>
      <x:c r="B90" s="33" t="str">
        <x:v>TT10_C05_ARANDELA_TENSOR_2</x:v>
      </x:c>
      <x:c r="C90" s="33" t="n">
        <x:v>1</x:v>
      </x:c>
      <x:c r="D90" s="34" t="str">
        <x:v>Arandela puente44x21x4, endurecida, cubre ranura22</x:v>
      </x:c>
      <x:c r="E90" s="34" t="str">
        <x:v>Arandela endurecida 300 HV / ISO 7089</x:v>
      </x:c>
      <x:c r="F90" s="35" t="n">
        <x:v>0.03686894598436653</x:v>
      </x:c>
      <x:c r="G90" s="35" t="n">
        <x:f>IF(F90="","",C90*F90)</x:f>
        <x:v>0.03686894598436653</x:v>
      </x:c>
      <x:c r="H90" s="33" t="str">
        <x:v>Compra</x:v>
      </x:c>
      <x:c r="I90" s="36" t="n">
        <x:v>0.000004696681017116755</x:v>
      </x:c>
      <x:c r="J90" s="33" t="str">
        <x:v>C05E_TT10_C05_ARANDELA_TENSOR_2.SLDPRT</x:v>
      </x:c>
      <x:c r="K90" s="33" t="str">
        <x:v>CAD_volume_x_specified_density</x:v>
      </x:c>
    </x:row>
    <x:row r="91" ht="32" customHeight="1">
      <x:c r="A91" s="33" t="n">
        <x:v>83</x:v>
      </x:c>
      <x:c r="B91" s="33" t="str">
        <x:v>TT10_C05_ARANDELA_TENSOR_3</x:v>
      </x:c>
      <x:c r="C91" s="33" t="n">
        <x:v>1</x:v>
      </x:c>
      <x:c r="D91" s="34" t="str">
        <x:v>Arandela puente44x21x4, endurecida, cubre ranura22</x:v>
      </x:c>
      <x:c r="E91" s="34" t="str">
        <x:v>Arandela endurecida 300 HV / ISO 7089</x:v>
      </x:c>
      <x:c r="F91" s="35" t="n">
        <x:v>0.03686894598436653</x:v>
      </x:c>
      <x:c r="G91" s="35" t="n">
        <x:f>IF(F91="","",C91*F91)</x:f>
        <x:v>0.03686894598436653</x:v>
      </x:c>
      <x:c r="H91" s="33" t="str">
        <x:v>Compra</x:v>
      </x:c>
      <x:c r="I91" s="36" t="n">
        <x:v>0.000004696681017116755</x:v>
      </x:c>
      <x:c r="J91" s="33" t="str">
        <x:v>C05E_TT10_C05_ARANDELA_TENSOR_3.SLDPRT</x:v>
      </x:c>
      <x:c r="K91" s="33" t="str">
        <x:v>CAD_volume_x_specified_density</x:v>
      </x:c>
    </x:row>
    <x:row r="92" ht="32" customHeight="1">
      <x:c r="A92" s="33" t="n">
        <x:v>84</x:v>
      </x:c>
      <x:c r="B92" s="33" t="str">
        <x:v>TT10_C05_B20_TENSOR_0</x:v>
      </x:c>
      <x:c r="C92" s="33" t="n">
        <x:v>1</x:v>
      </x:c>
      <x:c r="D92" s="34" t="str">
        <x:v>Tornillo M20x45,ISO4017 8.8; geometria nominal</x:v>
      </x:c>
      <x:c r="E92" s="34" t="str">
        <x:v>Clase 8.8 / ISO 898-1</x:v>
      </x:c>
      <x:c r="F92" s="35" t="n">
        <x:v>0.18745314208215583</x:v>
      </x:c>
      <x:c r="G92" s="35" t="n">
        <x:f>IF(F92="","",C92*F92)</x:f>
        <x:v>0.18745314208215583</x:v>
      </x:c>
      <x:c r="H92" s="33" t="str">
        <x:v>Compra</x:v>
      </x:c>
      <x:c r="I92" s="36" t="n">
        <x:v>0.000023879381156962525</x:v>
      </x:c>
      <x:c r="J92" s="33" t="str">
        <x:v>C05E_TT10_C05_B20_TENSOR_0.SLDPRT</x:v>
      </x:c>
      <x:c r="K92" s="33" t="str">
        <x:v>CAD_volume_x_specified_density</x:v>
      </x:c>
    </x:row>
    <x:row r="93" ht="32" customHeight="1">
      <x:c r="A93" s="33" t="n">
        <x:v>85</x:v>
      </x:c>
      <x:c r="B93" s="33" t="str">
        <x:v>TT10_C05_B20_TENSOR_1</x:v>
      </x:c>
      <x:c r="C93" s="33" t="n">
        <x:v>1</x:v>
      </x:c>
      <x:c r="D93" s="34" t="str">
        <x:v>Tornillo M20x45,ISO4017 8.8; geometria nominal</x:v>
      </x:c>
      <x:c r="E93" s="34" t="str">
        <x:v>Clase 8.8 / ISO 898-1</x:v>
      </x:c>
      <x:c r="F93" s="35" t="n">
        <x:v>0.18745314208215583</x:v>
      </x:c>
      <x:c r="G93" s="35" t="n">
        <x:f>IF(F93="","",C93*F93)</x:f>
        <x:v>0.18745314208215583</x:v>
      </x:c>
      <x:c r="H93" s="33" t="str">
        <x:v>Compra</x:v>
      </x:c>
      <x:c r="I93" s="36" t="n">
        <x:v>0.000023879381156962525</x:v>
      </x:c>
      <x:c r="J93" s="33" t="str">
        <x:v>C05E_TT10_C05_B20_TENSOR_1.SLDPRT</x:v>
      </x:c>
      <x:c r="K93" s="33" t="str">
        <x:v>CAD_volume_x_specified_density</x:v>
      </x:c>
    </x:row>
    <x:row r="94" ht="32" customHeight="1">
      <x:c r="A94" s="33" t="n">
        <x:v>86</x:v>
      </x:c>
      <x:c r="B94" s="33" t="str">
        <x:v>TT10_C05_B20_TENSOR_2</x:v>
      </x:c>
      <x:c r="C94" s="33" t="n">
        <x:v>1</x:v>
      </x:c>
      <x:c r="D94" s="34" t="str">
        <x:v>Tornillo M20x45,ISO4017 8.8; geometria nominal</x:v>
      </x:c>
      <x:c r="E94" s="34" t="str">
        <x:v>Clase 8.8 / ISO 898-1</x:v>
      </x:c>
      <x:c r="F94" s="35" t="n">
        <x:v>0.18745314208215602</x:v>
      </x:c>
      <x:c r="G94" s="35" t="n">
        <x:f>IF(F94="","",C94*F94)</x:f>
        <x:v>0.18745314208215602</x:v>
      </x:c>
      <x:c r="H94" s="33" t="str">
        <x:v>Compra</x:v>
      </x:c>
      <x:c r="I94" s="36" t="n">
        <x:v>0.00002387938115696255</x:v>
      </x:c>
      <x:c r="J94" s="33" t="str">
        <x:v>C05E_TT10_C05_B20_TENSOR_2.SLDPRT</x:v>
      </x:c>
      <x:c r="K94" s="33" t="str">
        <x:v>CAD_volume_x_specified_density</x:v>
      </x:c>
    </x:row>
    <x:row r="95" ht="32" customHeight="1">
      <x:c r="A95" s="33" t="n">
        <x:v>87</x:v>
      </x:c>
      <x:c r="B95" s="33" t="str">
        <x:v>TT10_C05_B20_TENSOR_3</x:v>
      </x:c>
      <x:c r="C95" s="33" t="n">
        <x:v>1</x:v>
      </x:c>
      <x:c r="D95" s="34" t="str">
        <x:v>Tornillo M20x45,ISO4017 8.8; geometria nominal</x:v>
      </x:c>
      <x:c r="E95" s="34" t="str">
        <x:v>Clase 8.8 / ISO 898-1</x:v>
      </x:c>
      <x:c r="F95" s="35" t="n">
        <x:v>0.18745314208215602</x:v>
      </x:c>
      <x:c r="G95" s="35" t="n">
        <x:f>IF(F95="","",C95*F95)</x:f>
        <x:v>0.18745314208215602</x:v>
      </x:c>
      <x:c r="H95" s="33" t="str">
        <x:v>Compra</x:v>
      </x:c>
      <x:c r="I95" s="36" t="n">
        <x:v>0.00002387938115696255</x:v>
      </x:c>
      <x:c r="J95" s="33" t="str">
        <x:v>C05E_TT10_C05_B20_TENSOR_3.SLDPRT</x:v>
      </x:c>
      <x:c r="K95" s="33" t="str">
        <x:v>CAD_volume_x_specified_density</x:v>
      </x:c>
    </x:row>
    <x:row r="96" ht="32" customHeight="1">
      <x:c r="A96" s="33" t="n">
        <x:v>88</x:v>
      </x:c>
      <x:c r="B96" s="33" t="str">
        <x:v>TT10_C05_B4_RETEN_0_0</x:v>
      </x:c>
      <x:c r="C96" s="33" t="n">
        <x:v>1</x:v>
      </x:c>
      <x:c r="D96" s="34" t="str">
        <x:v>M4x9,8.8; tornillo del puente cautivo; fijador desmontable</x:v>
      </x:c>
      <x:c r="E96" s="34" t="str">
        <x:v>Clase 10.9 / ISO 898-1</x:v>
      </x:c>
      <x:c r="F96" s="35" t="n">
        <x:v>0.0020962276981075756</x:v>
      </x:c>
      <x:c r="G96" s="35" t="n">
        <x:f>IF(F96="","",C96*F96)</x:f>
        <x:v>0.0020962276981075756</x:v>
      </x:c>
      <x:c r="H96" s="33" t="str">
        <x:v>Compra</x:v>
      </x:c>
      <x:c r="I96" s="36" t="n">
        <x:v>2.6703537555510515e-7</x:v>
      </x:c>
      <x:c r="J96" s="33" t="str">
        <x:v>C05E_TT10_C05_B4_RETEN_0_0.SLDPRT</x:v>
      </x:c>
      <x:c r="K96" s="33" t="str">
        <x:v>CAD_volume_x_specified_density</x:v>
      </x:c>
    </x:row>
    <x:row r="97" ht="32" customHeight="1">
      <x:c r="A97" s="33" t="n">
        <x:v>89</x:v>
      </x:c>
      <x:c r="B97" s="33" t="str">
        <x:v>TT10_C05_B4_RETEN_0_1</x:v>
      </x:c>
      <x:c r="C97" s="33" t="n">
        <x:v>1</x:v>
      </x:c>
      <x:c r="D97" s="34" t="str">
        <x:v>M4x9,8.8; tornillo del puente cautivo; fijador desmontable</x:v>
      </x:c>
      <x:c r="E97" s="34" t="str">
        <x:v>Clase 10.9 / ISO 898-1</x:v>
      </x:c>
      <x:c r="F97" s="35" t="n">
        <x:v>0.0020962276981075756</x:v>
      </x:c>
      <x:c r="G97" s="35" t="n">
        <x:f>IF(F97="","",C97*F97)</x:f>
        <x:v>0.0020962276981075756</x:v>
      </x:c>
      <x:c r="H97" s="33" t="str">
        <x:v>Compra</x:v>
      </x:c>
      <x:c r="I97" s="36" t="n">
        <x:v>2.6703537555510515e-7</x:v>
      </x:c>
      <x:c r="J97" s="33" t="str">
        <x:v>C05E_TT10_C05_B4_RETEN_0_1.SLDPRT</x:v>
      </x:c>
      <x:c r="K97" s="33" t="str">
        <x:v>CAD_volume_x_specified_density</x:v>
      </x:c>
    </x:row>
    <x:row r="98" ht="32" customHeight="1">
      <x:c r="A98" s="33" t="n">
        <x:v>90</x:v>
      </x:c>
      <x:c r="B98" s="33" t="str">
        <x:v>TT10_C05_B4_RETEN_1_0</x:v>
      </x:c>
      <x:c r="C98" s="33" t="n">
        <x:v>1</x:v>
      </x:c>
      <x:c r="D98" s="34" t="str">
        <x:v>M4x9,8.8; tornillo del puente cautivo; fijador desmontable</x:v>
      </x:c>
      <x:c r="E98" s="34" t="str">
        <x:v>Clase 10.9 / ISO 898-1</x:v>
      </x:c>
      <x:c r="F98" s="35" t="n">
        <x:v>0.0020962276981075756</x:v>
      </x:c>
      <x:c r="G98" s="35" t="n">
        <x:f>IF(F98="","",C98*F98)</x:f>
        <x:v>0.0020962276981075756</x:v>
      </x:c>
      <x:c r="H98" s="33" t="str">
        <x:v>Compra</x:v>
      </x:c>
      <x:c r="I98" s="36" t="n">
        <x:v>2.6703537555510515e-7</x:v>
      </x:c>
      <x:c r="J98" s="33" t="str">
        <x:v>C05E_TT10_C05_B4_RETEN_1_0.SLDPRT</x:v>
      </x:c>
      <x:c r="K98" s="33" t="str">
        <x:v>CAD_volume_x_specified_density</x:v>
      </x:c>
    </x:row>
    <x:row r="99" ht="32" customHeight="1">
      <x:c r="A99" s="33" t="n">
        <x:v>91</x:v>
      </x:c>
      <x:c r="B99" s="33" t="str">
        <x:v>TT10_C05_B4_RETEN_1_1</x:v>
      </x:c>
      <x:c r="C99" s="33" t="n">
        <x:v>1</x:v>
      </x:c>
      <x:c r="D99" s="34" t="str">
        <x:v>M4x9,8.8; tornillo del puente cautivo; fijador desmontable</x:v>
      </x:c>
      <x:c r="E99" s="34" t="str">
        <x:v>Clase 10.9 / ISO 898-1</x:v>
      </x:c>
      <x:c r="F99" s="35" t="n">
        <x:v>0.0020962276981075756</x:v>
      </x:c>
      <x:c r="G99" s="35" t="n">
        <x:f>IF(F99="","",C99*F99)</x:f>
        <x:v>0.0020962276981075756</x:v>
      </x:c>
      <x:c r="H99" s="33" t="str">
        <x:v>Compra</x:v>
      </x:c>
      <x:c r="I99" s="36" t="n">
        <x:v>2.6703537555510515e-7</x:v>
      </x:c>
      <x:c r="J99" s="33" t="str">
        <x:v>C05E_TT10_C05_B4_RETEN_1_1.SLDPRT</x:v>
      </x:c>
      <x:c r="K99" s="33" t="str">
        <x:v>CAD_volume_x_specified_density</x:v>
      </x:c>
    </x:row>
    <x:row r="100" ht="32" customHeight="1">
      <x:c r="A100" s="33" t="n">
        <x:v>92</x:v>
      </x:c>
      <x:c r="B100" s="33" t="str">
        <x:v>TT10_C05_BASE_FIJA_TENSOR</x:v>
      </x:c>
      <x:c r="C100" s="33" t="n">
        <x:v>1</x:v>
      </x:c>
      <x:c r="D100" s="34" t="str">
        <x:v>Base fija630x420x20; cuatro M20 roscados20;apriete100Nm;no son anclajes a losa</x:v>
      </x:c>
      <x:c r="E100" s="34" t="str">
        <x:v>ASTM A36</x:v>
      </x:c>
      <x:c r="F100" s="35" t="n">
        <x:v>40.57560798135455</x:v>
      </x:c>
      <x:c r="G100" s="35" t="n">
        <x:f>IF(F100="","",C100*F100)</x:f>
        <x:v>40.57560798135455</x:v>
      </x:c>
      <x:c r="H100" s="33" t="str">
        <x:v>Fabricación</x:v>
      </x:c>
      <x:c r="I100" s="36" t="n">
        <x:v>0.00516886725877128</x:v>
      </x:c>
      <x:c r="J100" s="33" t="str">
        <x:v>C05E_TT10_C05_BASE_FIJA_TENSOR.SLDPRT</x:v>
      </x:c>
      <x:c r="K100" s="33" t="str">
        <x:v>CAD_volume_x_specified_density</x:v>
      </x:c>
    </x:row>
    <x:row r="101" ht="32" customHeight="1">
      <x:c r="A101" s="33" t="n">
        <x:v>93</x:v>
      </x:c>
      <x:c r="B101" s="33" t="str">
        <x:v>TT10_C05_BDNB_28_23</x:v>
      </x:c>
      <x:c r="C101" s="33" t="n">
        <x:v>1</x:v>
      </x:c>
      <x:c r="D101" s="34" t="str">
        <x:v>Warner BDNB 28.23Nm, brida lado entrada, exterior reconstruido según MCC-P-1310 03/25 p69; cotas nominales medias</x:v>
      </x:c>
      <x:c r="E101" s="34" t="str">
        <x:v>Equipo comprado</x:v>
      </x:c>
      <x:c r="F101" s="35" t="n">
        <x:v>0.90718474</x:v>
      </x:c>
      <x:c r="G101" s="35" t="n">
        <x:f>IF(F101="","",C101*F101)</x:f>
        <x:v>0.90718474</x:v>
      </x:c>
      <x:c r="H101" s="33" t="str">
        <x:v>Compra</x:v>
      </x:c>
      <x:c r="I101" s="36" t="n">
        <x:v>0.00011539652553403002</x:v>
      </x:c>
      <x:c r="J101" s="33" t="str">
        <x:v>TT10_C05_BDNB_28_23.SLDPRT</x:v>
      </x:c>
      <x:c r="K101" s="33" t="str">
        <x:v>Masa catálogo: 2 lb</x:v>
      </x:c>
    </x:row>
    <x:row r="102" ht="32" customHeight="1">
      <x:c r="A102" s="33" t="n">
        <x:v>94</x:v>
      </x:c>
      <x:c r="B102" s="33" t="str">
        <x:v>TT10_C05_BDNB_APOYO_0_INFERIOR</x:v>
      </x:c>
      <x:c r="C102" s="33" t="n">
        <x:v>1</x:v>
      </x:c>
      <x:c r="D102" s="34" t="str">
        <x:v>Apoyo partido6006, asientoH7, tapa2M6x60, roscasM6 cuerpo; soldaduraa4 base</x:v>
      </x:c>
      <x:c r="E102" s="34" t="str">
        <x:v>ASTM A36</x:v>
      </x:c>
      <x:c r="F102" s="35" t="n">
        <x:v>1.2384361790086948</x:v>
      </x:c>
      <x:c r="G102" s="35" t="n">
        <x:f>IF(F102="","",C102*F102)</x:f>
        <x:v>1.2384361790086948</x:v>
      </x:c>
      <x:c r="H102" s="33" t="str">
        <x:v>Fabricación</x:v>
      </x:c>
      <x:c r="I102" s="36" t="n">
        <x:v>0.00015776257057435603</x:v>
      </x:c>
      <x:c r="J102" s="33" t="str">
        <x:v>TT10_C05_BDNB_APOYO_0_INFERIOR_B02.SLDPRT</x:v>
      </x:c>
      <x:c r="K102" s="33" t="str">
        <x:v>Volumen CAD y densidad</x:v>
      </x:c>
    </x:row>
    <x:row r="103" ht="32" customHeight="1">
      <x:c r="A103" s="33" t="n">
        <x:v>95</x:v>
      </x:c>
      <x:c r="B103" s="33" t="str">
        <x:v>TT10_C05_BDNB_APOYO_0_TAPA</x:v>
      </x:c>
      <x:c r="C103" s="33" t="n">
        <x:v>1</x:v>
      </x:c>
      <x:c r="D103" s="34" t="str">
        <x:v>Apoyo partido6006, asientoH7, tapa2M6x60, roscasM6 cuerpo; soldaduraa4 base</x:v>
      </x:c>
      <x:c r="E103" s="34" t="str">
        <x:v>ASTM A36</x:v>
      </x:c>
      <x:c r="F103" s="35" t="n">
        <x:v>0.294359462437874</x:v>
      </x:c>
      <x:c r="G103" s="35" t="n">
        <x:f>IF(F103="","",C103*F103)</x:f>
        <x:v>0.294359462437874</x:v>
      </x:c>
      <x:c r="H103" s="33" t="str">
        <x:v>Fabricación</x:v>
      </x:c>
      <x:c r="I103" s="36" t="n">
        <x:v>0.000037498020692722796</x:v>
      </x:c>
      <x:c r="J103" s="33" t="str">
        <x:v>TT10_C05_BDNB_APOYO_0_TAPA_B02.SLDPRT</x:v>
      </x:c>
      <x:c r="K103" s="33" t="str">
        <x:v>Volumen CAD y densidad</x:v>
      </x:c>
    </x:row>
    <x:row r="104" ht="32" customHeight="1">
      <x:c r="A104" s="33" t="n">
        <x:v>96</x:v>
      </x:c>
      <x:c r="B104" s="33" t="str">
        <x:v>TT10_C05_BDNB_APOYO_1_INFERIOR</x:v>
      </x:c>
      <x:c r="C104" s="33" t="n">
        <x:v>1</x:v>
      </x:c>
      <x:c r="D104" s="34" t="str">
        <x:v>Apoyo partido6006, asientoH7, tapa2M6x60, roscasM6 cuerpo; soldaduraa4 base</x:v>
      </x:c>
      <x:c r="E104" s="34" t="str">
        <x:v>ASTM A36</x:v>
      </x:c>
      <x:c r="F104" s="35" t="n">
        <x:v>1.2384361790087035</x:v>
      </x:c>
      <x:c r="G104" s="35" t="n">
        <x:f>IF(F104="","",C104*F104)</x:f>
        <x:v>1.2384361790087035</x:v>
      </x:c>
      <x:c r="H104" s="33" t="str">
        <x:v>Fabricación</x:v>
      </x:c>
      <x:c r="I104" s="36" t="n">
        <x:v>0.00015776257057435714</x:v>
      </x:c>
      <x:c r="J104" s="33" t="str">
        <x:v>TT10_C05_BDNB_APOYO_1_INFERIOR_B02.SLDPRT</x:v>
      </x:c>
      <x:c r="K104" s="33" t="str">
        <x:v>Volumen CAD y densidad</x:v>
      </x:c>
    </x:row>
    <x:row r="105" ht="32" customHeight="1">
      <x:c r="A105" s="33" t="n">
        <x:v>97</x:v>
      </x:c>
      <x:c r="B105" s="33" t="str">
        <x:v>TT10_C05_BDNB_APOYO_1_TAPA</x:v>
      </x:c>
      <x:c r="C105" s="33" t="n">
        <x:v>1</x:v>
      </x:c>
      <x:c r="D105" s="34" t="str">
        <x:v>Apoyo partido6006, asientoH7, tapa2M6x60, roscasM6 cuerpo; soldaduraa4 base</x:v>
      </x:c>
      <x:c r="E105" s="34" t="str">
        <x:v>ASTM A36</x:v>
      </x:c>
      <x:c r="F105" s="35" t="n">
        <x:v>0.29435946243787653</x:v>
      </x:c>
      <x:c r="G105" s="35" t="n">
        <x:f>IF(F105="","",C105*F105)</x:f>
        <x:v>0.29435946243787653</x:v>
      </x:c>
      <x:c r="H105" s="33" t="str">
        <x:v>Fabricación</x:v>
      </x:c>
      <x:c r="I105" s="36" t="n">
        <x:v>0.00003749802069272312</x:v>
      </x:c>
      <x:c r="J105" s="33" t="str">
        <x:v>TT10_C05_BDNB_APOYO_1_TAPA_B02.SLDPRT</x:v>
      </x:c>
      <x:c r="K105" s="33" t="str">
        <x:v>Volumen CAD y densidad</x:v>
      </x:c>
    </x:row>
    <x:row r="106" ht="32" customHeight="1">
      <x:c r="A106" s="33" t="n">
        <x:v>98</x:v>
      </x:c>
      <x:c r="B106" s="33" t="str">
        <x:v>TT10_C05_BDNB_APOYO_2_INFERIOR</x:v>
      </x:c>
      <x:c r="C106" s="33" t="n">
        <x:v>1</x:v>
      </x:c>
      <x:c r="D106" s="34" t="str">
        <x:v>Apoyo partido6906, asientoH7, tapa2M6x60, roscasM6 cuerpo; soldaduraa4 base</x:v>
      </x:c>
      <x:c r="E106" s="34" t="str">
        <x:v>ASTM A36</x:v>
      </x:c>
      <x:c r="F106" s="35" t="n">
        <x:v>0.9743409036415341</x:v>
      </x:c>
      <x:c r="G106" s="35" t="n">
        <x:f>IF(F106="","",C106*F106)</x:f>
        <x:v>0.9743409036415341</x:v>
      </x:c>
      <x:c r="H106" s="33" t="str">
        <x:v>Fabricación</x:v>
      </x:c>
      <x:c r="I106" s="36" t="n">
        <x:v>0.00012411986033650116</x:v>
      </x:c>
      <x:c r="J106" s="33" t="str">
        <x:v>TT10_C05_BDNB_APOYO_2_INFERIOR.SLDPRT</x:v>
      </x:c>
      <x:c r="K106" s="33" t="str">
        <x:v>Volumen CAD y densidad</x:v>
      </x:c>
    </x:row>
    <x:row r="107" ht="32" customHeight="1">
      <x:c r="A107" s="33" t="n">
        <x:v>99</x:v>
      </x:c>
      <x:c r="B107" s="33" t="str">
        <x:v>TT10_C05_BDNB_APOYO_2_TAPA</x:v>
      </x:c>
      <x:c r="C107" s="33" t="n">
        <x:v>1</x:v>
      </x:c>
      <x:c r="D107" s="34" t="str">
        <x:v>Apoyo partido6906, asientoH7, tapa2M6x60, roscasM6 cuerpo; soldaduraa4 base</x:v>
      </x:c>
      <x:c r="E107" s="34" t="str">
        <x:v>ASTM A36</x:v>
      </x:c>
      <x:c r="F107" s="35" t="n">
        <x:v>0.2487952438525914</x:v>
      </x:c>
      <x:c r="G107" s="35" t="n">
        <x:f>IF(F107="","",C107*F107)</x:f>
        <x:v>0.2487952438525914</x:v>
      </x:c>
      <x:c r="H107" s="33" t="str">
        <x:v>Fabricación</x:v>
      </x:c>
      <x:c r="I107" s="36" t="n">
        <x:v>0.00003169366163727279</x:v>
      </x:c>
      <x:c r="J107" s="33" t="str">
        <x:v>TT10_C05_BDNB_APOYO_2_TAPA.SLDPRT</x:v>
      </x:c>
      <x:c r="K107" s="33" t="str">
        <x:v>Volumen CAD y densidad</x:v>
      </x:c>
    </x:row>
    <x:row r="108" ht="32" customHeight="1">
      <x:c r="A108" s="33" t="n">
        <x:v>100</x:v>
      </x:c>
      <x:c r="B108" s="33" t="str">
        <x:v>TT10_C05_BDNB_APOYO_3_INFERIOR</x:v>
      </x:c>
      <x:c r="C108" s="33" t="n">
        <x:v>1</x:v>
      </x:c>
      <x:c r="D108" s="34" t="str">
        <x:v>Apoyo partido6906, asientoH7, tapa2M6x60, roscasM6 cuerpo; soldaduraa4 base</x:v>
      </x:c>
      <x:c r="E108" s="34" t="str">
        <x:v>ASTM A36</x:v>
      </x:c>
      <x:c r="F108" s="35" t="n">
        <x:v>0.9743409036415341</x:v>
      </x:c>
      <x:c r="G108" s="35" t="n">
        <x:f>IF(F108="","",C108*F108)</x:f>
        <x:v>0.9743409036415341</x:v>
      </x:c>
      <x:c r="H108" s="33" t="str">
        <x:v>Fabricación</x:v>
      </x:c>
      <x:c r="I108" s="36" t="n">
        <x:v>0.00012411986033650116</x:v>
      </x:c>
      <x:c r="J108" s="33" t="str">
        <x:v>TT10_C05_BDNB_APOYO_3_INFERIOR.SLDPRT</x:v>
      </x:c>
      <x:c r="K108" s="33" t="str">
        <x:v>Volumen CAD y densidad</x:v>
      </x:c>
    </x:row>
    <x:row r="109" ht="32" customHeight="1">
      <x:c r="A109" s="33" t="n">
        <x:v>101</x:v>
      </x:c>
      <x:c r="B109" s="33" t="str">
        <x:v>TT10_C05_BDNB_APOYO_3_TAPA</x:v>
      </x:c>
      <x:c r="C109" s="33" t="n">
        <x:v>1</x:v>
      </x:c>
      <x:c r="D109" s="34" t="str">
        <x:v>Apoyo partido6906, asientoH7, tapa2M6x60, roscasM6 cuerpo; soldaduraa4 base</x:v>
      </x:c>
      <x:c r="E109" s="34" t="str">
        <x:v>ASTM A36</x:v>
      </x:c>
      <x:c r="F109" s="35" t="n">
        <x:v>0.2487952438525914</x:v>
      </x:c>
      <x:c r="G109" s="35" t="n">
        <x:f>IF(F109="","",C109*F109)</x:f>
        <x:v>0.2487952438525914</x:v>
      </x:c>
      <x:c r="H109" s="33" t="str">
        <x:v>Fabricación</x:v>
      </x:c>
      <x:c r="I109" s="36" t="n">
        <x:v>0.00003169366163727279</x:v>
      </x:c>
      <x:c r="J109" s="33" t="str">
        <x:v>TT10_C05_BDNB_APOYO_3_TAPA.SLDPRT</x:v>
      </x:c>
      <x:c r="K109" s="33" t="str">
        <x:v>Volumen CAD y densidad</x:v>
      </x:c>
    </x:row>
    <x:row r="110" ht="32" customHeight="1">
      <x:c r="A110" s="33" t="n">
        <x:v>102</x:v>
      </x:c>
      <x:c r="B110" s="33" t="str">
        <x:v>TT10_C05_BDNB_BASE</x:v>
      </x:c>
      <x:c r="C110" s="33" t="n">
        <x:v>1</x:v>
      </x:c>
      <x:c r="D110" s="34" t="str">
        <x:v>Base16 con ventana cadena,4pasos11;4M10x35 en placa existente roscadaM10</x:v>
      </x:c>
      <x:c r="E110" s="34" t="str">
        <x:v>ASTM A36</x:v>
      </x:c>
      <x:c r="F110" s="35" t="n">
        <x:v>2.728015331487795</x:v>
      </x:c>
      <x:c r="G110" s="35" t="n">
        <x:f>IF(F110="","",C110*F110)</x:f>
        <x:v>2.728015331487795</x:v>
      </x:c>
      <x:c r="H110" s="33" t="str">
        <x:v>Fabricación</x:v>
      </x:c>
      <x:c r="I110" s="36" t="n">
        <x:v>0.0003475178766226491</x:v>
      </x:c>
      <x:c r="J110" s="33" t="str">
        <x:v>TT10_C05_BDNB_BASE.SLDPRT</x:v>
      </x:c>
      <x:c r="K110" s="33" t="str">
        <x:v>Volumen CAD y densidad</x:v>
      </x:c>
    </x:row>
    <x:row r="111" ht="32" customHeight="1">
      <x:c r="A111" s="33" t="n">
        <x:v>103</x:v>
      </x:c>
      <x:c r="B111" s="33" t="str">
        <x:v>TT10_C05_BDNB_CHAVETA_ENTRADA</x:v>
      </x:c>
      <x:c r="C111" s="33" t="n">
        <x:v>1</x:v>
      </x:c>
      <x:c r="D111" s="34" t="str">
        <x:v>ChavetaDIN6885A8x7, longitud según código</x:v>
      </x:c>
      <x:c r="E111" s="34" t="str">
        <x:v>C45E</x:v>
      </x:c>
      <x:c r="F111" s="35" t="n">
        <x:v>0.00967120000000018</x:v>
      </x:c>
      <x:c r="G111" s="35" t="n">
        <x:f>IF(F111="","",C111*F111)</x:f>
        <x:v>0.00967120000000018</x:v>
      </x:c>
      <x:c r="H111" s="33" t="str">
        <x:v>Compra</x:v>
      </x:c>
      <x:c r="I111" s="36" t="n">
        <x:v>0.0000012320000000000229</x:v>
      </x:c>
      <x:c r="J111" s="33" t="str">
        <x:v>TT10_C05_BDNB_CHAVETA_ENTRADA.SLDPRT</x:v>
      </x:c>
      <x:c r="K111" s="33" t="str">
        <x:v>Volumen CAD y densidad</x:v>
      </x:c>
    </x:row>
    <x:row r="112" ht="32" customHeight="1">
      <x:c r="A112" s="33" t="n">
        <x:v>104</x:v>
      </x:c>
      <x:c r="B112" s="33" t="str">
        <x:v>TT10_C05_BDNB_CHAVETA_SALIDA</x:v>
      </x:c>
      <x:c r="C112" s="33" t="n">
        <x:v>1</x:v>
      </x:c>
      <x:c r="D112" s="34" t="str">
        <x:v>ChavetaDIN6885A8x7, longitud según código</x:v>
      </x:c>
      <x:c r="E112" s="34" t="str">
        <x:v>C45E</x:v>
      </x:c>
      <x:c r="F112" s="35" t="n">
        <x:v>0.008792000000000164</x:v>
      </x:c>
      <x:c r="G112" s="35" t="n">
        <x:f>IF(F112="","",C112*F112)</x:f>
        <x:v>0.008792000000000164</x:v>
      </x:c>
      <x:c r="H112" s="33" t="str">
        <x:v>Compra</x:v>
      </x:c>
      <x:c r="I112" s="36" t="n">
        <x:v>0.0000011200000000000208</x:v>
      </x:c>
      <x:c r="J112" s="33" t="str">
        <x:v>TT10_C05_BDNB_CHAVETA_SALIDA.SLDPRT</x:v>
      </x:c>
      <x:c r="K112" s="33" t="str">
        <x:v>Volumen CAD y densidad</x:v>
      </x:c>
    </x:row>
    <x:row r="113" ht="32" customHeight="1">
      <x:c r="A113" s="33" t="n">
        <x:v>105</x:v>
      </x:c>
      <x:c r="B113" s="33" t="str">
        <x:v>TT10_C05_BDNB_CORONA_20D</x:v>
      </x:c>
      <x:c r="C113" s="33" t="n">
        <x:v>1</x:v>
      </x:c>
      <x:c r="D113" s="34" t="str">
        <x:v>Mädler10888120: interfaz modificada30H7/8JS9; dentado visual simplificado</x:v>
      </x:c>
      <x:c r="E113" s="34" t="str">
        <x:v>Equipo comprado</x:v>
      </x:c>
      <x:c r="F113" s="35"/>
      <x:c r="G113" s="35" t="str">
        <x:f>IF(F113="","",C113*F113)</x:f>
      </x:c>
      <x:c r="H113" s="33" t="str">
        <x:v>Compra</x:v>
      </x:c>
      <x:c r="I113" s="36" t="n">
        <x:v>0.0003199668037050234</x:v>
      </x:c>
      <x:c r="J113" s="33" t="str">
        <x:v>TT10_C05_BDNB_CORONA_20D.SLDPRT</x:v>
      </x:c>
      <x:c r="K113" s="33" t="str">
        <x:v>Masa comercial sin acreditar</x:v>
      </x:c>
    </x:row>
    <x:row r="114" ht="32" customHeight="1">
      <x:c r="A114" s="33" t="n">
        <x:v>106</x:v>
      </x:c>
      <x:c r="B114" s="33" t="str">
        <x:v>TT10_C05_BDNB_CUBO_SELECTOR</x:v>
      </x:c>
      <x:c r="C114" s="33" t="n">
        <x:v>1</x:v>
      </x:c>
      <x:c r="D114" s="34" t="str">
        <x:v>Cubo manual con corona integral z48,m2.5,20 grados; asiento47 y garras conservadas</x:v>
      </x:c>
      <x:c r="E114" s="34" t="str">
        <x:v>AISI 4140 bonificado</x:v>
      </x:c>
      <x:c r="F114" s="35" t="n">
        <x:v>2.752280869159113</x:v>
      </x:c>
      <x:c r="G114" s="35" t="n">
        <x:f>IF(F114="","",C114*F114)</x:f>
        <x:v>2.752280869159113</x:v>
      </x:c>
      <x:c r="H114" s="33" t="str">
        <x:v>Fabricación</x:v>
      </x:c>
      <x:c r="I114" s="36" t="n">
        <x:v>0.0003506090279183583</x:v>
      </x:c>
      <x:c r="J114" s="33" t="str">
        <x:v>TT10_C05_BDNB_CUBO_SELECTOR.SLDPRT</x:v>
      </x:c>
      <x:c r="K114" s="33" t="str">
        <x:v>Volumen CAD y densidad</x:v>
      </x:c>
    </x:row>
    <x:row r="115" ht="32" customHeight="1">
      <x:c r="A115" s="33" t="n">
        <x:v>107</x:v>
      </x:c>
      <x:c r="B115" s="33" t="str">
        <x:v>TT10_C05_BDNB_EJE_ENTRADA</x:v>
      </x:c>
      <x:c r="C115" s="33" t="n">
        <x:v>1</x:v>
      </x:c>
      <x:c r="D115" s="34" t="str">
        <x:v>Eje30h6; socket12.73; chaveta8x7; taladro transversal4.825</x:v>
      </x:c>
      <x:c r="E115" s="34" t="str">
        <x:v>AISI 4140 bonificado</x:v>
      </x:c>
      <x:c r="F115" s="35" t="n">
        <x:v>0.4594325352536468</x:v>
      </x:c>
      <x:c r="G115" s="35" t="n">
        <x:f>IF(F115="","",C115*F115)</x:f>
        <x:v>0.4594325352536468</x:v>
      </x:c>
      <x:c r="H115" s="33" t="str">
        <x:v>Compra</x:v>
      </x:c>
      <x:c r="I115" s="36" t="n">
        <x:v>0.00005852643761192953</x:v>
      </x:c>
      <x:c r="J115" s="33" t="str">
        <x:v>TT10_C05_BDNB_EJE_ENTRADA_B02.SLDPRT</x:v>
      </x:c>
      <x:c r="K115" s="33" t="str">
        <x:v>Volumen CAD y densidad</x:v>
      </x:c>
    </x:row>
    <x:row r="116" ht="32" customHeight="1">
      <x:c r="A116" s="33" t="n">
        <x:v>108</x:v>
      </x:c>
      <x:c r="B116" s="33" t="str">
        <x:v>TT10_C05_BDNB_EJE_SALIDA</x:v>
      </x:c>
      <x:c r="C116" s="33" t="n">
        <x:v>1</x:v>
      </x:c>
      <x:c r="D116" s="34" t="str">
        <x:v>Eje30h6, espiga12.70; dos6906; chaveta8x7; unión positiva3/16</x:v>
      </x:c>
      <x:c r="E116" s="34" t="str">
        <x:v>AISI 4140 bonificado</x:v>
      </x:c>
      <x:c r="F116" s="35" t="n">
        <x:v>0.323687889680703</x:v>
      </x:c>
      <x:c r="G116" s="35" t="n">
        <x:f>IF(F116="","",C116*F116)</x:f>
        <x:v>0.323687889680703</x:v>
      </x:c>
      <x:c r="H116" s="33" t="str">
        <x:v>Compra</x:v>
      </x:c>
      <x:c r="I116" s="36" t="n">
        <x:v>0.00004123412607397491</x:v>
      </x:c>
      <x:c r="J116" s="33" t="str">
        <x:v>TT10_C05_BDNB_EJE_SALIDA.SLDPRT</x:v>
      </x:c>
      <x:c r="K116" s="33" t="str">
        <x:v>Volumen CAD y densidad</x:v>
      </x:c>
    </x:row>
    <x:row r="117" ht="32" customHeight="1">
      <x:c r="A117" s="33" t="n">
        <x:v>109</x:v>
      </x:c>
      <x:c r="B117" s="33" t="str">
        <x:v>TT10_C05_BDNB_ENGRANAJE</x:v>
      </x:c>
      <x:c r="C117" s="33" t="n">
        <x:v>1</x:v>
      </x:c>
      <x:c r="D117" s="34" t="str">
        <x:v>Engranaje48d,m2.5,20grados,b20;30H7,8JS9</x:v>
      </x:c>
      <x:c r="E117" s="34" t="str">
        <x:v>AISI 4140 bonificado</x:v>
      </x:c>
      <x:c r="F117" s="35" t="n">
        <x:v>1.6445362254517306</x:v>
      </x:c>
      <x:c r="G117" s="35" t="n">
        <x:f>IF(F117="","",C117*F117)</x:f>
        <x:v>1.6445362254517306</x:v>
      </x:c>
      <x:c r="H117" s="33" t="str">
        <x:v>Fabricación</x:v>
      </x:c>
      <x:c r="I117" s="36" t="n">
        <x:v>0.00020949506056709943</x:v>
      </x:c>
      <x:c r="J117" s="33" t="str">
        <x:v>TT10_C05_BDNB_ENGRANAJE.SLDPRT</x:v>
      </x:c>
      <x:c r="K117" s="33" t="str">
        <x:v>Volumen CAD y densidad</x:v>
      </x:c>
    </x:row>
    <x:row r="118" ht="32" customHeight="1">
      <x:c r="A118" s="33" t="n">
        <x:v>110</x:v>
      </x:c>
      <x:c r="B118" s="33" t="str">
        <x:v>TT10_C05_BDNB_M10</x:v>
      </x:c>
      <x:c r="C118" s="33" t="n">
        <x:v>4</x:v>
      </x:c>
      <x:c r="D118" s="34" t="str">
        <x:v>TornilloISO4017 M10x35-8.8; rosca nominal</x:v>
      </x:c>
      <x:c r="E118" s="34" t="str">
        <x:v>Clase 8.8 / ISO 898-1</x:v>
      </x:c>
      <x:c r="F118" s="35" t="n">
        <x:v>0.03271714830859424</x:v>
      </x:c>
      <x:c r="G118" s="35" t="n">
        <x:f>IF(F118="","",C118*F118)</x:f>
        <x:v>0.13086859323437697</x:v>
      </x:c>
      <x:c r="H118" s="33" t="str">
        <x:v>Compra</x:v>
      </x:c>
      <x:c r="I118" s="36" t="n">
        <x:v>0.000004167789593451496</x:v>
      </x:c>
      <x:c r="J118" s="33" t="str">
        <x:v>TT10_C05_BDNB_M10.SLDPRT</x:v>
      </x:c>
      <x:c r="K118" s="33" t="str">
        <x:v>Volumen CAD y densidad</x:v>
      </x:c>
    </x:row>
    <x:row r="119" ht="32" customHeight="1">
      <x:c r="A119" s="33" t="n">
        <x:v>111</x:v>
      </x:c>
      <x:c r="B119" s="33" t="str">
        <x:v>TT10_C05_BDNB_M5</x:v>
      </x:c>
      <x:c r="C119" s="33" t="n">
        <x:v>4</x:v>
      </x:c>
      <x:c r="D119" s="34" t="str">
        <x:v>ISO4017 M5x20-8.8, rosca nominal</x:v>
      </x:c>
      <x:c r="E119" s="34" t="str">
        <x:v>Clase 8.8 / ISO 898-1</x:v>
      </x:c>
      <x:c r="F119" s="35" t="n">
        <x:v>0.004605506861349543</x:v>
      </x:c>
      <x:c r="G119" s="35" t="n">
        <x:f>IF(F119="","",C119*F119)</x:f>
        <x:v>0.01842202744539817</x:v>
      </x:c>
      <x:c r="H119" s="33" t="str">
        <x:v>Compra</x:v>
      </x:c>
      <x:c r="I119" s="36" t="n">
        <x:v>5.866887721464385e-7</x:v>
      </x:c>
      <x:c r="J119" s="33" t="str">
        <x:v>TT10_C05_BDNB_M5.SLDPRT</x:v>
      </x:c>
      <x:c r="K119" s="33" t="str">
        <x:v>Volumen CAD y densidad</x:v>
      </x:c>
    </x:row>
    <x:row r="120" ht="32" customHeight="1">
      <x:c r="A120" s="33" t="n">
        <x:v>112</x:v>
      </x:c>
      <x:c r="B120" s="33" t="str">
        <x:v>TT10_C05_BDNB_M6</x:v>
      </x:c>
      <x:c r="C120" s="33" t="n">
        <x:v>8</x:v>
      </x:c>
      <x:c r="D120" s="34" t="str">
        <x:v>TornilloISO4017 M6x60-8.8; rosca nominal</x:v>
      </x:c>
      <x:c r="E120" s="34" t="str">
        <x:v>Clase 8.8 / ISO 898-1</x:v>
      </x:c>
      <x:c r="F120" s="35" t="n">
        <x:v>0.016036531026450276</x:v>
      </x:c>
      <x:c r="G120" s="35" t="n">
        <x:f>IF(F120="","",C120*F120)</x:f>
        <x:v>0.1282922482116022</x:v>
      </x:c>
      <x:c r="H120" s="33" t="str">
        <x:v>Compra</x:v>
      </x:c>
      <x:c r="I120" s="36" t="n">
        <x:v>0.0000020428701944522644</x:v>
      </x:c>
      <x:c r="J120" s="33" t="str">
        <x:v>TT10_C05_BDNB_M6.SLDPRT</x:v>
      </x:c>
      <x:c r="K120" s="33" t="str">
        <x:v>Volumen CAD y densidad</x:v>
      </x:c>
    </x:row>
    <x:row r="121" ht="32" customHeight="1">
      <x:c r="A121" s="33" t="n">
        <x:v>113</x:v>
      </x:c>
      <x:c r="B121" s="33" t="str">
        <x:v>TT10_C05_BDNB_N3_ENTRADA</x:v>
      </x:c>
      <x:c r="C121" s="33" t="n">
        <x:v>1</x:v>
      </x:c>
      <x:c r="D121" s="34" t="str">
        <x:v>TuercaISO7042 M3 autoblocante metálica, rosca nominal</x:v>
      </x:c>
      <x:c r="E121" s="34" t="str">
        <x:v>Tuerca clase 8 / ISO 898-2</x:v>
      </x:c>
      <x:c r="F121" s="35" t="n">
        <x:v>0.0006684598402179</x:v>
      </x:c>
      <x:c r="G121" s="35" t="n">
        <x:f>IF(F121="","",C121*F121)</x:f>
        <x:v>0.0006684598402179</x:v>
      </x:c>
      <x:c r="H121" s="33" t="str">
        <x:v>Compra</x:v>
      </x:c>
      <x:c r="I121" s="36" t="n">
        <x:v>8.515411977298088e-8</x:v>
      </x:c>
      <x:c r="J121" s="33" t="str">
        <x:v>TT10_C05_BDNB_N3_ENTRADA.SLDPRT</x:v>
      </x:c>
      <x:c r="K121" s="33" t="str">
        <x:v>Volumen CAD y densidad</x:v>
      </x:c>
    </x:row>
    <x:row r="122" ht="32" customHeight="1">
      <x:c r="A122" s="33" t="n">
        <x:v>114</x:v>
      </x:c>
      <x:c r="B122" s="33" t="str">
        <x:v>TT10_C05_BDNB_N3_SALIDA</x:v>
      </x:c>
      <x:c r="C122" s="33" t="n">
        <x:v>1</x:v>
      </x:c>
      <x:c r="D122" s="34" t="str">
        <x:v>TuercaISO7042 M3 autoblocante metálica, rosca nominal</x:v>
      </x:c>
      <x:c r="E122" s="34" t="str">
        <x:v>Tuerca clase 8 / ISO 898-2</x:v>
      </x:c>
      <x:c r="F122" s="35" t="n">
        <x:v>0.0006684598402178999</x:v>
      </x:c>
      <x:c r="G122" s="35" t="n">
        <x:f>IF(F122="","",C122*F122)</x:f>
        <x:v>0.0006684598402178999</x:v>
      </x:c>
      <x:c r="H122" s="33" t="str">
        <x:v>Compra</x:v>
      </x:c>
      <x:c r="I122" s="36" t="n">
        <x:v>8.515411977298087e-8</x:v>
      </x:c>
      <x:c r="J122" s="33" t="str">
        <x:v>TT10_C05_BDNB_N3_SALIDA.SLDPRT</x:v>
      </x:c>
      <x:c r="K122" s="33" t="str">
        <x:v>Volumen CAD y densidad</x:v>
      </x:c>
    </x:row>
    <x:row r="123" ht="32" customHeight="1">
      <x:c r="A123" s="33" t="n">
        <x:v>115</x:v>
      </x:c>
      <x:c r="B123" s="33" t="str">
        <x:v>TT10_C05_BDNB_N5</x:v>
      </x:c>
      <x:c r="C123" s="33" t="n">
        <x:v>4</x:v>
      </x:c>
      <x:c r="D123" s="34" t="str">
        <x:v>TuercaISO4032 M5-8; rosca nominal</x:v>
      </x:c>
      <x:c r="E123" s="34" t="str">
        <x:v>Tuerca clase 8 / ISO 898-2</x:v>
      </x:c>
      <x:c r="F123" s="35" t="n">
        <x:v>0.0013053357503320152</x:v>
      </x:c>
      <x:c r="G123" s="35" t="n">
        <x:f>IF(F123="","",C123*F123)</x:f>
        <x:v>0.005221343001328061</x:v>
      </x:c>
      <x:c r="H123" s="33" t="str">
        <x:v>Compra</x:v>
      </x:c>
      <x:c r="I123" s="36" t="n">
        <x:v>1.6628480895949237e-7</x:v>
      </x:c>
      <x:c r="J123" s="33" t="str">
        <x:v>TT10_C05_BDNB_N5.SLDPRT</x:v>
      </x:c>
      <x:c r="K123" s="33" t="str">
        <x:v>Volumen CAD y densidad</x:v>
      </x:c>
    </x:row>
    <x:row r="124" ht="32" customHeight="1">
      <x:c r="A124" s="33" t="n">
        <x:v>116</x:v>
      </x:c>
      <x:c r="B124" s="33" t="str">
        <x:v>TT10_C05_BDNB_PASADOR_ENTRADA</x:v>
      </x:c>
      <x:c r="C124" s="33" t="n">
        <x:v>1</x:v>
      </x:c>
      <x:c r="D124" s="34" t="str">
        <x:v>Pasador transversal3/16, cabeza7, puntaM3x5; C45E bonificado, Rp0.2 minimo650MPa</x:v>
      </x:c>
      <x:c r="E124" s="34" t="str">
        <x:v>C45E / EN 10083-2</x:v>
      </x:c>
      <x:c r="F124" s="35" t="n">
        <x:v>0.005636187909650319</x:v>
      </x:c>
      <x:c r="G124" s="35" t="n">
        <x:f>IF(F124="","",C124*F124)</x:f>
        <x:v>0.005636187909650319</x:v>
      </x:c>
      <x:c r="H124" s="33" t="str">
        <x:v>Fabricación</x:v>
      </x:c>
      <x:c r="I124" s="36" t="n">
        <x:v>7.179857209745629e-7</x:v>
      </x:c>
      <x:c r="J124" s="33" t="str">
        <x:v>TT10_C05_BDNB_PASADOR_ENTRADA.SLDPRT</x:v>
      </x:c>
      <x:c r="K124" s="33" t="str">
        <x:v>Volumen CAD y densidad</x:v>
      </x:c>
    </x:row>
    <x:row r="125" ht="32" customHeight="1">
      <x:c r="A125" s="33" t="n">
        <x:v>117</x:v>
      </x:c>
      <x:c r="B125" s="33" t="str">
        <x:v>TT10_C05_BDNB_PASADOR_SALIDA</x:v>
      </x:c>
      <x:c r="C125" s="33" t="n">
        <x:v>1</x:v>
      </x:c>
      <x:c r="D125" s="34" t="str">
        <x:v>Pasador transversal3/16, cabeza7, puntaM3x5; C45E bonificado, Rp0.2 minimo650MPa</x:v>
      </x:c>
      <x:c r="E125" s="34" t="str">
        <x:v>C45E / EN 10083-2</x:v>
      </x:c>
      <x:c r="F125" s="35" t="n">
        <x:v>0.003958115250357902</x:v>
      </x:c>
      <x:c r="G125" s="35" t="n">
        <x:f>IF(F125="","",C125*F125)</x:f>
        <x:v>0.003958115250357902</x:v>
      </x:c>
      <x:c r="H125" s="33" t="str">
        <x:v>Fabricación</x:v>
      </x:c>
      <x:c r="I125" s="36" t="n">
        <x:v>5.04218503230306e-7</x:v>
      </x:c>
      <x:c r="J125" s="33" t="str">
        <x:v>TT10_C05_BDNB_PASADOR_SALIDA.SLDPRT</x:v>
      </x:c>
      <x:c r="K125" s="33" t="str">
        <x:v>Volumen CAD y densidad</x:v>
      </x:c>
    </x:row>
    <x:row r="126" ht="32" customHeight="1">
      <x:c r="A126" s="33" t="n">
        <x:v>118</x:v>
      </x:c>
      <x:c r="B126" s="33" t="str">
        <x:v>TT10_C05_BDNB_PLACA_REACCION</x:v>
      </x:c>
      <x:c r="C126" s="33" t="n">
        <x:v>1</x:v>
      </x:c>
      <x:c r="D126" s="34" t="str">
        <x:v>Reacción BDNB8mm,4Ø5.5PCD53.85; soldaduraa4 ambos lados a base</x:v>
      </x:c>
      <x:c r="E126" s="34" t="str">
        <x:v>ASTM A36</x:v>
      </x:c>
      <x:c r="F126" s="35" t="n">
        <x:v>0.8428536679579046</x:v>
      </x:c>
      <x:c r="G126" s="35" t="n">
        <x:f>IF(F126="","",C126*F126)</x:f>
        <x:v>0.8428536679579046</x:v>
      </x:c>
      <x:c r="H126" s="33" t="str">
        <x:v>Fabricación</x:v>
      </x:c>
      <x:c r="I126" s="36" t="n">
        <x:v>0.00010736989400737638</x:v>
      </x:c>
      <x:c r="J126" s="33" t="str">
        <x:v>TT10_C05_BDNB_PLACA_REACCION.SLDPRT</x:v>
      </x:c>
      <x:c r="K126" s="33" t="str">
        <x:v>Volumen CAD y densidad</x:v>
      </x:c>
    </x:row>
    <x:row r="127" ht="32" customHeight="1">
      <x:c r="A127" s="33" t="n">
        <x:v>119</x:v>
      </x:c>
      <x:c r="B127" s="33" t="str">
        <x:v>TT10_C05_BDNB_RODAMIENTO_0</x:v>
      </x:c>
      <x:c r="C127" s="33" t="n">
        <x:v>1</x:v>
      </x:c>
      <x:c r="D127" s="34" t="str">
        <x:v>RodamientoSKF6006; envolvente de montaje; selección de vida separada</x:v>
      </x:c>
      <x:c r="E127" s="34" t="str">
        <x:v>Equipo comprado</x:v>
      </x:c>
      <x:c r="F127" s="35"/>
      <x:c r="G127" s="35" t="str">
        <x:f>IF(F127="","",C127*F127)</x:f>
      </x:c>
      <x:c r="H127" s="33" t="str">
        <x:v>Compra</x:v>
      </x:c>
      <x:c r="I127" s="36" t="n">
        <x:v>0.00002169662426385442</x:v>
      </x:c>
      <x:c r="J127" s="33" t="str">
        <x:v>TT10_C05_BDNB_RODAMIENTO_0_B02.SLDPRT</x:v>
      </x:c>
      <x:c r="K127" s="33" t="str">
        <x:v>Masa comercial sin acreditar</x:v>
      </x:c>
    </x:row>
    <x:row r="128" ht="32" customHeight="1">
      <x:c r="A128" s="33" t="n">
        <x:v>120</x:v>
      </x:c>
      <x:c r="B128" s="33" t="str">
        <x:v>TT10_C05_BDNB_RODAMIENTO_1</x:v>
      </x:c>
      <x:c r="C128" s="33" t="n">
        <x:v>1</x:v>
      </x:c>
      <x:c r="D128" s="34" t="str">
        <x:v>RodamientoSKF6006; envolvente de montaje; selección de vida separada</x:v>
      </x:c>
      <x:c r="E128" s="34" t="str">
        <x:v>Equipo comprado</x:v>
      </x:c>
      <x:c r="F128" s="35"/>
      <x:c r="G128" s="35" t="str">
        <x:f>IF(F128="","",C128*F128)</x:f>
      </x:c>
      <x:c r="H128" s="33" t="str">
        <x:v>Compra</x:v>
      </x:c>
      <x:c r="I128" s="36" t="n">
        <x:v>0.00002169662426385442</x:v>
      </x:c>
      <x:c r="J128" s="33" t="str">
        <x:v>TT10_C05_BDNB_RODAMIENTO_1_B02.SLDPRT</x:v>
      </x:c>
      <x:c r="K128" s="33" t="str">
        <x:v>Masa comercial sin acreditar</x:v>
      </x:c>
    </x:row>
    <x:row r="129" ht="32" customHeight="1">
      <x:c r="A129" s="33" t="n">
        <x:v>121</x:v>
      </x:c>
      <x:c r="B129" s="33" t="str">
        <x:v>TT10_C05_BDNB_RODAMIENTO_2</x:v>
      </x:c>
      <x:c r="C129" s="33" t="n">
        <x:v>1</x:v>
      </x:c>
      <x:c r="D129" s="34" t="str">
        <x:v>RodamientoSKF6906; envolvente de montaje; selección de vida separada</x:v>
      </x:c>
      <x:c r="E129" s="34" t="str">
        <x:v>Equipo comprado</x:v>
      </x:c>
      <x:c r="F129" s="35"/>
      <x:c r="G129" s="35" t="str">
        <x:f>IF(F129="","",C129*F129)</x:f>
      </x:c>
      <x:c r="H129" s="33" t="str">
        <x:v>Compra</x:v>
      </x:c>
      <x:c r="I129" s="36" t="n">
        <x:v>0.000009252775762985294</x:v>
      </x:c>
      <x:c r="J129" s="33" t="str">
        <x:v>TT10_C05_BDNB_RODAMIENTO_2.SLDPRT</x:v>
      </x:c>
      <x:c r="K129" s="33" t="str">
        <x:v>Masa comercial sin acreditar</x:v>
      </x:c>
    </x:row>
    <x:row r="130" ht="32" customHeight="1">
      <x:c r="A130" s="33" t="n">
        <x:v>122</x:v>
      </x:c>
      <x:c r="B130" s="33" t="str">
        <x:v>TT10_C05_BDNB_RODAMIENTO_3</x:v>
      </x:c>
      <x:c r="C130" s="33" t="n">
        <x:v>1</x:v>
      </x:c>
      <x:c r="D130" s="34" t="str">
        <x:v>RodamientoSKF6906; envolvente de montaje; selección de vida separada</x:v>
      </x:c>
      <x:c r="E130" s="34" t="str">
        <x:v>Equipo comprado</x:v>
      </x:c>
      <x:c r="F130" s="35"/>
      <x:c r="G130" s="35" t="str">
        <x:f>IF(F130="","",C130*F130)</x:f>
      </x:c>
      <x:c r="H130" s="33" t="str">
        <x:v>Compra</x:v>
      </x:c>
      <x:c r="I130" s="36" t="n">
        <x:v>0.000009252775762985294</x:v>
      </x:c>
      <x:c r="J130" s="33" t="str">
        <x:v>TT10_C05_BDNB_RODAMIENTO_3.SLDPRT</x:v>
      </x:c>
      <x:c r="K130" s="33" t="str">
        <x:v>Masa comercial sin acreditar</x:v>
      </x:c>
    </x:row>
    <x:row r="131" ht="32" customHeight="1">
      <x:c r="A131" s="33" t="n">
        <x:v>123</x:v>
      </x:c>
      <x:c r="B131" s="33" t="str">
        <x:v>TT10_C05_BDNB_W10</x:v>
      </x:c>
      <x:c r="C131" s="33" t="n">
        <x:v>4</x:v>
      </x:c>
      <x:c r="D131" s="34" t="str">
        <x:v>ArandelaISO7089 M10</x:v>
      </x:c>
      <x:c r="E131" s="34" t="str">
        <x:v>Arandela endurecida 300 HV / ISO 7089</x:v>
      </x:c>
      <x:c r="F131" s="35" t="n">
        <x:v>0.0035728351501572476</x:v>
      </x:c>
      <x:c r="G131" s="35" t="n">
        <x:f>IF(F131="","",C131*F131)</x:f>
        <x:v>0.01429134060062899</x:v>
      </x:c>
      <x:c r="H131" s="33" t="str">
        <x:v>Compra</x:v>
      </x:c>
      <x:c r="I131" s="36" t="n">
        <x:v>4.5513823568882137e-7</x:v>
      </x:c>
      <x:c r="J131" s="33" t="str">
        <x:v>TT10_C05_BDNB_W10.SLDPRT</x:v>
      </x:c>
      <x:c r="K131" s="33" t="str">
        <x:v>Volumen CAD y densidad</x:v>
      </x:c>
    </x:row>
    <x:row r="132" ht="32" customHeight="1">
      <x:c r="A132" s="33" t="n">
        <x:v>124</x:v>
      </x:c>
      <x:c r="B132" s="33" t="str">
        <x:v>TT10_C05_BDNB_W5</x:v>
      </x:c>
      <x:c r="C132" s="33" t="n">
        <x:v>4</x:v>
      </x:c>
      <x:c r="D132" s="34" t="str">
        <x:v>ArandelaDIN433 M5,9x5.3x1</x:v>
      </x:c>
      <x:c r="E132" s="34" t="str">
        <x:v>Arandela endurecida 300 HV / ISO 7089</x:v>
      </x:c>
      <x:c r="F132" s="35" t="n">
        <x:v>0.00032621002207906797</x:v>
      </x:c>
      <x:c r="G132" s="35" t="n">
        <x:f>IF(F132="","",C132*F132)</x:f>
        <x:v>0.0013048400883162719</x:v>
      </x:c>
      <x:c r="H132" s="33" t="str">
        <x:v>Compra</x:v>
      </x:c>
      <x:c r="I132" s="36" t="n">
        <x:v>4.155541682535898e-8</x:v>
      </x:c>
      <x:c r="J132" s="33" t="str">
        <x:v>TT10_C05_BDNB_W5.SLDPRT</x:v>
      </x:c>
      <x:c r="K132" s="33" t="str">
        <x:v>Volumen CAD y densidad</x:v>
      </x:c>
    </x:row>
    <x:row r="133" ht="32" customHeight="1">
      <x:c r="A133" s="33" t="n">
        <x:v>125</x:v>
      </x:c>
      <x:c r="B133" s="33" t="str">
        <x:v>TT10_C05_BDNB_W6</x:v>
      </x:c>
      <x:c r="C133" s="33" t="n">
        <x:v>8</x:v>
      </x:c>
      <x:c r="D133" s="34" t="str">
        <x:v>ArandelaISO7089 M6</x:v>
      </x:c>
      <x:c r="E133" s="34" t="str">
        <x:v>Arandela endurecida 300 HV / ISO 7089</x:v>
      </x:c>
      <x:c r="F133" s="35" t="n">
        <x:v>0.001016448480061302</x:v>
      </x:c>
      <x:c r="G133" s="35" t="n">
        <x:f>IF(F133="","",C133*F133)</x:f>
        <x:v>0.008131587840490416</x:v>
      </x:c>
      <x:c r="H133" s="33" t="str">
        <x:v>Compra</x:v>
      </x:c>
      <x:c r="I133" s="36" t="n">
        <x:v>1.2948388281035694e-7</x:v>
      </x:c>
      <x:c r="J133" s="33" t="str">
        <x:v>TT10_C05_BDNB_W6.SLDPRT</x:v>
      </x:c>
      <x:c r="K133" s="33" t="str">
        <x:v>Volumen CAD y densidad</x:v>
      </x:c>
    </x:row>
    <x:row r="134" ht="32" customHeight="1">
      <x:c r="A134" s="33" t="n">
        <x:v>126</x:v>
      </x:c>
      <x:c r="B134" s="33" t="str">
        <x:v>TT10_C05_BLOQUE_SELECTOR</x:v>
      </x:c>
      <x:c r="C134" s="33" t="n">
        <x:v>1</x:v>
      </x:c>
      <x:c r="D134" s="34" t="str">
        <x:v>BloqueC03 conservado con4M4laterales para retencion cautiva</x:v>
      </x:c>
      <x:c r="E134" s="34" t="str">
        <x:v>ASTM A36</x:v>
      </x:c>
      <x:c r="F134" s="35" t="n">
        <x:v>0.4167121893355239</x:v>
      </x:c>
      <x:c r="G134" s="35" t="n">
        <x:f>IF(F134="","",C134*F134)</x:f>
        <x:v>0.4167121893355239</x:v>
      </x:c>
      <x:c r="H134" s="33" t="str">
        <x:v>Fabricación</x:v>
      </x:c>
      <x:c r="I134" s="36" t="n">
        <x:v>0.0000530843553293661</x:v>
      </x:c>
      <x:c r="J134" s="33" t="str">
        <x:v>C05E_TT10_C05_BLOQUE_SELECTOR.SLDPRT</x:v>
      </x:c>
      <x:c r="K134" s="33" t="str">
        <x:v>CAD_volume_x_specified_density</x:v>
      </x:c>
    </x:row>
    <x:row r="135" ht="32" customHeight="1">
      <x:c r="A135" s="33" t="n">
        <x:v>127</x:v>
      </x:c>
      <x:c r="B135" s="33" t="str">
        <x:v>TT10_C05_CORREDERA_TENSOR</x:v>
      </x:c>
      <x:c r="C135" s="33" t="n">
        <x:v>1</x:v>
      </x:c>
      <x:c r="D135" s="34" t="str">
        <x:v>Corredera comun590x320x20;4ranuras22x62; carrera Y+/-20mm; ambos postes solidarios</x:v>
      </x:c>
      <x:c r="E135" s="34" t="str">
        <x:v>ASTM A36</x:v>
      </x:c>
      <x:c r="F135" s="35" t="n">
        <x:v>28.851767625770236</x:v>
      </x:c>
      <x:c r="G135" s="35" t="n">
        <x:f>IF(F135="","",C135*F135)</x:f>
        <x:v>28.851767625770236</x:v>
      </x:c>
      <x:c r="H135" s="33" t="str">
        <x:v>Fabricación</x:v>
      </x:c>
      <x:c r="I135" s="36" t="n">
        <x:v>0.003675384410926145</x:v>
      </x:c>
      <x:c r="J135" s="33" t="str">
        <x:v>C05E_TT10_C05_CORREDERA_TENSOR.SLDPRT</x:v>
      </x:c>
      <x:c r="K135" s="33" t="str">
        <x:v>CAD_volume_x_specified_density</x:v>
      </x:c>
    </x:row>
    <x:row r="136" ht="32" customHeight="1">
      <x:c r="A136" s="33" t="n">
        <x:v>128</x:v>
      </x:c>
      <x:c r="B136" s="33" t="str">
        <x:v>TT10_C05_GUIA_TENSOR_0</x:v>
      </x:c>
      <x:c r="C136" s="33" t="n">
        <x:v>1</x:v>
      </x:c>
      <x:c r="D136" s="34" t="str">
        <x:v>Guia lateral mecanizada;holgura transversal total0.3..0.5mm; soldar a base fija y mecanizar despues</x:v>
      </x:c>
      <x:c r="E136" s="34" t="str">
        <x:v>ASTM A36</x:v>
      </x:c>
      <x:c r="F136" s="35" t="n">
        <x:v>1.116270000000001</x:v>
      </x:c>
      <x:c r="G136" s="35" t="n">
        <x:f>IF(F136="","",C136*F136)</x:f>
        <x:v>1.116270000000001</x:v>
      </x:c>
      <x:c r="H136" s="33" t="str">
        <x:v>Fabricación</x:v>
      </x:c>
      <x:c r="I136" s="36" t="n">
        <x:v>0.00014220000000000012</x:v>
      </x:c>
      <x:c r="J136" s="33" t="str">
        <x:v>C05E_TT10_C05_GUIA_TENSOR_0.SLDPRT</x:v>
      </x:c>
      <x:c r="K136" s="33" t="str">
        <x:v>CAD_volume_x_specified_density</x:v>
      </x:c>
    </x:row>
    <x:row r="137" ht="32" customHeight="1">
      <x:c r="A137" s="33" t="n">
        <x:v>129</x:v>
      </x:c>
      <x:c r="B137" s="33" t="str">
        <x:v>TT10_C05_GUIA_TENSOR_1</x:v>
      </x:c>
      <x:c r="C137" s="33" t="n">
        <x:v>1</x:v>
      </x:c>
      <x:c r="D137" s="34" t="str">
        <x:v>Guia lateral mecanizada;holgura transversal total0.3..0.5mm; soldar a base fija y mecanizar despues</x:v>
      </x:c>
      <x:c r="E137" s="34" t="str">
        <x:v>ASTM A36</x:v>
      </x:c>
      <x:c r="F137" s="35" t="n">
        <x:v>1.1162699999999945</x:v>
      </x:c>
      <x:c r="G137" s="35" t="n">
        <x:f>IF(F137="","",C137*F137)</x:f>
        <x:v>1.1162699999999945</x:v>
      </x:c>
      <x:c r="H137" s="33" t="str">
        <x:v>Fabricación</x:v>
      </x:c>
      <x:c r="I137" s="36" t="n">
        <x:v>0.0001421999999999993</x:v>
      </x:c>
      <x:c r="J137" s="33" t="str">
        <x:v>C05E_TT10_C05_GUIA_TENSOR_1.SLDPRT</x:v>
      </x:c>
      <x:c r="K137" s="33" t="str">
        <x:v>CAD_volume_x_specified_density</x:v>
      </x:c>
    </x:row>
    <x:row r="138" ht="32" customHeight="1">
      <x:c r="A138" s="33" t="n">
        <x:v>130</x:v>
      </x:c>
      <x:c r="B138" s="33" t="str">
        <x:v>TT10_C05_JACK_M16_0_0</x:v>
      </x:c>
      <x:c r="C138" s="33" t="n">
        <x:v>1</x:v>
      </x:c>
      <x:c r="D138" s="34" t="str">
        <x:v>M16x80,8.8 de regulacion; rosca total; punta plana; bloquear con contratuerca</x:v>
      </x:c>
      <x:c r="E138" s="34" t="str">
        <x:v>8.8</x:v>
      </x:c>
      <x:c r="F138" s="35"/>
      <x:c r="G138" s="35" t="str">
        <x:f>IF(F138="","",C138*F138)</x:f>
      </x:c>
      <x:c r="H138" s="33" t="str">
        <x:v>Compra</x:v>
      </x:c>
      <x:c r="I138" s="36" t="n">
        <x:v>0.000019826184130728568</x:v>
      </x:c>
      <x:c r="J138" s="33" t="str">
        <x:v>C05E_TT10_C05_JACK_M16_0_0.SLDPRT</x:v>
      </x:c>
      <x:c r="K138" s="33" t="str">
        <x:v>OEM_mass_required</x:v>
      </x:c>
    </x:row>
    <x:row r="139" ht="32" customHeight="1">
      <x:c r="A139" s="33" t="n">
        <x:v>131</x:v>
      </x:c>
      <x:c r="B139" s="33" t="str">
        <x:v>TT10_C05_JACK_M16_0_1</x:v>
      </x:c>
      <x:c r="C139" s="33" t="n">
        <x:v>1</x:v>
      </x:c>
      <x:c r="D139" s="34" t="str">
        <x:v>M16x80,8.8 de regulacion; rosca total; punta plana; bloquear con contratuerca</x:v>
      </x:c>
      <x:c r="E139" s="34" t="str">
        <x:v>8.8</x:v>
      </x:c>
      <x:c r="F139" s="35"/>
      <x:c r="G139" s="35" t="str">
        <x:f>IF(F139="","",C139*F139)</x:f>
      </x:c>
      <x:c r="H139" s="33" t="str">
        <x:v>Compra</x:v>
      </x:c>
      <x:c r="I139" s="36" t="n">
        <x:v>0.000019826184130728547</x:v>
      </x:c>
      <x:c r="J139" s="33" t="str">
        <x:v>C05E_TT10_C05_JACK_M16_0_1.SLDPRT</x:v>
      </x:c>
      <x:c r="K139" s="33" t="str">
        <x:v>OEM_mass_required</x:v>
      </x:c>
    </x:row>
    <x:row r="140" ht="32" customHeight="1">
      <x:c r="A140" s="33" t="n">
        <x:v>132</x:v>
      </x:c>
      <x:c r="B140" s="33" t="str">
        <x:v>TT10_C05_JACK_M16_1_0</x:v>
      </x:c>
      <x:c r="C140" s="33" t="n">
        <x:v>1</x:v>
      </x:c>
      <x:c r="D140" s="34" t="str">
        <x:v>M16x80,8.8 de regulacion; rosca total; punta plana; bloquear con contratuerca</x:v>
      </x:c>
      <x:c r="E140" s="34" t="str">
        <x:v>8.8</x:v>
      </x:c>
      <x:c r="F140" s="35"/>
      <x:c r="G140" s="35" t="str">
        <x:f>IF(F140="","",C140*F140)</x:f>
      </x:c>
      <x:c r="H140" s="33" t="str">
        <x:v>Compra</x:v>
      </x:c>
      <x:c r="I140" s="36" t="n">
        <x:v>0.00001982618413072857</x:v>
      </x:c>
      <x:c r="J140" s="33" t="str">
        <x:v>C05E_TT10_C05_JACK_M16_1_0.SLDPRT</x:v>
      </x:c>
      <x:c r="K140" s="33" t="str">
        <x:v>OEM_mass_required</x:v>
      </x:c>
    </x:row>
    <x:row r="141" ht="32" customHeight="1">
      <x:c r="A141" s="33" t="n">
        <x:v>133</x:v>
      </x:c>
      <x:c r="B141" s="33" t="str">
        <x:v>TT10_C05_JACK_M16_1_1</x:v>
      </x:c>
      <x:c r="C141" s="33" t="n">
        <x:v>1</x:v>
      </x:c>
      <x:c r="D141" s="34" t="str">
        <x:v>M16x80,8.8 de regulacion; rosca total; punta plana; bloquear con contratuerca</x:v>
      </x:c>
      <x:c r="E141" s="34" t="str">
        <x:v>8.8</x:v>
      </x:c>
      <x:c r="F141" s="35"/>
      <x:c r="G141" s="35" t="str">
        <x:f>IF(F141="","",C141*F141)</x:f>
      </x:c>
      <x:c r="H141" s="33" t="str">
        <x:v>Compra</x:v>
      </x:c>
      <x:c r="I141" s="36" t="n">
        <x:v>0.00001982618413072855</x:v>
      </x:c>
      <x:c r="J141" s="33" t="str">
        <x:v>C05E_TT10_C05_JACK_M16_1_1.SLDPRT</x:v>
      </x:c>
      <x:c r="K141" s="33" t="str">
        <x:v>OEM_mass_required</x:v>
      </x:c>
    </x:row>
    <x:row r="142" ht="32" customHeight="1">
      <x:c r="A142" s="33" t="n">
        <x:v>134</x:v>
      </x:c>
      <x:c r="B142" s="33" t="str">
        <x:v>TT10_C05_JAM_M16_0_0</x:v>
      </x:c>
      <x:c r="C142" s="33" t="n">
        <x:v>1</x:v>
      </x:c>
      <x:c r="D142" s="34" t="str">
        <x:v>ContratuercaM16 clase8; mantener ajuste con cuatro M20 apretados</x:v>
      </x:c>
      <x:c r="E142" s="34" t="str">
        <x:v>Tuerca clase 8 / ISO 898-2</x:v>
      </x:c>
      <x:c r="F142" s="35" t="n">
        <x:v>0.01358529200150271</x:v>
      </x:c>
      <x:c r="G142" s="35" t="n">
        <x:f>IF(F142="","",C142*F142)</x:f>
        <x:v>0.01358529200150271</x:v>
      </x:c>
      <x:c r="H142" s="33" t="str">
        <x:v>Compra</x:v>
      </x:c>
      <x:c r="I142" s="36" t="n">
        <x:v>0.0000017306104460513005</x:v>
      </x:c>
      <x:c r="J142" s="33" t="str">
        <x:v>C05E_TT10_C05_JAM_M16_0_0.SLDPRT</x:v>
      </x:c>
      <x:c r="K142" s="33" t="str">
        <x:v>CAD_volume_x_specified_density</x:v>
      </x:c>
    </x:row>
    <x:row r="143" ht="32" customHeight="1">
      <x:c r="A143" s="33" t="n">
        <x:v>135</x:v>
      </x:c>
      <x:c r="B143" s="33" t="str">
        <x:v>TT10_C05_JAM_M16_0_1</x:v>
      </x:c>
      <x:c r="C143" s="33" t="n">
        <x:v>1</x:v>
      </x:c>
      <x:c r="D143" s="34" t="str">
        <x:v>ContratuercaM16 clase8; mantener ajuste con cuatro M20 apretados</x:v>
      </x:c>
      <x:c r="E143" s="34" t="str">
        <x:v>Tuerca clase 8 / ISO 898-2</x:v>
      </x:c>
      <x:c r="F143" s="35" t="n">
        <x:v>0.013585292001502736</x:v>
      </x:c>
      <x:c r="G143" s="35" t="n">
        <x:f>IF(F143="","",C143*F143)</x:f>
        <x:v>0.013585292001502736</x:v>
      </x:c>
      <x:c r="H143" s="33" t="str">
        <x:v>Compra</x:v>
      </x:c>
      <x:c r="I143" s="36" t="n">
        <x:v>0.000001730610446051304</x:v>
      </x:c>
      <x:c r="J143" s="33" t="str">
        <x:v>C05E_TT10_C05_JAM_M16_0_1.SLDPRT</x:v>
      </x:c>
      <x:c r="K143" s="33" t="str">
        <x:v>CAD_volume_x_specified_density</x:v>
      </x:c>
    </x:row>
    <x:row r="144" ht="32" customHeight="1">
      <x:c r="A144" s="33" t="n">
        <x:v>136</x:v>
      </x:c>
      <x:c r="B144" s="33" t="str">
        <x:v>TT10_C05_JAM_M16_1_0</x:v>
      </x:c>
      <x:c r="C144" s="33" t="n">
        <x:v>1</x:v>
      </x:c>
      <x:c r="D144" s="34" t="str">
        <x:v>ContratuercaM16 clase8; mantener ajuste con cuatro M20 apretados</x:v>
      </x:c>
      <x:c r="E144" s="34" t="str">
        <x:v>Tuerca clase 8 / ISO 898-2</x:v>
      </x:c>
      <x:c r="F144" s="35" t="n">
        <x:v>0.01358529200150271</x:v>
      </x:c>
      <x:c r="G144" s="35" t="n">
        <x:f>IF(F144="","",C144*F144)</x:f>
        <x:v>0.01358529200150271</x:v>
      </x:c>
      <x:c r="H144" s="33" t="str">
        <x:v>Compra</x:v>
      </x:c>
      <x:c r="I144" s="36" t="n">
        <x:v>0.0000017306104460513005</x:v>
      </x:c>
      <x:c r="J144" s="33" t="str">
        <x:v>C05E_TT10_C05_JAM_M16_1_0.SLDPRT</x:v>
      </x:c>
      <x:c r="K144" s="33" t="str">
        <x:v>CAD_volume_x_specified_density</x:v>
      </x:c>
    </x:row>
    <x:row r="145" ht="32" customHeight="1">
      <x:c r="A145" s="33" t="n">
        <x:v>137</x:v>
      </x:c>
      <x:c r="B145" s="33" t="str">
        <x:v>TT10_C05_JAM_M16_1_1</x:v>
      </x:c>
      <x:c r="C145" s="33" t="n">
        <x:v>1</x:v>
      </x:c>
      <x:c r="D145" s="34" t="str">
        <x:v>ContratuercaM16 clase8; mantener ajuste con cuatro M20 apretados</x:v>
      </x:c>
      <x:c r="E145" s="34" t="str">
        <x:v>Tuerca clase 8 / ISO 898-2</x:v>
      </x:c>
      <x:c r="F145" s="35" t="n">
        <x:v>0.013585292001502736</x:v>
      </x:c>
      <x:c r="G145" s="35" t="n">
        <x:f>IF(F145="","",C145*F145)</x:f>
        <x:v>0.013585292001502736</x:v>
      </x:c>
      <x:c r="H145" s="33" t="str">
        <x:v>Compra</x:v>
      </x:c>
      <x:c r="I145" s="36" t="n">
        <x:v>0.000001730610446051304</x:v>
      </x:c>
      <x:c r="J145" s="33" t="str">
        <x:v>C05E_TT10_C05_JAM_M16_1_1.SLDPRT</x:v>
      </x:c>
      <x:c r="K145" s="33" t="str">
        <x:v>CAD_volume_x_specified_density</x:v>
      </x:c>
    </x:row>
    <x:row r="146" ht="32" customHeight="1">
      <x:c r="A146" s="33" t="n">
        <x:v>138</x:v>
      </x:c>
      <x:c r="B146" s="33" t="str">
        <x:v>TT10_C05_OREJA_TENSOR_0_0</x:v>
      </x:c>
      <x:c r="C146" s="33" t="n">
        <x:v>1</x:v>
      </x:c>
      <x:c r="D146" s="34" t="str">
        <x:v>Oreja36x20x36;M16x2; soldaduraa6 a base fija</x:v>
      </x:c>
      <x:c r="E146" s="34" t="str">
        <x:v>ASTM A36</x:v>
      </x:c>
      <x:c r="F146" s="35" t="n">
        <x:v>0.1719052770167262</x:v>
      </x:c>
      <x:c r="G146" s="35" t="n">
        <x:f>IF(F146="","",C146*F146)</x:f>
        <x:v>0.1719052770167262</x:v>
      </x:c>
      <x:c r="H146" s="33" t="str">
        <x:v>Fabricación</x:v>
      </x:c>
      <x:c r="I146" s="36" t="n">
        <x:v>0.000021898761403404613</x:v>
      </x:c>
      <x:c r="J146" s="33" t="str">
        <x:v>C05E_TT10_C05_OREJA_TENSOR_0_0.SLDPRT</x:v>
      </x:c>
      <x:c r="K146" s="33" t="str">
        <x:v>CAD_volume_x_specified_density</x:v>
      </x:c>
    </x:row>
    <x:row r="147" ht="32" customHeight="1">
      <x:c r="A147" s="33" t="n">
        <x:v>139</x:v>
      </x:c>
      <x:c r="B147" s="33" t="str">
        <x:v>TT10_C05_OREJA_TENSOR_0_1</x:v>
      </x:c>
      <x:c r="C147" s="33" t="n">
        <x:v>1</x:v>
      </x:c>
      <x:c r="D147" s="34" t="str">
        <x:v>Oreja36x20x36;M16x2; soldaduraa6 a base fija</x:v>
      </x:c>
      <x:c r="E147" s="34" t="str">
        <x:v>ASTM A36</x:v>
      </x:c>
      <x:c r="F147" s="35" t="n">
        <x:v>0.17190527701672623</x:v>
      </x:c>
      <x:c r="G147" s="35" t="n">
        <x:f>IF(F147="","",C147*F147)</x:f>
        <x:v>0.17190527701672623</x:v>
      </x:c>
      <x:c r="H147" s="33" t="str">
        <x:v>Fabricación</x:v>
      </x:c>
      <x:c r="I147" s="36" t="n">
        <x:v>0.000021898761403404616</x:v>
      </x:c>
      <x:c r="J147" s="33" t="str">
        <x:v>C05E_TT10_C05_OREJA_TENSOR_0_1.SLDPRT</x:v>
      </x:c>
      <x:c r="K147" s="33" t="str">
        <x:v>CAD_volume_x_specified_density</x:v>
      </x:c>
    </x:row>
    <x:row r="148" ht="32" customHeight="1">
      <x:c r="A148" s="33" t="n">
        <x:v>140</x:v>
      </x:c>
      <x:c r="B148" s="33" t="str">
        <x:v>TT10_C05_OREJA_TENSOR_1_0</x:v>
      </x:c>
      <x:c r="C148" s="33" t="n">
        <x:v>1</x:v>
      </x:c>
      <x:c r="D148" s="34" t="str">
        <x:v>Oreja36x20x36;M16x2; soldaduraa6 a base fija</x:v>
      </x:c>
      <x:c r="E148" s="34" t="str">
        <x:v>ASTM A36</x:v>
      </x:c>
      <x:c r="F148" s="35" t="n">
        <x:v>0.17190527701672623</x:v>
      </x:c>
      <x:c r="G148" s="35" t="n">
        <x:f>IF(F148="","",C148*F148)</x:f>
        <x:v>0.17190527701672623</x:v>
      </x:c>
      <x:c r="H148" s="33" t="str">
        <x:v>Fabricación</x:v>
      </x:c>
      <x:c r="I148" s="36" t="n">
        <x:v>0.000021898761403404616</x:v>
      </x:c>
      <x:c r="J148" s="33" t="str">
        <x:v>C05E_TT10_C05_OREJA_TENSOR_1_0.SLDPRT</x:v>
      </x:c>
      <x:c r="K148" s="33" t="str">
        <x:v>CAD_volume_x_specified_density</x:v>
      </x:c>
    </x:row>
    <x:row r="149" ht="32" customHeight="1">
      <x:c r="A149" s="33" t="n">
        <x:v>141</x:v>
      </x:c>
      <x:c r="B149" s="33" t="str">
        <x:v>TT10_C05_OREJA_TENSOR_1_1</x:v>
      </x:c>
      <x:c r="C149" s="33" t="n">
        <x:v>1</x:v>
      </x:c>
      <x:c r="D149" s="34" t="str">
        <x:v>Oreja36x20x36;M16x2; soldaduraa6 a base fija</x:v>
      </x:c>
      <x:c r="E149" s="34" t="str">
        <x:v>ASTM A36</x:v>
      </x:c>
      <x:c r="F149" s="35" t="n">
        <x:v>0.1719052770167262</x:v>
      </x:c>
      <x:c r="G149" s="35" t="n">
        <x:f>IF(F149="","",C149*F149)</x:f>
        <x:v>0.1719052770167262</x:v>
      </x:c>
      <x:c r="H149" s="33" t="str">
        <x:v>Fabricación</x:v>
      </x:c>
      <x:c r="I149" s="36" t="n">
        <x:v>0.000021898761403404613</x:v>
      </x:c>
      <x:c r="J149" s="33" t="str">
        <x:v>C05E_TT10_C05_OREJA_TENSOR_1_1.SLDPRT</x:v>
      </x:c>
      <x:c r="K149" s="33" t="str">
        <x:v>CAD_volume_x_specified_density</x:v>
      </x:c>
    </x:row>
    <x:row r="150" ht="32" customHeight="1">
      <x:c r="A150" s="33" t="n">
        <x:v>142</x:v>
      </x:c>
      <x:c r="B150" s="33" t="str">
        <x:v>TT10_C05_POSTE_CORTO_TENSOR</x:v>
      </x:c>
      <x:c r="C150" s="33" t="n">
        <x:v>1</x:v>
      </x:c>
      <x:c r="D150" s="34" t="str">
        <x:v>RHS50x50x5;L1037.5;recortado20para conservar altura del eje</x:v>
      </x:c>
      <x:c r="E150" s="34" t="str">
        <x:v>S275J0H / EN 10219-1</x:v>
      </x:c>
      <x:c r="F150" s="35" t="n">
        <x:v>7.329937499999911</x:v>
      </x:c>
      <x:c r="G150" s="35" t="n">
        <x:f>IF(F150="","",C150*F150)</x:f>
        <x:v>7.329937499999911</x:v>
      </x:c>
      <x:c r="H150" s="33" t="str">
        <x:v>Fabricación</x:v>
      </x:c>
      <x:c r="I150" s="36" t="n">
        <x:v>0.0009337499999999886</x:v>
      </x:c>
      <x:c r="J150" s="33" t="str">
        <x:v>C05E_TT10_C05_POSTE_CORTO_TENSOR.SLDPRT</x:v>
      </x:c>
      <x:c r="K150" s="33" t="str">
        <x:v>CAD_volume_x_specified_density</x:v>
      </x:c>
    </x:row>
    <x:row r="151" ht="32" customHeight="1">
      <x:c r="A151" s="33" t="n">
        <x:v>143</x:v>
      </x:c>
      <x:c r="B151" s="33" t="str">
        <x:v>TT10_C05_POSTE_VOLANTE_TENSOR</x:v>
      </x:c>
      <x:c r="C151" s="33" t="n">
        <x:v>1</x:v>
      </x:c>
      <x:c r="D151" s="34" t="str">
        <x:v>Poste del volante recortado20mm; conservar mecanizado superior y centros</x:v>
      </x:c>
      <x:c r="E151" s="34" t="str">
        <x:v>ASTM A36</x:v>
      </x:c>
      <x:c r="F151" s="35" t="n">
        <x:v>23.316082560000428</x:v>
      </x:c>
      <x:c r="G151" s="35" t="n">
        <x:f>IF(F151="","",C151*F151)</x:f>
        <x:v>23.316082560000428</x:v>
      </x:c>
      <x:c r="H151" s="33" t="str">
        <x:v>Fabricación</x:v>
      </x:c>
      <x:c r="I151" s="36" t="n">
        <x:v>0.0029702016000000544</x:v>
      </x:c>
      <x:c r="J151" s="33" t="str">
        <x:v>C05E_TT10_C05_POSTE_VOLANTE_TENSOR.SLDPRT</x:v>
      </x:c>
      <x:c r="K151" s="33" t="str">
        <x:v>CAD_volume_x_specified_density</x:v>
      </x:c>
    </x:row>
    <x:row r="152" ht="32" customHeight="1">
      <x:c r="A152" s="33" t="n">
        <x:v>144</x:v>
      </x:c>
      <x:c r="B152" s="33" t="str">
        <x:v>TT10_C05_RETEN_CAUTIVO_SELECTOR</x:v>
      </x:c>
      <x:c r="C152" s="33" t="n">
        <x:v>1</x:v>
      </x:c>
      <x:c r="D152" s="34" t="str">
        <x:v>Puente cautivo para pasadorD6;23mm hasta cabeza, permite levantar16mm;4M4 laterales al bloque</x:v>
      </x:c>
      <x:c r="E152" s="34" t="str">
        <x:v>ASTM A36</x:v>
      </x:c>
      <x:c r="F152" s="35" t="n">
        <x:v>0.11175764032672851</x:v>
      </x:c>
      <x:c r="G152" s="35" t="n">
        <x:f>IF(F152="","",C152*F152)</x:f>
        <x:v>0.11175764032672851</x:v>
      </x:c>
      <x:c r="H152" s="33" t="str">
        <x:v>Fabricación</x:v>
      </x:c>
      <x:c r="I152" s="36" t="n">
        <x:v>0.000014236642079838027</x:v>
      </x:c>
      <x:c r="J152" s="33" t="str">
        <x:v>C05E_TT10_C05_RETEN_CAUTIVO_SELECTOR.SLDPRT</x:v>
      </x:c>
      <x:c r="K152" s="33" t="str">
        <x:v>CAD_volume_x_specified_density</x:v>
      </x:c>
    </x:row>
    <x:row r="153" ht="32" customHeight="1">
      <x:c r="A153" s="33" t="n">
        <x:v>145</x:v>
      </x:c>
      <x:c r="B153" s="33" t="str">
        <x:v>TT10_CART_N_INF</x:v>
      </x:c>
      <x:c r="C153" s="33" t="n">
        <x:v>1</x:v>
      </x:c>
      <x:c r="D153" s="34" t="str">
        <x:v>Cartela horizontal20 entre puente y placa de nodo</x:v>
      </x:c>
      <x:c r="E153" s="34" t="str">
        <x:v>ASTM A36</x:v>
      </x:c>
      <x:c r="F153" s="35" t="n">
        <x:v>2.708250000000001</x:v>
      </x:c>
      <x:c r="G153" s="35" t="n">
        <x:f>IF(F153="","",C153*F153)</x:f>
        <x:v>2.708250000000001</x:v>
      </x:c>
      <x:c r="H153" s="33" t="str">
        <x:v>Fabricación</x:v>
      </x:c>
      <x:c r="I153" s="36" t="n">
        <x:v>0.00034500000000000015</x:v>
      </x:c>
      <x:c r="J153" s="33" t="str">
        <x:v>C05E_TT10_CART_N_INF.SLDPRT</x:v>
      </x:c>
      <x:c r="K153" s="33" t="str">
        <x:v>CAD_volume_x_specified_density</x:v>
      </x:c>
    </x:row>
    <x:row r="154" ht="32" customHeight="1">
      <x:c r="A154" s="33" t="n">
        <x:v>146</x:v>
      </x:c>
      <x:c r="B154" s="33" t="str">
        <x:v>TT10_CART_N_SUP</x:v>
      </x:c>
      <x:c r="C154" s="33" t="n">
        <x:v>1</x:v>
      </x:c>
      <x:c r="D154" s="34" t="str">
        <x:v>Cartela horizontal20 entre puente y placa de nodo</x:v>
      </x:c>
      <x:c r="E154" s="34" t="str">
        <x:v>ASTM A36</x:v>
      </x:c>
      <x:c r="F154" s="35" t="n">
        <x:v>2.708250000000001</x:v>
      </x:c>
      <x:c r="G154" s="35" t="n">
        <x:f>IF(F154="","",C154*F154)</x:f>
        <x:v>2.708250000000001</x:v>
      </x:c>
      <x:c r="H154" s="33" t="str">
        <x:v>Fabricación</x:v>
      </x:c>
      <x:c r="I154" s="36" t="n">
        <x:v>0.00034500000000000015</x:v>
      </x:c>
      <x:c r="J154" s="33" t="str">
        <x:v>C05E_TT10_CART_N_SUP.SLDPRT</x:v>
      </x:c>
      <x:c r="K154" s="33" t="str">
        <x:v>CAD_volume_x_specified_density</x:v>
      </x:c>
    </x:row>
    <x:row r="155" ht="32" customHeight="1">
      <x:c r="A155" s="33" t="n">
        <x:v>147</x:v>
      </x:c>
      <x:c r="B155" s="33" t="str">
        <x:v>TT10_CART_P_INF</x:v>
      </x:c>
      <x:c r="C155" s="33" t="n">
        <x:v>1</x:v>
      </x:c>
      <x:c r="D155" s="34" t="str">
        <x:v>Cartela horizontal20 entre puente y placa de nodo</x:v>
      </x:c>
      <x:c r="E155" s="34" t="str">
        <x:v>ASTM A36</x:v>
      </x:c>
      <x:c r="F155" s="35" t="n">
        <x:v>2.708250000000001</x:v>
      </x:c>
      <x:c r="G155" s="35" t="n">
        <x:f>IF(F155="","",C155*F155)</x:f>
        <x:v>2.708250000000001</x:v>
      </x:c>
      <x:c r="H155" s="33" t="str">
        <x:v>Fabricación</x:v>
      </x:c>
      <x:c r="I155" s="36" t="n">
        <x:v>0.0003450000000000001</x:v>
      </x:c>
      <x:c r="J155" s="33" t="str">
        <x:v>C05E_TT10_CART_P_INF.SLDPRT</x:v>
      </x:c>
      <x:c r="K155" s="33" t="str">
        <x:v>CAD_volume_x_specified_density</x:v>
      </x:c>
    </x:row>
    <x:row r="156" ht="32" customHeight="1">
      <x:c r="A156" s="33" t="n">
        <x:v>148</x:v>
      </x:c>
      <x:c r="B156" s="33" t="str">
        <x:v>TT10_CART_P_SUP</x:v>
      </x:c>
      <x:c r="C156" s="33" t="n">
        <x:v>1</x:v>
      </x:c>
      <x:c r="D156" s="34" t="str">
        <x:v>Cartela horizontal20 entre puente y placa de nodo</x:v>
      </x:c>
      <x:c r="E156" s="34" t="str">
        <x:v>ASTM A36</x:v>
      </x:c>
      <x:c r="F156" s="35" t="n">
        <x:v>2.708250000000001</x:v>
      </x:c>
      <x:c r="G156" s="35" t="n">
        <x:f>IF(F156="","",C156*F156)</x:f>
        <x:v>2.708250000000001</x:v>
      </x:c>
      <x:c r="H156" s="33" t="str">
        <x:v>Fabricación</x:v>
      </x:c>
      <x:c r="I156" s="36" t="n">
        <x:v>0.00034500000000000015</x:v>
      </x:c>
      <x:c r="J156" s="33" t="str">
        <x:v>C05E_TT10_CART_P_SUP.SLDPRT</x:v>
      </x:c>
      <x:c r="K156" s="33" t="str">
        <x:v>CAD_volume_x_specified_density</x:v>
      </x:c>
    </x:row>
    <x:row r="157" ht="32" customHeight="1">
      <x:c r="A157" s="33" t="n">
        <x:v>149</x:v>
      </x:c>
      <x:c r="B157" s="33" t="str">
        <x:v>TT10_COLLAR_N</x:v>
      </x:c>
      <x:c r="C157" s="33" t="n">
        <x:v>1</x:v>
      </x:c>
      <x:c r="D157" s="34" t="str">
        <x:v>Casquillo D220/d200.2 L161: transmisión de apriete y pista de sello</x:v>
      </x:c>
      <x:c r="E157" s="34" t="str">
        <x:v>C45E / EN 10083-2</x:v>
      </x:c>
      <x:c r="F157" s="35" t="n">
        <x:v>8.258604195479316</x:v>
      </x:c>
      <x:c r="G157" s="35" t="n">
        <x:f>IF(F157="","",C157*F157)</x:f>
        <x:v>8.258604195479316</x:v>
      </x:c>
      <x:c r="H157" s="33" t="str">
        <x:v>Fabricación</x:v>
      </x:c>
      <x:c r="I157" s="36" t="n">
        <x:v>0.0010520514898699766</x:v>
      </x:c>
      <x:c r="J157" s="33" t="str">
        <x:v>C05E_TT10_COLLAR_N.SLDPRT</x:v>
      </x:c>
      <x:c r="K157" s="33" t="str">
        <x:v>CAD_volume_x_specified_density</x:v>
      </x:c>
    </x:row>
    <x:row r="158" ht="32" customHeight="1">
      <x:c r="A158" s="33" t="n">
        <x:v>150</x:v>
      </x:c>
      <x:c r="B158" s="33" t="str">
        <x:v>TT10_COLLAR_P</x:v>
      </x:c>
      <x:c r="C158" s="33" t="n">
        <x:v>1</x:v>
      </x:c>
      <x:c r="D158" s="34" t="str">
        <x:v>Casquillo D220/d200.2 L161: transmisión de apriete y pista de sello</x:v>
      </x:c>
      <x:c r="E158" s="34" t="str">
        <x:v>C45E / EN 10083-2</x:v>
      </x:c>
      <x:c r="F158" s="35" t="n">
        <x:v>8.258604195479318</x:v>
      </x:c>
      <x:c r="G158" s="35" t="n">
        <x:f>IF(F158="","",C158*F158)</x:f>
        <x:v>8.258604195479318</x:v>
      </x:c>
      <x:c r="H158" s="33" t="str">
        <x:v>Fabricación</x:v>
      </x:c>
      <x:c r="I158" s="36" t="n">
        <x:v>0.0010520514898699769</x:v>
      </x:c>
      <x:c r="J158" s="33" t="str">
        <x:v>C05E_TT10_COLLAR_P.SLDPRT</x:v>
      </x:c>
      <x:c r="K158" s="33" t="str">
        <x:v>CAD_volume_x_specified_density</x:v>
      </x:c>
    </x:row>
    <x:row r="159" ht="32" customHeight="1">
      <x:c r="A159" s="33" t="n">
        <x:v>151</x:v>
      </x:c>
      <x:c r="B159" s="33" t="str">
        <x:v>TT10_D_ACOPLE_SALIDA</x:v>
      </x:c>
      <x:c r="C159" s="33" t="n">
        <x:v>1</x:v>
      </x:c>
      <x:c r="D159" s="34" t="str">
        <x:v>Acoplamiento de salida entre cubo y reductor; dibujo nominal</x:v>
      </x:c>
      <x:c r="E159" s="34" t="str">
        <x:v>Equipo comprado</x:v>
      </x:c>
      <x:c r="F159" s="35"/>
      <x:c r="G159" s="35" t="str">
        <x:f>IF(F159="","",C159*F159)</x:f>
      </x:c>
      <x:c r="H159" s="33" t="str">
        <x:v>Compra</x:v>
      </x:c>
      <x:c r="I159" s="36" t="n">
        <x:v>0.005780923181686923</x:v>
      </x:c>
      <x:c r="J159" s="33" t="str">
        <x:v>C05E_TT10_D_ACOPLE_SALIDA.SLDPRT</x:v>
      </x:c>
      <x:c r="K159" s="33" t="str">
        <x:v>OEM_mass_required</x:v>
      </x:c>
    </x:row>
    <x:row r="160" ht="32" customHeight="1">
      <x:c r="A160" s="33" t="n">
        <x:v>152</x:v>
      </x:c>
      <x:c r="B160" s="33" t="str">
        <x:v>TT10_D_ARMARIO</x:v>
      </x:c>
      <x:c r="C160" s="33" t="n">
        <x:v>1</x:v>
      </x:c>
      <x:c r="D160" s="34" t="str">
        <x:v>Armario de variador y control; representación de presentación</x:v>
      </x:c>
      <x:c r="E160" s="34" t="str">
        <x:v>Armario comercial; chapa y acabado según referencia de compra</x:v>
      </x:c>
      <x:c r="F160" s="35"/>
      <x:c r="G160" s="35" t="str">
        <x:f>IF(F160="","",C160*F160)</x:f>
      </x:c>
      <x:c r="H160" s="33" t="str">
        <x:v>Compra</x:v>
      </x:c>
      <x:c r="I160" s="36" t="n">
        <x:v>0.08679999999999997</x:v>
      </x:c>
      <x:c r="J160" s="33" t="str">
        <x:v>C05E_TT10_D_ARMARIO.SLDPRT</x:v>
      </x:c>
      <x:c r="K160" s="33" t="str">
        <x:v>OEM_mass_required</x:v>
      </x:c>
    </x:row>
    <x:row r="161" ht="32" customHeight="1">
      <x:c r="A161" s="33" t="n">
        <x:v>153</x:v>
      </x:c>
      <x:c r="B161" s="33" t="str">
        <x:v>TT10_D_ARO_RESGUARDO_N</x:v>
      </x:c>
      <x:c r="C161" s="33" t="n">
        <x:v>1</x:v>
      </x:c>
      <x:c r="D161" s="34" t="str">
        <x:v>Resguardo tubular desmontable ARO_RESGUARDO_N</x:v>
      </x:c>
      <x:c r="E161" s="34" t="str">
        <x:v>S275J0H / EN 10219-1</x:v>
      </x:c>
      <x:c r="F161" s="35" t="n">
        <x:v>38.73780829294189</x:v>
      </x:c>
      <x:c r="G161" s="35" t="n">
        <x:f>IF(F161="","",C161*F161)</x:f>
        <x:v>38.73780829294189</x:v>
      </x:c>
      <x:c r="H161" s="33" t="str">
        <x:v>Fabricación</x:v>
      </x:c>
      <x:c r="I161" s="36" t="n">
        <x:v>0.004934752648782407</x:v>
      </x:c>
      <x:c r="J161" s="33" t="str">
        <x:v>C05E_TT10_D_ARO_RESGUARDO_N.SLDPRT</x:v>
      </x:c>
      <x:c r="K161" s="33" t="str">
        <x:v>CAD_volume_x_specified_density</x:v>
      </x:c>
    </x:row>
    <x:row r="162" ht="32" customHeight="1">
      <x:c r="A162" s="33" t="n">
        <x:v>154</x:v>
      </x:c>
      <x:c r="B162" s="33" t="str">
        <x:v>TT10_D_ARO_RESGUARDO_P</x:v>
      </x:c>
      <x:c r="C162" s="33" t="n">
        <x:v>1</x:v>
      </x:c>
      <x:c r="D162" s="34" t="str">
        <x:v>Resguardo tubular desmontable ARO_RESGUARDO_P</x:v>
      </x:c>
      <x:c r="E162" s="34" t="str">
        <x:v>S275J0H / EN 10219-1</x:v>
      </x:c>
      <x:c r="F162" s="35" t="n">
        <x:v>38.737808292941864</x:v>
      </x:c>
      <x:c r="G162" s="35" t="n">
        <x:f>IF(F162="","",C162*F162)</x:f>
        <x:v>38.737808292941864</x:v>
      </x:c>
      <x:c r="H162" s="33" t="str">
        <x:v>Fabricación</x:v>
      </x:c>
      <x:c r="I162" s="36" t="n">
        <x:v>0.004934752648782403</x:v>
      </x:c>
      <x:c r="J162" s="33" t="str">
        <x:v>C05E_TT10_D_ARO_RESGUARDO_P.SLDPRT</x:v>
      </x:c>
      <x:c r="K162" s="33" t="str">
        <x:v>CAD_volume_x_specified_density</x:v>
      </x:c>
    </x:row>
    <x:row r="163" ht="32" customHeight="1">
      <x:c r="A163" s="33" t="n">
        <x:v>155</x:v>
      </x:c>
      <x:c r="B163" s="33" t="str">
        <x:v>TT10_D_AUX_4_1</x:v>
      </x:c>
      <x:c r="C163" s="33" t="n">
        <x:v>1</x:v>
      </x:c>
      <x:c r="D163" s="34" t="str">
        <x:v>Reducción auxiliar 4:1; representación de arquitectura</x:v>
      </x:c>
      <x:c r="E163" s="34" t="str">
        <x:v>Equipo sustituido por PSN 142 i5; no comprar variante 4:1</x:v>
      </x:c>
      <x:c r="F163" s="35"/>
      <x:c r="G163" s="35" t="str">
        <x:f>IF(F163="","",C163*F163)</x:f>
      </x:c>
      <x:c r="H163" s="33" t="str">
        <x:v>Compra</x:v>
      </x:c>
      <x:c r="I163" s="36" t="n">
        <x:v>0.028675446985940246</x:v>
      </x:c>
      <x:c r="J163" s="33" t="str">
        <x:v>C05E_TT10_D_AUX_4_1.SLDPRT</x:v>
      </x:c>
      <x:c r="K163" s="33" t="str">
        <x:v>OEM_mass_required</x:v>
      </x:c>
    </x:row>
    <x:row r="164" ht="32" customHeight="1">
      <x:c r="A164" s="33" t="n">
        <x:v>156</x:v>
      </x:c>
      <x:c r="B164" s="33" t="str">
        <x:v>TT10_D_B16_0</x:v>
      </x:c>
      <x:c r="C164" s="33" t="n">
        <x:v>32</x:v>
      </x:c>
      <x:c r="D164" s="34" t="str">
        <x:v>Perno nominal M16x50</x:v>
      </x:c>
      <x:c r="E164" s="34" t="str">
        <x:v>Clase 10.9 / ISO 898-1</x:v>
      </x:c>
      <x:c r="F164" s="35" t="n">
        <x:v>0.11807501211569282</x:v>
      </x:c>
      <x:c r="G164" s="35" t="n">
        <x:f>IF(F164="","",C164*F164)</x:f>
        <x:v>3.7784003877021703</x:v>
      </x:c>
      <x:c r="H164" s="33" t="str">
        <x:v>Compra</x:v>
      </x:c>
      <x:c r="I164" s="36" t="n">
        <x:v>0.00001504140281728571</x:v>
      </x:c>
      <x:c r="J164" s="33" t="str">
        <x:v>C05E_TT10_D_B16_0.SLDPRT</x:v>
      </x:c>
      <x:c r="K164" s="33" t="str">
        <x:v>CAD_volume_x_specified_density</x:v>
      </x:c>
    </x:row>
    <x:row r="165" ht="32" customHeight="1">
      <x:c r="A165" s="33" t="n">
        <x:v>157</x:v>
      </x:c>
      <x:c r="B165" s="33" t="str">
        <x:v>TT10_D_BASE_ARMARIO</x:v>
      </x:c>
      <x:c r="C165" s="33" t="n">
        <x:v>1</x:v>
      </x:c>
      <x:c r="D165" s="34" t="str">
        <x:v>Base del armario</x:v>
      </x:c>
      <x:c r="E165" s="34" t="str">
        <x:v>ASTM A36</x:v>
      </x:c>
      <x:c r="F165" s="35" t="n">
        <x:v>10.613199999999985</x:v>
      </x:c>
      <x:c r="G165" s="35" t="n">
        <x:f>IF(F165="","",C165*F165)</x:f>
        <x:v>10.613199999999985</x:v>
      </x:c>
      <x:c r="H165" s="33" t="str">
        <x:v>Fabricación</x:v>
      </x:c>
      <x:c r="I165" s="36" t="n">
        <x:v>0.0013519999999999982</x:v>
      </x:c>
      <x:c r="J165" s="33" t="str">
        <x:v>C05E_TT10_D_BASE_ARMARIO.SLDPRT</x:v>
      </x:c>
      <x:c r="K165" s="33" t="str">
        <x:v>CAD_volume_x_specified_density</x:v>
      </x:c>
    </x:row>
    <x:row r="166" ht="32" customHeight="1">
      <x:c r="A166" s="33" t="n">
        <x:v>158</x:v>
      </x:c>
      <x:c r="B166" s="33" t="str">
        <x:v>TT10_D_BASE_BOTONERA</x:v>
      </x:c>
      <x:c r="C166" s="33" t="n">
        <x:v>1</x:v>
      </x:c>
      <x:c r="D166" s="34" t="str">
        <x:v>Base de botonera</x:v>
      </x:c>
      <x:c r="E166" s="34" t="str">
        <x:v>ASTM A36</x:v>
      </x:c>
      <x:c r="F166" s="35" t="n">
        <x:v>5.08679999999999</x:v>
      </x:c>
      <x:c r="G166" s="35" t="n">
        <x:f>IF(F166="","",C166*F166)</x:f>
        <x:v>5.08679999999999</x:v>
      </x:c>
      <x:c r="H166" s="33" t="str">
        <x:v>Fabricación</x:v>
      </x:c>
      <x:c r="I166" s="36" t="n">
        <x:v>0.0006479999999999987</x:v>
      </x:c>
      <x:c r="J166" s="33" t="str">
        <x:v>C05E_TT10_D_BASE_BOTONERA.SLDPRT</x:v>
      </x:c>
      <x:c r="K166" s="33" t="str">
        <x:v>CAD_volume_x_specified_density</x:v>
      </x:c>
    </x:row>
    <x:row r="167" ht="32" customHeight="1">
      <x:c r="A167" s="33" t="n">
        <x:v>159</x:v>
      </x:c>
      <x:c r="B167" s="33" t="str">
        <x:v>TT10_D_BASE_FRENO_N</x:v>
      </x:c>
      <x:c r="C167" s="33" t="n">
        <x:v>1</x:v>
      </x:c>
      <x:c r="D167" s="34" t="str">
        <x:v>Base de pedestal de freno N</x:v>
      </x:c>
      <x:c r="E167" s="34" t="str">
        <x:v>ASTM A36</x:v>
      </x:c>
      <x:c r="F167" s="35" t="n">
        <x:v>14.977800000000007</x:v>
      </x:c>
      <x:c r="G167" s="35" t="n">
        <x:f>IF(F167="","",C167*F167)</x:f>
        <x:v>14.977800000000007</x:v>
      </x:c>
      <x:c r="H167" s="33" t="str">
        <x:v>Fabricación</x:v>
      </x:c>
      <x:c r="I167" s="36" t="n">
        <x:v>0.0019080000000000008</x:v>
      </x:c>
      <x:c r="J167" s="33" t="str">
        <x:v>C05E_TT10_D_BASE_FRENO_N.SLDPRT</x:v>
      </x:c>
      <x:c r="K167" s="33" t="str">
        <x:v>CAD_volume_x_specified_density</x:v>
      </x:c>
    </x:row>
    <x:row r="168" ht="32" customHeight="1">
      <x:c r="A168" s="33" t="n">
        <x:v>160</x:v>
      </x:c>
      <x:c r="B168" s="33" t="str">
        <x:v>TT10_D_BASE_FRENO_P</x:v>
      </x:c>
      <x:c r="C168" s="33" t="n">
        <x:v>1</x:v>
      </x:c>
      <x:c r="D168" s="34" t="str">
        <x:v>Base de pedestal de freno P</x:v>
      </x:c>
      <x:c r="E168" s="34" t="str">
        <x:v>ASTM A36</x:v>
      </x:c>
      <x:c r="F168" s="35" t="n">
        <x:v>14.977799999999982</x:v>
      </x:c>
      <x:c r="G168" s="35" t="n">
        <x:f>IF(F168="","",C168*F168)</x:f>
        <x:v>14.977799999999982</x:v>
      </x:c>
      <x:c r="H168" s="33" t="str">
        <x:v>Fabricación</x:v>
      </x:c>
      <x:c r="I168" s="36" t="n">
        <x:v>0.0019079999999999978</x:v>
      </x:c>
      <x:c r="J168" s="33" t="str">
        <x:v>C05E_TT10_D_BASE_FRENO_P.SLDPRT</x:v>
      </x:c>
      <x:c r="K168" s="33" t="str">
        <x:v>CAD_volume_x_specified_density</x:v>
      </x:c>
    </x:row>
    <x:row r="169" ht="32" customHeight="1">
      <x:c r="A169" s="33" t="n">
        <x:v>161</x:v>
      </x:c>
      <x:c r="B169" s="33" t="str">
        <x:v>TT10_D_BASE_MOTOR</x:v>
      </x:c>
      <x:c r="C169" s="33" t="n">
        <x:v>1</x:v>
      </x:c>
      <x:c r="D169" s="34" t="str">
        <x:v>Placa base del segundo apoyo de bancada</x:v>
      </x:c>
      <x:c r="E169" s="34" t="str">
        <x:v>ASTM A36</x:v>
      </x:c>
      <x:c r="F169" s="35" t="n">
        <x:v>42.389999999999986</x:v>
      </x:c>
      <x:c r="G169" s="35" t="n">
        <x:f>IF(F169="","",C169*F169)</x:f>
        <x:v>42.389999999999986</x:v>
      </x:c>
      <x:c r="H169" s="33" t="str">
        <x:v>Fabricación</x:v>
      </x:c>
      <x:c r="I169" s="36" t="n">
        <x:v>0.0053999999999999986</x:v>
      </x:c>
      <x:c r="J169" s="33" t="str">
        <x:v>C05E_TT10_D_BASE_MOTOR.SLDPRT</x:v>
      </x:c>
      <x:c r="K169" s="33" t="str">
        <x:v>CAD_volume_x_specified_density</x:v>
      </x:c>
    </x:row>
    <x:row r="170" ht="32" customHeight="1">
      <x:c r="A170" s="33" t="n">
        <x:v>162</x:v>
      </x:c>
      <x:c r="B170" s="33" t="str">
        <x:v>TT10_D_BASE_PRESENTE</x:v>
      </x:c>
      <x:c r="C170" s="33" t="n">
        <x:v>1</x:v>
      </x:c>
      <x:c r="D170" s="34" t="str">
        <x:v>Base del mando de hombre presente</x:v>
      </x:c>
      <x:c r="E170" s="34" t="str">
        <x:v>ASTM A36</x:v>
      </x:c>
      <x:c r="F170" s="35" t="n">
        <x:v>2.4491999999999954</x:v>
      </x:c>
      <x:c r="G170" s="35" t="n">
        <x:f>IF(F170="","",C170*F170)</x:f>
        <x:v>2.4491999999999954</x:v>
      </x:c>
      <x:c r="H170" s="33" t="str">
        <x:v>Fabricación</x:v>
      </x:c>
      <x:c r="I170" s="36" t="n">
        <x:v>0.0003119999999999994</x:v>
      </x:c>
      <x:c r="J170" s="33" t="str">
        <x:v>C05E_TT10_D_BASE_PRESENTE.SLDPRT</x:v>
      </x:c>
      <x:c r="K170" s="33" t="str">
        <x:v>CAD_volume_x_specified_density</x:v>
      </x:c>
    </x:row>
    <x:row r="171" ht="32" customHeight="1">
      <x:c r="A171" s="33" t="n">
        <x:v>163</x:v>
      </x:c>
      <x:c r="B171" s="33" t="str">
        <x:v>TT10_D_BASE_RECUP_N</x:v>
      </x:c>
      <x:c r="C171" s="33" t="n">
        <x:v>1</x:v>
      </x:c>
      <x:c r="D171" s="34" t="str">
        <x:v>Base de mando de recuperación</x:v>
      </x:c>
      <x:c r="E171" s="34" t="str">
        <x:v>ASTM A36</x:v>
      </x:c>
      <x:c r="F171" s="35" t="n">
        <x:v>3.979949999999994</x:v>
      </x:c>
      <x:c r="G171" s="35" t="n">
        <x:f>IF(F171="","",C171*F171)</x:f>
        <x:v>3.979949999999994</x:v>
      </x:c>
      <x:c r="H171" s="33" t="str">
        <x:v>Fabricación</x:v>
      </x:c>
      <x:c r="I171" s="36" t="n">
        <x:v>0.0005069999999999992</x:v>
      </x:c>
      <x:c r="J171" s="33" t="str">
        <x:v>C05E_TT10_D_BASE_RECUP_N.SLDPRT</x:v>
      </x:c>
      <x:c r="K171" s="33" t="str">
        <x:v>CAD_volume_x_specified_density</x:v>
      </x:c>
    </x:row>
    <x:row r="172" ht="32" customHeight="1">
      <x:c r="A172" s="33" t="n">
        <x:v>164</x:v>
      </x:c>
      <x:c r="B172" s="33" t="str">
        <x:v>TT10_D_BASE_RECUP_P</x:v>
      </x:c>
      <x:c r="C172" s="33" t="n">
        <x:v>1</x:v>
      </x:c>
      <x:c r="D172" s="34" t="str">
        <x:v>Base de mando de recuperación</x:v>
      </x:c>
      <x:c r="E172" s="34" t="str">
        <x:v>ASTM A36</x:v>
      </x:c>
      <x:c r="F172" s="35" t="n">
        <x:v>3.979949999999994</x:v>
      </x:c>
      <x:c r="G172" s="35" t="n">
        <x:f>IF(F172="","",C172*F172)</x:f>
        <x:v>3.979949999999994</x:v>
      </x:c>
      <x:c r="H172" s="33" t="str">
        <x:v>Fabricación</x:v>
      </x:c>
      <x:c r="I172" s="36" t="n">
        <x:v>0.0005069999999999992</x:v>
      </x:c>
      <x:c r="J172" s="33" t="str">
        <x:v>C05E_TT10_D_BASE_RECUP_P.SLDPRT</x:v>
      </x:c>
      <x:c r="K172" s="33" t="str">
        <x:v>CAD_volume_x_specified_density</x:v>
      </x:c>
    </x:row>
    <x:row r="173" ht="32" customHeight="1">
      <x:c r="A173" s="33" t="n">
        <x:v>165</x:v>
      </x:c>
      <x:c r="B173" s="33" t="str">
        <x:v>TT10_D_BLANCO_PIN</x:v>
      </x:c>
      <x:c r="C173" s="33" t="n">
        <x:v>2</x:v>
      </x:c>
      <x:c r="D173" s="34" t="str">
        <x:v>Bandera de detección del pasador retirado</x:v>
      </x:c>
      <x:c r="E173" s="34" t="str">
        <x:v>ASTM A36</x:v>
      </x:c>
      <x:c r="F173" s="35" t="n">
        <x:v>0.07771499999999765</x:v>
      </x:c>
      <x:c r="G173" s="35" t="n">
        <x:f>IF(F173="","",C173*F173)</x:f>
        <x:v>0.1554299999999953</x:v>
      </x:c>
      <x:c r="H173" s="33" t="str">
        <x:v>Fabricación</x:v>
      </x:c>
      <x:c r="I173" s="36" t="n">
        <x:v>0.0000098999999999997</x:v>
      </x:c>
      <x:c r="J173" s="33" t="str">
        <x:v>C05E_TT10_D_BLANCO_PIN.SLDPRT</x:v>
      </x:c>
      <x:c r="K173" s="33" t="str">
        <x:v>CAD_volume_x_specified_density</x:v>
      </x:c>
    </x:row>
    <x:row r="174" ht="32" customHeight="1">
      <x:c r="A174" s="33" t="n">
        <x:v>166</x:v>
      </x:c>
      <x:c r="B174" s="33" t="str">
        <x:v>TT10_D_BOTONERA</x:v>
      </x:c>
      <x:c r="C174" s="33" t="n">
        <x:v>1</x:v>
      </x:c>
      <x:c r="D174" s="34" t="str">
        <x:v>Botonera: subir, bajar, retorno y paro de emergencia</x:v>
      </x:c>
      <x:c r="E174" s="34" t="str">
        <x:v>Dispositivo de mando comercial; materiales según referencia OEM</x:v>
      </x:c>
      <x:c r="F174" s="35"/>
      <x:c r="G174" s="35" t="str">
        <x:f>IF(F174="","",C174*F174)</x:f>
      </x:c>
      <x:c r="H174" s="33" t="str">
        <x:v>Compra</x:v>
      </x:c>
      <x:c r="I174" s="36" t="n">
        <x:v>0.004559999999999995</x:v>
      </x:c>
      <x:c r="J174" s="33" t="str">
        <x:v>C05E_TT10_D_BOTONERA.SLDPRT</x:v>
      </x:c>
      <x:c r="K174" s="33" t="str">
        <x:v>OEM_mass_required</x:v>
      </x:c>
    </x:row>
    <x:row r="175" ht="32" customHeight="1">
      <x:c r="A175" s="33" t="n">
        <x:v>167</x:v>
      </x:c>
      <x:c r="B175" s="33" t="str">
        <x:v>TT10_D_BOTON_0</x:v>
      </x:c>
      <x:c r="C175" s="33" t="n">
        <x:v>1</x:v>
      </x:c>
      <x:c r="D175" s="34" t="str">
        <x:v>Pulsador 0</x:v>
      </x:c>
      <x:c r="E175" s="34" t="str">
        <x:v>Dispositivo de mando comercial; materiales según referencia OEM</x:v>
      </x:c>
      <x:c r="F175" s="35"/>
      <x:c r="G175" s="35" t="str">
        <x:f>IF(F175="","",C175*F175)</x:f>
      </x:c>
      <x:c r="H175" s="33" t="str">
        <x:v>Compra</x:v>
      </x:c>
      <x:c r="I175" s="36" t="n">
        <x:v>0.00003801327110843743</x:v>
      </x:c>
      <x:c r="J175" s="33" t="str">
        <x:v>C05E_TT10_D_BOTON_0.SLDPRT</x:v>
      </x:c>
      <x:c r="K175" s="33" t="str">
        <x:v>OEM_mass_required</x:v>
      </x:c>
    </x:row>
    <x:row r="176" ht="32" customHeight="1">
      <x:c r="A176" s="33" t="n">
        <x:v>168</x:v>
      </x:c>
      <x:c r="B176" s="33" t="str">
        <x:v>TT10_D_BOTON_1</x:v>
      </x:c>
      <x:c r="C176" s="33" t="n">
        <x:v>1</x:v>
      </x:c>
      <x:c r="D176" s="34" t="str">
        <x:v>Pulsador 1</x:v>
      </x:c>
      <x:c r="E176" s="34" t="str">
        <x:v>Dispositivo de mando comercial; materiales según referencia OEM</x:v>
      </x:c>
      <x:c r="F176" s="35"/>
      <x:c r="G176" s="35" t="str">
        <x:f>IF(F176="","",C176*F176)</x:f>
      </x:c>
      <x:c r="H176" s="33" t="str">
        <x:v>Compra</x:v>
      </x:c>
      <x:c r="I176" s="36" t="n">
        <x:v>0.00003801327110843743</x:v>
      </x:c>
      <x:c r="J176" s="33" t="str">
        <x:v>C05E_TT10_D_BOTON_1.SLDPRT</x:v>
      </x:c>
      <x:c r="K176" s="33" t="str">
        <x:v>OEM_mass_required</x:v>
      </x:c>
    </x:row>
    <x:row r="177" ht="32" customHeight="1">
      <x:c r="A177" s="33" t="n">
        <x:v>169</x:v>
      </x:c>
      <x:c r="B177" s="33" t="str">
        <x:v>TT10_D_BOTON_2</x:v>
      </x:c>
      <x:c r="C177" s="33" t="n">
        <x:v>1</x:v>
      </x:c>
      <x:c r="D177" s="34" t="str">
        <x:v>Pulsador 2</x:v>
      </x:c>
      <x:c r="E177" s="34" t="str">
        <x:v>Dispositivo de mando comercial; materiales según referencia OEM</x:v>
      </x:c>
      <x:c r="F177" s="35"/>
      <x:c r="G177" s="35" t="str">
        <x:f>IF(F177="","",C177*F177)</x:f>
      </x:c>
      <x:c r="H177" s="33" t="str">
        <x:v>Compra</x:v>
      </x:c>
      <x:c r="I177" s="36" t="n">
        <x:v>0.00003801327110843743</x:v>
      </x:c>
      <x:c r="J177" s="33" t="str">
        <x:v>C05E_TT10_D_BOTON_2.SLDPRT</x:v>
      </x:c>
      <x:c r="K177" s="33" t="str">
        <x:v>OEM_mass_required</x:v>
      </x:c>
    </x:row>
    <x:row r="178" ht="32" customHeight="1">
      <x:c r="A178" s="33" t="n">
        <x:v>170</x:v>
      </x:c>
      <x:c r="B178" s="33" t="str">
        <x:v>TT10_D_CABLE_PESTILLO_FIN_N</x:v>
      </x:c>
      <x:c r="C178" s="33" t="n">
        <x:v>1</x:v>
      </x:c>
      <x:c r="D178" s="34" t="str">
        <x:v>Eje de conexión geométrica CABLE_PESTILLO_FIN_N</x:v>
      </x:c>
      <x:c r="E178" s="34" t="str">
        <x:v>Cable/conducción comercial; composición según ficha</x:v>
      </x:c>
      <x:c r="F178" s="35"/>
      <x:c r="G178" s="35" t="str">
        <x:f>IF(F178="","",C178*F178)</x:f>
      </x:c>
      <x:c r="H178" s="33" t="str">
        <x:v>Compra</x:v>
      </x:c>
      <x:c r="I178" s="36" t="n">
        <x:v>0.000027407254309917174</x:v>
      </x:c>
      <x:c r="J178" s="33" t="str">
        <x:v>C05E_TT10_D_CABLE_PESTILLO_FIN_N.SLDPRT</x:v>
      </x:c>
      <x:c r="K178" s="33" t="str">
        <x:v>OEM_mass_required</x:v>
      </x:c>
    </x:row>
    <x:row r="179" ht="32" customHeight="1">
      <x:c r="A179" s="33" t="n">
        <x:v>171</x:v>
      </x:c>
      <x:c r="B179" s="33" t="str">
        <x:v>TT10_D_CABLE_PESTILLO_FIN_P</x:v>
      </x:c>
      <x:c r="C179" s="33" t="n">
        <x:v>1</x:v>
      </x:c>
      <x:c r="D179" s="34" t="str">
        <x:v>Eje de conexión geométrica CABLE_PESTILLO_FIN_P</x:v>
      </x:c>
      <x:c r="E179" s="34" t="str">
        <x:v>Cable/conducción comercial; composición según ficha</x:v>
      </x:c>
      <x:c r="F179" s="35"/>
      <x:c r="G179" s="35" t="str">
        <x:f>IF(F179="","",C179*F179)</x:f>
      </x:c>
      <x:c r="H179" s="33" t="str">
        <x:v>Compra</x:v>
      </x:c>
      <x:c r="I179" s="36" t="n">
        <x:v>0.000027407254309917153</x:v>
      </x:c>
      <x:c r="J179" s="33" t="str">
        <x:v>C05E_TT10_D_CABLE_PESTILLO_FIN_P.SLDPRT</x:v>
      </x:c>
      <x:c r="K179" s="33" t="str">
        <x:v>OEM_mass_required</x:v>
      </x:c>
    </x:row>
    <x:row r="180" ht="32" customHeight="1">
      <x:c r="A180" s="33" t="n">
        <x:v>172</x:v>
      </x:c>
      <x:c r="B180" s="33" t="str">
        <x:v>TT10_D_CABLE_PESTILLO_N</x:v>
      </x:c>
      <x:c r="C180" s="33" t="n">
        <x:v>1</x:v>
      </x:c>
      <x:c r="D180" s="34" t="str">
        <x:v>Eje de conexión geométrica CABLE_PESTILLO_N</x:v>
      </x:c>
      <x:c r="E180" s="34" t="str">
        <x:v>Cable/conducción comercial; composición según ficha</x:v>
      </x:c>
      <x:c r="F180" s="35"/>
      <x:c r="G180" s="35" t="str">
        <x:f>IF(F180="","",C180*F180)</x:f>
      </x:c>
      <x:c r="H180" s="33" t="str">
        <x:v>Compra</x:v>
      </x:c>
      <x:c r="I180" s="36" t="n">
        <x:v>0.000055292030703180604</x:v>
      </x:c>
      <x:c r="J180" s="33" t="str">
        <x:v>C05E_TT10_D_CABLE_PESTILLO_N.SLDPRT</x:v>
      </x:c>
      <x:c r="K180" s="33" t="str">
        <x:v>OEM_mass_required</x:v>
      </x:c>
    </x:row>
    <x:row r="181" ht="32" customHeight="1">
      <x:c r="A181" s="33" t="n">
        <x:v>173</x:v>
      </x:c>
      <x:c r="B181" s="33" t="str">
        <x:v>TT10_D_CABLE_PESTILLO_P</x:v>
      </x:c>
      <x:c r="C181" s="33" t="n">
        <x:v>1</x:v>
      </x:c>
      <x:c r="D181" s="34" t="str">
        <x:v>Eje de conexión geométrica CABLE_PESTILLO_P</x:v>
      </x:c>
      <x:c r="E181" s="34" t="str">
        <x:v>Cable/conducción comercial; composición según ficha</x:v>
      </x:c>
      <x:c r="F181" s="35"/>
      <x:c r="G181" s="35" t="str">
        <x:f>IF(F181="","",C181*F181)</x:f>
      </x:c>
      <x:c r="H181" s="33" t="str">
        <x:v>Compra</x:v>
      </x:c>
      <x:c r="I181" s="36" t="n">
        <x:v>0.000055292030703180604</x:v>
      </x:c>
      <x:c r="J181" s="33" t="str">
        <x:v>C05E_TT10_D_CABLE_PESTILLO_P.SLDPRT</x:v>
      </x:c>
      <x:c r="K181" s="33" t="str">
        <x:v>OEM_mass_required</x:v>
      </x:c>
    </x:row>
    <x:row r="182" ht="32" customHeight="1">
      <x:c r="A182" s="33" t="n">
        <x:v>174</x:v>
      </x:c>
      <x:c r="B182" s="33" t="str">
        <x:v>TT10_D_CABLE_PESTILLO_SUP_N</x:v>
      </x:c>
      <x:c r="C182" s="33" t="n">
        <x:v>1</x:v>
      </x:c>
      <x:c r="D182" s="34" t="str">
        <x:v>Eje de conexión geométrica CABLE_PESTILLO_SUP_N</x:v>
      </x:c>
      <x:c r="E182" s="34" t="str">
        <x:v>Cable/conducción comercial; composición según ficha</x:v>
      </x:c>
      <x:c r="F182" s="35"/>
      <x:c r="G182" s="35" t="str">
        <x:f>IF(F182="","",C182*F182)</x:f>
      </x:c>
      <x:c r="H182" s="33" t="str">
        <x:v>Compra</x:v>
      </x:c>
      <x:c r="I182" s="36" t="n">
        <x:v>0.000035537696097407724</x:v>
      </x:c>
      <x:c r="J182" s="33" t="str">
        <x:v>C05E_TT10_D_CABLE_PESTILLO_SUP_N.SLDPRT</x:v>
      </x:c>
      <x:c r="K182" s="33" t="str">
        <x:v>OEM_mass_required</x:v>
      </x:c>
    </x:row>
    <x:row r="183" ht="32" customHeight="1">
      <x:c r="A183" s="33" t="n">
        <x:v>175</x:v>
      </x:c>
      <x:c r="B183" s="33" t="str">
        <x:v>TT10_D_CABLE_PESTILLO_SUP_P</x:v>
      </x:c>
      <x:c r="C183" s="33" t="n">
        <x:v>1</x:v>
      </x:c>
      <x:c r="D183" s="34" t="str">
        <x:v>Eje de conexión geométrica CABLE_PESTILLO_SUP_P</x:v>
      </x:c>
      <x:c r="E183" s="34" t="str">
        <x:v>Cable/conducción comercial; composición según ficha</x:v>
      </x:c>
      <x:c r="F183" s="35"/>
      <x:c r="G183" s="35" t="str">
        <x:f>IF(F183="","",C183*F183)</x:f>
      </x:c>
      <x:c r="H183" s="33" t="str">
        <x:v>Compra</x:v>
      </x:c>
      <x:c r="I183" s="36" t="n">
        <x:v>0.000035537696097407724</x:v>
      </x:c>
      <x:c r="J183" s="33" t="str">
        <x:v>C05E_TT10_D_CABLE_PESTILLO_SUP_P.SLDPRT</x:v>
      </x:c>
      <x:c r="K183" s="33" t="str">
        <x:v>OEM_mass_required</x:v>
      </x:c>
    </x:row>
    <x:row r="184" ht="32" customHeight="1">
      <x:c r="A184" s="33" t="n">
        <x:v>176</x:v>
      </x:c>
      <x:c r="B184" s="33" t="str">
        <x:v>TT10_D_CABLE_PRESENTE</x:v>
      </x:c>
      <x:c r="C184" s="33" t="n">
        <x:v>1</x:v>
      </x:c>
      <x:c r="D184" s="34" t="str">
        <x:v>Eje de conexión geométrica CABLE_PRESENTE</x:v>
      </x:c>
      <x:c r="E184" s="34" t="str">
        <x:v>Cable/conducción comercial; composición según ficha</x:v>
      </x:c>
      <x:c r="F184" s="35"/>
      <x:c r="G184" s="35" t="str">
        <x:f>IF(F184="","",C184*F184)</x:f>
      </x:c>
      <x:c r="H184" s="33" t="str">
        <x:v>Compra</x:v>
      </x:c>
      <x:c r="I184" s="36" t="n">
        <x:v>0.000018306319138079513</x:v>
      </x:c>
      <x:c r="J184" s="33" t="str">
        <x:v>C05E_TT10_D_CABLE_PRESENTE.SLDPRT</x:v>
      </x:c>
      <x:c r="K184" s="33" t="str">
        <x:v>OEM_mass_required</x:v>
      </x:c>
    </x:row>
    <x:row r="185" ht="32" customHeight="1">
      <x:c r="A185" s="33" t="n">
        <x:v>177</x:v>
      </x:c>
      <x:c r="B185" s="33" t="str">
        <x:v>TT10_D_CARTELA_MOTOR_0</x:v>
      </x:c>
      <x:c r="C185" s="33" t="n">
        <x:v>1</x:v>
      </x:c>
      <x:c r="D185" s="34" t="str">
        <x:v>Apoyo lateral desmontable de bancada</x:v>
      </x:c>
      <x:c r="E185" s="34" t="str">
        <x:v>ASTM A36</x:v>
      </x:c>
      <x:c r="F185" s="35" t="n">
        <x:v>4.159872000000008</x:v>
      </x:c>
      <x:c r="G185" s="35" t="n">
        <x:f>IF(F185="","",C185*F185)</x:f>
        <x:v>4.159872000000008</x:v>
      </x:c>
      <x:c r="H185" s="33" t="str">
        <x:v>Fabricación</x:v>
      </x:c>
      <x:c r="I185" s="36" t="n">
        <x:v>0.000529920000000001</x:v>
      </x:c>
      <x:c r="J185" s="33" t="str">
        <x:v>C05E_TT10_D_CARTELA_MOTOR_0.SLDPRT</x:v>
      </x:c>
      <x:c r="K185" s="33" t="str">
        <x:v>CAD_volume_x_specified_density</x:v>
      </x:c>
    </x:row>
    <x:row r="186" ht="32" customHeight="1">
      <x:c r="A186" s="33" t="n">
        <x:v>178</x:v>
      </x:c>
      <x:c r="B186" s="33" t="str">
        <x:v>TT10_D_CARTELA_MOTOR_1</x:v>
      </x:c>
      <x:c r="C186" s="33" t="n">
        <x:v>1</x:v>
      </x:c>
      <x:c r="D186" s="34" t="str">
        <x:v>Apoyo lateral desmontable de bancada</x:v>
      </x:c>
      <x:c r="E186" s="34" t="str">
        <x:v>ASTM A36</x:v>
      </x:c>
      <x:c r="F186" s="35" t="n">
        <x:v>4.159872000000007</x:v>
      </x:c>
      <x:c r="G186" s="35" t="n">
        <x:f>IF(F186="","",C186*F186)</x:f>
        <x:v>4.159872000000007</x:v>
      </x:c>
      <x:c r="H186" s="33" t="str">
        <x:v>Fabricación</x:v>
      </x:c>
      <x:c r="I186" s="36" t="n">
        <x:v>0.0005299200000000009</x:v>
      </x:c>
      <x:c r="J186" s="33" t="str">
        <x:v>C05E_TT10_D_CARTELA_MOTOR_1.SLDPRT</x:v>
      </x:c>
      <x:c r="K186" s="33" t="str">
        <x:v>CAD_volume_x_specified_density</x:v>
      </x:c>
    </x:row>
    <x:row r="187" ht="32" customHeight="1">
      <x:c r="A187" s="33" t="n">
        <x:v>179</x:v>
      </x:c>
      <x:c r="B187" s="33" t="str">
        <x:v>TT10_D_COLUMNA_MOTOR</x:v>
      </x:c>
      <x:c r="C187" s="33" t="n">
        <x:v>1</x:v>
      </x:c>
      <x:c r="D187" s="34" t="str">
        <x:v>Columna adicional RHS200x200; asiento sobre placa base</x:v>
      </x:c>
      <x:c r="E187" s="34" t="str">
        <x:v>S275J0H / EN 10219-1</x:v>
      </x:c>
      <x:c r="F187" s="35" t="n">
        <x:v>110.96760000000134</x:v>
      </x:c>
      <x:c r="G187" s="35" t="n">
        <x:f>IF(F187="","",C187*F187)</x:f>
        <x:v>110.96760000000134</x:v>
      </x:c>
      <x:c r="H187" s="33" t="str">
        <x:v>Fabricación</x:v>
      </x:c>
      <x:c r="I187" s="36" t="n">
        <x:v>0.014136000000000171</x:v>
      </x:c>
      <x:c r="J187" s="33" t="str">
        <x:v>C05E_TT10_D_COLUMNA_MOTOR.SLDPRT</x:v>
      </x:c>
      <x:c r="K187" s="33" t="str">
        <x:v>CAD_volume_x_specified_density</x:v>
      </x:c>
    </x:row>
    <x:row r="188" ht="32" customHeight="1">
      <x:c r="A188" s="33" t="n">
        <x:v>180</x:v>
      </x:c>
      <x:c r="B188" s="33" t="str">
        <x:v>TT10_D_CUBO_N</x:v>
      </x:c>
      <x:c r="C188" s="33" t="n">
        <x:v>1</x:v>
      </x:c>
      <x:c r="D188" s="34" t="str">
        <x:v>Cubo de conexión por apriete y brida de disco N</x:v>
      </x:c>
      <x:c r="E188" s="34" t="str">
        <x:v>AISI 4140 bonificado</x:v>
      </x:c>
      <x:c r="F188" s="35" t="n">
        <x:v>76.96885704283103</x:v>
      </x:c>
      <x:c r="G188" s="35" t="n">
        <x:f>IF(F188="","",C188*F188)</x:f>
        <x:v>76.96885704283103</x:v>
      </x:c>
      <x:c r="H188" s="33" t="str">
        <x:v>Fabricación</x:v>
      </x:c>
      <x:c r="I188" s="36" t="n">
        <x:v>0.009804949941761915</x:v>
      </x:c>
      <x:c r="J188" s="33" t="str">
        <x:v>C05E_TT10_D_CUBO_N.SLDPRT</x:v>
      </x:c>
      <x:c r="K188" s="33" t="str">
        <x:v>CAD_volume_x_specified_density</x:v>
      </x:c>
    </x:row>
    <x:row r="189" ht="32" customHeight="1">
      <x:c r="A189" s="33" t="n">
        <x:v>181</x:v>
      </x:c>
      <x:c r="B189" s="33" t="str">
        <x:v>TT10_D_CUBO_P</x:v>
      </x:c>
      <x:c r="C189" s="33" t="n">
        <x:v>1</x:v>
      </x:c>
      <x:c r="D189" s="34" t="str">
        <x:v>Cubo de conexión por apriete y brida de disco P</x:v>
      </x:c>
      <x:c r="E189" s="34" t="str">
        <x:v>AISI 4140 bonificado</x:v>
      </x:c>
      <x:c r="F189" s="35" t="n">
        <x:v>76.9688570428311</x:v>
      </x:c>
      <x:c r="G189" s="35" t="n">
        <x:f>IF(F189="","",C189*F189)</x:f>
        <x:v>76.9688570428311</x:v>
      </x:c>
      <x:c r="H189" s="33" t="str">
        <x:v>Fabricación</x:v>
      </x:c>
      <x:c r="I189" s="36" t="n">
        <x:v>0.009804949941761924</x:v>
      </x:c>
      <x:c r="J189" s="33" t="str">
        <x:v>C05E_TT10_D_CUBO_P.SLDPRT</x:v>
      </x:c>
      <x:c r="K189" s="33" t="str">
        <x:v>CAD_volume_x_specified_density</x:v>
      </x:c>
    </x:row>
    <x:row r="190" ht="32" customHeight="1">
      <x:c r="A190" s="33" t="n">
        <x:v>182</x:v>
      </x:c>
      <x:c r="B190" s="33" t="str">
        <x:v>TT10_D_DISCO_N</x:v>
      </x:c>
      <x:c r="C190" s="33" t="n">
        <x:v>1</x:v>
      </x:c>
      <x:c r="D190" s="34" t="str">
        <x:v>Disco de freno de salida N; diámetro nominal de dibujo</x:v>
      </x:c>
      <x:c r="E190" s="34" t="str">
        <x:v>Equipo comprado</x:v>
      </x:c>
      <x:c r="F190" s="35"/>
      <x:c r="G190" s="35" t="str">
        <x:f>IF(F190="","",C190*F190)</x:f>
      </x:c>
      <x:c r="H190" s="33" t="str">
        <x:v>Compra</x:v>
      </x:c>
      <x:c r="I190" s="36" t="n">
        <x:v>0.0358717259363007</x:v>
      </x:c>
      <x:c r="J190" s="33" t="str">
        <x:v>C05E_TT10_D_DISCO_N.SLDPRT</x:v>
      </x:c>
      <x:c r="K190" s="33" t="str">
        <x:v>OEM_mass_required</x:v>
      </x:c>
    </x:row>
    <x:row r="191" ht="32" customHeight="1">
      <x:c r="A191" s="33" t="n">
        <x:v>183</x:v>
      </x:c>
      <x:c r="B191" s="33" t="str">
        <x:v>TT10_D_DISCO_P</x:v>
      </x:c>
      <x:c r="C191" s="33" t="n">
        <x:v>1</x:v>
      </x:c>
      <x:c r="D191" s="34" t="str">
        <x:v>Disco de freno de salida P; diámetro nominal de dibujo</x:v>
      </x:c>
      <x:c r="E191" s="34" t="str">
        <x:v>Equipo comprado</x:v>
      </x:c>
      <x:c r="F191" s="35"/>
      <x:c r="G191" s="35" t="str">
        <x:f>IF(F191="","",C191*F191)</x:f>
      </x:c>
      <x:c r="H191" s="33" t="str">
        <x:v>Compra</x:v>
      </x:c>
      <x:c r="I191" s="36" t="n">
        <x:v>0.03587172593630002</x:v>
      </x:c>
      <x:c r="J191" s="33" t="str">
        <x:v>C05E_TT10_D_DISCO_P.SLDPRT</x:v>
      </x:c>
      <x:c r="K191" s="33" t="str">
        <x:v>OEM_mass_required</x:v>
      </x:c>
    </x:row>
    <x:row r="192" ht="32" customHeight="1">
      <x:c r="A192" s="33" t="n">
        <x:v>184</x:v>
      </x:c>
      <x:c r="B192" s="33" t="str">
        <x:v>TT10_D_ENCODER</x:v>
      </x:c>
      <x:c r="C192" s="33" t="n">
        <x:v>1</x:v>
      </x:c>
      <x:c r="D192" s="34" t="str">
        <x:v>Encoder de velocidad en eje motor</x:v>
      </x:c>
      <x:c r="E192" s="34" t="str">
        <x:v>Equipo comprado</x:v>
      </x:c>
      <x:c r="F192" s="35"/>
      <x:c r="G192" s="35" t="str">
        <x:f>IF(F192="","",C192*F192)</x:f>
      </x:c>
      <x:c r="H192" s="33" t="str">
        <x:v>Compra</x:v>
      </x:c>
      <x:c r="I192" s="36" t="n">
        <x:v>0.000413512133028754</x:v>
      </x:c>
      <x:c r="J192" s="33" t="str">
        <x:v>C05E_TT10_D_ENCODER.SLDPRT</x:v>
      </x:c>
      <x:c r="K192" s="33" t="str">
        <x:v>OEM_mass_required</x:v>
      </x:c>
    </x:row>
    <x:row r="193" ht="32" customHeight="1">
      <x:c r="A193" s="33" t="n">
        <x:v>185</x:v>
      </x:c>
      <x:c r="B193" s="33" t="str">
        <x:v>TT10_D_ENTRADA_REDUCTOR</x:v>
      </x:c>
      <x:c r="C193" s="33" t="n">
        <x:v>1</x:v>
      </x:c>
      <x:c r="D193" s="34" t="str">
        <x:v>Eje de conexión geométrica ENTRADA_REDUCTOR</x:v>
      </x:c>
      <x:c r="E193" s="34" t="str">
        <x:v>Equipo comprado; materiales y masa según ficha OEM</x:v>
      </x:c>
      <x:c r="F193" s="35"/>
      <x:c r="G193" s="35" t="str">
        <x:f>IF(F193="","",C193*F193)</x:f>
      </x:c>
      <x:c r="H193" s="33" t="str">
        <x:v>Compra</x:v>
      </x:c>
      <x:c r="I193" s="36" t="n">
        <x:v>0.0001276272015520892</x:v>
      </x:c>
      <x:c r="J193" s="33" t="str">
        <x:v>C05E_TT10_D_ENTRADA_REDUCTOR.SLDPRT</x:v>
      </x:c>
      <x:c r="K193" s="33" t="str">
        <x:v>OEM_mass_required</x:v>
      </x:c>
    </x:row>
    <x:row r="194" ht="32" customHeight="1">
      <x:c r="A194" s="33" t="n">
        <x:v>186</x:v>
      </x:c>
      <x:c r="B194" s="33" t="str">
        <x:v>TT10_D_LIBERACION_FRENO_N</x:v>
      </x:c>
      <x:c r="C194" s="33" t="n">
        <x:v>1</x:v>
      </x:c>
      <x:c r="D194" s="34" t="str">
        <x:v>Eje de conexión geométrica LIBERACION_FRENO_N</x:v>
      </x:c>
      <x:c r="E194" s="34" t="str">
        <x:v>Mecanismo OEM Svendborg; incluido en pinza</x:v>
      </x:c>
      <x:c r="F194" s="35"/>
      <x:c r="G194" s="35" t="str">
        <x:f>IF(F194="","",C194*F194)</x:f>
      </x:c>
      <x:c r="H194" s="33" t="str">
        <x:v>Compra</x:v>
      </x:c>
      <x:c r="I194" s="36" t="n">
        <x:v>0.000013069025438933537</x:v>
      </x:c>
      <x:c r="J194" s="33" t="str">
        <x:v>C05E_TT10_D_LIBERACION_FRENO_N.SLDPRT</x:v>
      </x:c>
      <x:c r="K194" s="33" t="str">
        <x:v>OEM_mass_required</x:v>
      </x:c>
    </x:row>
    <x:row r="195" ht="32" customHeight="1">
      <x:c r="A195" s="33" t="n">
        <x:v>187</x:v>
      </x:c>
      <x:c r="B195" s="33" t="str">
        <x:v>TT10_D_LIBERACION_FRENO_P</x:v>
      </x:c>
      <x:c r="C195" s="33" t="n">
        <x:v>1</x:v>
      </x:c>
      <x:c r="D195" s="34" t="str">
        <x:v>Eje de conexión geométrica LIBERACION_FRENO_P</x:v>
      </x:c>
      <x:c r="E195" s="34" t="str">
        <x:v>Mecanismo OEM Svendborg; incluido en pinza</x:v>
      </x:c>
      <x:c r="F195" s="35"/>
      <x:c r="G195" s="35" t="str">
        <x:f>IF(F195="","",C195*F195)</x:f>
      </x:c>
      <x:c r="H195" s="33" t="str">
        <x:v>Compra</x:v>
      </x:c>
      <x:c r="I195" s="36" t="n">
        <x:v>0.000013069025438933537</x:v>
      </x:c>
      <x:c r="J195" s="33" t="str">
        <x:v>C05E_TT10_D_LIBERACION_FRENO_P.SLDPRT</x:v>
      </x:c>
      <x:c r="K195" s="33" t="str">
        <x:v>OEM_mass_required</x:v>
      </x:c>
    </x:row>
    <x:row r="196" ht="32" customHeight="1">
      <x:c r="A196" s="33" t="n">
        <x:v>188</x:v>
      </x:c>
      <x:c r="B196" s="33" t="str">
        <x:v>TT10_D_MANDO_PRESENTE</x:v>
      </x:c>
      <x:c r="C196" s="33" t="n">
        <x:v>1</x:v>
      </x:c>
      <x:c r="D196" s="34" t="str">
        <x:v>Palanca de hombre presente para liberación manual nominal</x:v>
      </x:c>
      <x:c r="E196" s="34" t="str">
        <x:v>ASTM A36</x:v>
      </x:c>
      <x:c r="F196" s="35" t="n">
        <x:v>0.431750000000006</x:v>
      </x:c>
      <x:c r="G196" s="35" t="n">
        <x:f>IF(F196="","",C196*F196)</x:f>
        <x:v>0.431750000000006</x:v>
      </x:c>
      <x:c r="H196" s="33" t="str">
        <x:v>Fabricación</x:v>
      </x:c>
      <x:c r="I196" s="36" t="n">
        <x:v>0.00005500000000000077</x:v>
      </x:c>
      <x:c r="J196" s="33" t="str">
        <x:v>C05E_TT10_D_MANDO_PRESENTE.SLDPRT</x:v>
      </x:c>
      <x:c r="K196" s="33" t="str">
        <x:v>CAD_volume_x_specified_density</x:v>
      </x:c>
    </x:row>
    <x:row r="197" ht="32" customHeight="1">
      <x:c r="A197" s="33" t="n">
        <x:v>189</x:v>
      </x:c>
      <x:c r="B197" s="33" t="str">
        <x:v>TT10_D_MOTOR</x:v>
      </x:c>
      <x:c r="C197" s="33" t="n">
        <x:v>1</x:v>
      </x:c>
      <x:c r="D197" s="34" t="str">
        <x:v>Motor eléctrico con encoder; geometría nominal, potencia no seleccionada</x:v>
      </x:c>
      <x:c r="E197" s="34" t="str">
        <x:v>Equipo comprado; materiales y masa según ficha OEM</x:v>
      </x:c>
      <x:c r="F197" s="35"/>
      <x:c r="G197" s="35" t="str">
        <x:f>IF(F197="","",C197*F197)</x:f>
      </x:c>
      <x:c r="H197" s="33" t="str">
        <x:v>Compra</x:v>
      </x:c>
      <x:c r="I197" s="36" t="n">
        <x:v>0.05716233037208915</x:v>
      </x:c>
      <x:c r="J197" s="33" t="str">
        <x:v>C05E_TT10_D_MOTOR.SLDPRT</x:v>
      </x:c>
      <x:c r="K197" s="33" t="str">
        <x:v>OEM_mass_required</x:v>
      </x:c>
    </x:row>
    <x:row r="198" ht="32" customHeight="1">
      <x:c r="A198" s="33" t="n">
        <x:v>190</x:v>
      </x:c>
      <x:c r="B198" s="33" t="str">
        <x:v>TT10_D_PALANCA_PESTILLO_N</x:v>
      </x:c>
      <x:c r="C198" s="33" t="n">
        <x:v>1</x:v>
      </x:c>
      <x:c r="D198" s="34" t="str">
        <x:v>Palanca accesible de recuperación del pestillo por cable</x:v>
      </x:c>
      <x:c r="E198" s="34" t="str">
        <x:v>AISI 4140 bonificado</x:v>
      </x:c>
      <x:c r="F198" s="35" t="n">
        <x:v>0.4710000000000006</x:v>
      </x:c>
      <x:c r="G198" s="35" t="n">
        <x:f>IF(F198="","",C198*F198)</x:f>
        <x:v>0.4710000000000006</x:v>
      </x:c>
      <x:c r="H198" s="33" t="str">
        <x:v>Fabricación</x:v>
      </x:c>
      <x:c r="I198" s="36" t="n">
        <x:v>0.000060000000000000076</x:v>
      </x:c>
      <x:c r="J198" s="33" t="str">
        <x:v>C05E_TT10_D_PALANCA_PESTILLO_N.SLDPRT</x:v>
      </x:c>
      <x:c r="K198" s="33" t="str">
        <x:v>CAD_volume_x_specified_density</x:v>
      </x:c>
    </x:row>
    <x:row r="199" ht="32" customHeight="1">
      <x:c r="A199" s="33" t="n">
        <x:v>191</x:v>
      </x:c>
      <x:c r="B199" s="33" t="str">
        <x:v>TT10_D_PALANCA_PESTILLO_P</x:v>
      </x:c>
      <x:c r="C199" s="33" t="n">
        <x:v>1</x:v>
      </x:c>
      <x:c r="D199" s="34" t="str">
        <x:v>Palanca accesible de recuperación del pestillo por cable</x:v>
      </x:c>
      <x:c r="E199" s="34" t="str">
        <x:v>AISI 4140 bonificado</x:v>
      </x:c>
      <x:c r="F199" s="35" t="n">
        <x:v>0.4710000000000006</x:v>
      </x:c>
      <x:c r="G199" s="35" t="n">
        <x:f>IF(F199="","",C199*F199)</x:f>
        <x:v>0.4710000000000006</x:v>
      </x:c>
      <x:c r="H199" s="33" t="str">
        <x:v>Fabricación</x:v>
      </x:c>
      <x:c r="I199" s="36" t="n">
        <x:v>0.000060000000000000076</x:v>
      </x:c>
      <x:c r="J199" s="33" t="str">
        <x:v>C05E_TT10_D_PALANCA_PESTILLO_P.SLDPRT</x:v>
      </x:c>
      <x:c r="K199" s="33" t="str">
        <x:v>CAD_volume_x_specified_density</x:v>
      </x:c>
    </x:row>
    <x:row r="200" ht="32" customHeight="1">
      <x:c r="A200" s="33" t="n">
        <x:v>192</x:v>
      </x:c>
      <x:c r="B200" s="33" t="str">
        <x:v>TT10_D_PALANCA_SELECTOR</x:v>
      </x:c>
      <x:c r="C200" s="33" t="n">
        <x:v>1</x:v>
      </x:c>
      <x:c r="D200" s="34" t="str">
        <x:v>Selector E-0-M a altura accesible; transmisión por varilla</x:v>
      </x:c>
      <x:c r="E200" s="34" t="str">
        <x:v>ASTM A36</x:v>
      </x:c>
      <x:c r="F200" s="35" t="n">
        <x:v>1.1304000000000058</x:v>
      </x:c>
      <x:c r="G200" s="35" t="n">
        <x:f>IF(F200="","",C200*F200)</x:f>
        <x:v>1.1304000000000058</x:v>
      </x:c>
      <x:c r="H200" s="33" t="str">
        <x:v>Fabricación</x:v>
      </x:c>
      <x:c r="I200" s="36" t="n">
        <x:v>0.00014400000000000074</x:v>
      </x:c>
      <x:c r="J200" s="33" t="str">
        <x:v>C05E_TT10_D_PALANCA_SELECTOR.SLDPRT</x:v>
      </x:c>
      <x:c r="K200" s="33" t="str">
        <x:v>CAD_volume_x_specified_density</x:v>
      </x:c>
    </x:row>
    <x:row r="201" ht="32" customHeight="1">
      <x:c r="A201" s="33" t="n">
        <x:v>193</x:v>
      </x:c>
      <x:c r="B201" s="33" t="str">
        <x:v>TT10_D_PASTILLA_N0</x:v>
      </x:c>
      <x:c r="C201" s="33" t="n">
        <x:v>1</x:v>
      </x:c>
      <x:c r="D201" s="34" t="str">
        <x:v>Pastilla de freno; contacto nominal intencional</x:v>
      </x:c>
      <x:c r="E201" s="34" t="str">
        <x:v>Material de fricción OEM Svendborg; según suministro</x:v>
      </x:c>
      <x:c r="F201" s="35"/>
      <x:c r="G201" s="35" t="str">
        <x:f>IF(F201="","",C201*F201)</x:f>
      </x:c>
      <x:c r="H201" s="33" t="str">
        <x:v>Compra</x:v>
      </x:c>
      <x:c r="I201" s="36" t="n">
        <x:v>0.0000288</x:v>
      </x:c>
      <x:c r="J201" s="33" t="str">
        <x:v>C05E_TT10_D_PASTILLA_N0.SLDPRT</x:v>
      </x:c>
      <x:c r="K201" s="33" t="str">
        <x:v>OEM_mass_required</x:v>
      </x:c>
    </x:row>
    <x:row r="202" ht="32" customHeight="1">
      <x:c r="A202" s="33" t="n">
        <x:v>194</x:v>
      </x:c>
      <x:c r="B202" s="33" t="str">
        <x:v>TT10_D_PASTILLA_N1</x:v>
      </x:c>
      <x:c r="C202" s="33" t="n">
        <x:v>1</x:v>
      </x:c>
      <x:c r="D202" s="34" t="str">
        <x:v>Pastilla de freno; contacto nominal intencional</x:v>
      </x:c>
      <x:c r="E202" s="34" t="str">
        <x:v>Material de fricción OEM Svendborg; según suministro</x:v>
      </x:c>
      <x:c r="F202" s="35"/>
      <x:c r="G202" s="35" t="str">
        <x:f>IF(F202="","",C202*F202)</x:f>
      </x:c>
      <x:c r="H202" s="33" t="str">
        <x:v>Compra</x:v>
      </x:c>
      <x:c r="I202" s="36" t="n">
        <x:v>0.0000288</x:v>
      </x:c>
      <x:c r="J202" s="33" t="str">
        <x:v>C05E_TT10_D_PASTILLA_N1.SLDPRT</x:v>
      </x:c>
      <x:c r="K202" s="33" t="str">
        <x:v>OEM_mass_required</x:v>
      </x:c>
    </x:row>
    <x:row r="203" ht="32" customHeight="1">
      <x:c r="A203" s="33" t="n">
        <x:v>195</x:v>
      </x:c>
      <x:c r="B203" s="33" t="str">
        <x:v>TT10_D_PASTILLA_P0</x:v>
      </x:c>
      <x:c r="C203" s="33" t="n">
        <x:v>1</x:v>
      </x:c>
      <x:c r="D203" s="34" t="str">
        <x:v>Pastilla de freno; contacto nominal intencional</x:v>
      </x:c>
      <x:c r="E203" s="34" t="str">
        <x:v>Material de fricción OEM Svendborg; según suministro</x:v>
      </x:c>
      <x:c r="F203" s="35"/>
      <x:c r="G203" s="35" t="str">
        <x:f>IF(F203="","",C203*F203)</x:f>
      </x:c>
      <x:c r="H203" s="33" t="str">
        <x:v>Compra</x:v>
      </x:c>
      <x:c r="I203" s="36" t="n">
        <x:v>0.0000288</x:v>
      </x:c>
      <x:c r="J203" s="33" t="str">
        <x:v>C05E_TT10_D_PASTILLA_P0.SLDPRT</x:v>
      </x:c>
      <x:c r="K203" s="33" t="str">
        <x:v>OEM_mass_required</x:v>
      </x:c>
    </x:row>
    <x:row r="204" ht="32" customHeight="1">
      <x:c r="A204" s="33" t="n">
        <x:v>196</x:v>
      </x:c>
      <x:c r="B204" s="33" t="str">
        <x:v>TT10_D_PASTILLA_P1</x:v>
      </x:c>
      <x:c r="C204" s="33" t="n">
        <x:v>1</x:v>
      </x:c>
      <x:c r="D204" s="34" t="str">
        <x:v>Pastilla de freno; contacto nominal intencional</x:v>
      </x:c>
      <x:c r="E204" s="34" t="str">
        <x:v>Material de fricción OEM Svendborg; según suministro</x:v>
      </x:c>
      <x:c r="F204" s="35"/>
      <x:c r="G204" s="35" t="str">
        <x:f>IF(F204="","",C204*F204)</x:f>
      </x:c>
      <x:c r="H204" s="33" t="str">
        <x:v>Compra</x:v>
      </x:c>
      <x:c r="I204" s="36" t="n">
        <x:v>0.0000288</x:v>
      </x:c>
      <x:c r="J204" s="33" t="str">
        <x:v>C05E_TT10_D_PASTILLA_P1.SLDPRT</x:v>
      </x:c>
      <x:c r="K204" s="33" t="str">
        <x:v>OEM_mass_required</x:v>
      </x:c>
    </x:row>
    <x:row r="205" ht="32" customHeight="1">
      <x:c r="A205" s="33" t="n">
        <x:v>197</x:v>
      </x:c>
      <x:c r="B205" s="33" t="str">
        <x:v>TT10_D_PEDESTAL_AUX</x:v>
      </x:c>
      <x:c r="C205" s="33" t="n">
        <x:v>1</x:v>
      </x:c>
      <x:c r="D205" s="34" t="str">
        <x:v>Pedestal bajo reducción auxiliar</x:v>
      </x:c>
      <x:c r="E205" s="34" t="str">
        <x:v>ASTM A36</x:v>
      </x:c>
      <x:c r="F205" s="35" t="n">
        <x:v>95.1498500000001</x:v>
      </x:c>
      <x:c r="G205" s="35" t="n">
        <x:f>IF(F205="","",C205*F205)</x:f>
        <x:v>95.1498500000001</x:v>
      </x:c>
      <x:c r="H205" s="33" t="str">
        <x:v>Fabricación</x:v>
      </x:c>
      <x:c r="I205" s="36" t="n">
        <x:v>0.012121000000000012</x:v>
      </x:c>
      <x:c r="J205" s="33" t="str">
        <x:v>C05E_TT10_D_PEDESTAL_AUX.SLDPRT</x:v>
      </x:c>
      <x:c r="K205" s="33" t="str">
        <x:v>CAD_volume_x_specified_density</x:v>
      </x:c>
    </x:row>
    <x:row r="206" ht="32" customHeight="1">
      <x:c r="A206" s="33" t="n">
        <x:v>198</x:v>
      </x:c>
      <x:c r="B206" s="33" t="str">
        <x:v>TT10_D_PEDESTAL_MOTOR</x:v>
      </x:c>
      <x:c r="C206" s="33" t="n">
        <x:v>1</x:v>
      </x:c>
      <x:c r="D206" s="34" t="str">
        <x:v>Soporte común de pies del motor</x:v>
      </x:c>
      <x:c r="E206" s="34" t="str">
        <x:v>ASTM A36</x:v>
      </x:c>
      <x:c r="F206" s="35" t="n">
        <x:v>223.79564999999968</x:v>
      </x:c>
      <x:c r="G206" s="35" t="n">
        <x:f>IF(F206="","",C206*F206)</x:f>
        <x:v>223.79564999999968</x:v>
      </x:c>
      <x:c r="H206" s="33" t="str">
        <x:v>Fabricación</x:v>
      </x:c>
      <x:c r="I206" s="36" t="n">
        <x:v>0.028508999999999958</x:v>
      </x:c>
      <x:c r="J206" s="33" t="str">
        <x:v>C05E_TT10_D_PEDESTAL_MOTOR.SLDPRT</x:v>
      </x:c>
      <x:c r="K206" s="33" t="str">
        <x:v>CAD_volume_x_specified_density</x:v>
      </x:c>
    </x:row>
    <x:row r="207" ht="32" customHeight="1">
      <x:c r="A207" s="33" t="n">
        <x:v>199</x:v>
      </x:c>
      <x:c r="B207" s="33" t="str">
        <x:v>TT10_D_PINZA_N</x:v>
      </x:c>
      <x:c r="C207" s="33" t="n">
        <x:v>1</x:v>
      </x:c>
      <x:c r="D207" s="34" t="str">
        <x:v>Pinza de freno por resorte, liberación eléctrica N; envolvente nominal</x:v>
      </x:c>
      <x:c r="E207" s="34" t="str">
        <x:v>Equipo comprado</x:v>
      </x:c>
      <x:c r="F207" s="35"/>
      <x:c r="G207" s="35" t="str">
        <x:f>IF(F207="","",C207*F207)</x:f>
      </x:c>
      <x:c r="H207" s="33" t="str">
        <x:v>Compra</x:v>
      </x:c>
      <x:c r="I207" s="36" t="n">
        <x:v>0.008551400000000016</x:v>
      </x:c>
      <x:c r="J207" s="33" t="str">
        <x:v>C05E_TT10_D_PINZA_N.SLDPRT</x:v>
      </x:c>
      <x:c r="K207" s="33" t="str">
        <x:v>OEM_mass_required</x:v>
      </x:c>
    </x:row>
    <x:row r="208" ht="32" customHeight="1">
      <x:c r="A208" s="33" t="n">
        <x:v>200</x:v>
      </x:c>
      <x:c r="B208" s="33" t="str">
        <x:v>TT10_D_PINZA_P</x:v>
      </x:c>
      <x:c r="C208" s="33" t="n">
        <x:v>1</x:v>
      </x:c>
      <x:c r="D208" s="34" t="str">
        <x:v>Pinza de freno por resorte, liberación eléctrica P; envolvente nominal</x:v>
      </x:c>
      <x:c r="E208" s="34" t="str">
        <x:v>Equipo comprado</x:v>
      </x:c>
      <x:c r="F208" s="35"/>
      <x:c r="G208" s="35" t="str">
        <x:f>IF(F208="","",C208*F208)</x:f>
      </x:c>
      <x:c r="H208" s="33" t="str">
        <x:v>Compra</x:v>
      </x:c>
      <x:c r="I208" s="36" t="n">
        <x:v>0.008551400000000016</x:v>
      </x:c>
      <x:c r="J208" s="33" t="str">
        <x:v>C05E_TT10_D_PINZA_P.SLDPRT</x:v>
      </x:c>
      <x:c r="K208" s="33" t="str">
        <x:v>OEM_mass_required</x:v>
      </x:c>
    </x:row>
    <x:row r="209" ht="32" customHeight="1">
      <x:c r="A209" s="33" t="n">
        <x:v>201</x:v>
      </x:c>
      <x:c r="B209" s="33" t="str">
        <x:v>TT10_D_PLATAFORMA</x:v>
      </x:c>
      <x:c r="C209" s="33" t="n">
        <x:v>1</x:v>
      </x:c>
      <x:c r="D209" s="34" t="str">
        <x:v>Plataforma t40 con paso abierto de cadena ancho100, extremo R50; geometría nativa vigente</x:v>
      </x:c>
      <x:c r="E209" s="34" t="str">
        <x:v>ASTM A36</x:v>
      </x:c>
      <x:c r="F209" s="35" t="n">
        <x:v>406.2041410996003</x:v>
      </x:c>
      <x:c r="G209" s="35" t="n">
        <x:f>IF(F209="","",C209*F209)</x:f>
        <x:v>406.2041410996003</x:v>
      </x:c>
      <x:c r="H209" s="33" t="str">
        <x:v>Fabricación</x:v>
      </x:c>
      <x:c r="I209" s="36" t="n">
        <x:v>0.05174575045854781</x:v>
      </x:c>
      <x:c r="J209" s="33" t="str">
        <x:v>C05E_TT10_D_PLATAFORMA.SLDPRT</x:v>
      </x:c>
      <x:c r="K209" s="33" t="str">
        <x:v>BRep nativo SolidWorks; densidad7850 kg/m³; 25/10/2026</x:v>
      </x:c>
    </x:row>
    <x:row r="210" ht="32" customHeight="1">
      <x:c r="A210" s="33" t="n">
        <x:v>202</x:v>
      </x:c>
      <x:c r="B210" s="33" t="str">
        <x:v>TT10_D_POSTE_ARMARIO</x:v>
      </x:c>
      <x:c r="C210" s="33" t="n">
        <x:v>1</x:v>
      </x:c>
      <x:c r="D210" s="34" t="str">
        <x:v>Soporte de armario</x:v>
      </x:c>
      <x:c r="E210" s="34" t="str">
        <x:v>ASTM A36</x:v>
      </x:c>
      <x:c r="F210" s="35" t="n">
        <x:v>4.943537499999966</x:v>
      </x:c>
      <x:c r="G210" s="35" t="n">
        <x:f>IF(F210="","",C210*F210)</x:f>
        <x:v>4.943537499999966</x:v>
      </x:c>
      <x:c r="H210" s="33" t="str">
        <x:v>Fabricación</x:v>
      </x:c>
      <x:c r="I210" s="36" t="n">
        <x:v>0.0006297499999999957</x:v>
      </x:c>
      <x:c r="J210" s="33" t="str">
        <x:v>C05E_TT10_D_POSTE_ARMARIO.SLDPRT</x:v>
      </x:c>
      <x:c r="K210" s="33" t="str">
        <x:v>CAD_volume_x_specified_density</x:v>
      </x:c>
    </x:row>
    <x:row r="211" ht="32" customHeight="1">
      <x:c r="A211" s="33" t="n">
        <x:v>203</x:v>
      </x:c>
      <x:c r="B211" s="33" t="str">
        <x:v>TT10_D_POSTE_BOTONERA</x:v>
      </x:c>
      <x:c r="C211" s="33" t="n">
        <x:v>1</x:v>
      </x:c>
      <x:c r="D211" s="34" t="str">
        <x:v>Poste de botonera fuera del plano de giro</x:v>
      </x:c>
      <x:c r="E211" s="34" t="str">
        <x:v>ASTM A36</x:v>
      </x:c>
      <x:c r="F211" s="35" t="n">
        <x:v>8.035888000000442</x:v>
      </x:c>
      <x:c r="G211" s="35" t="n">
        <x:f>IF(F211="","",C211*F211)</x:f>
        <x:v>8.035888000000442</x:v>
      </x:c>
      <x:c r="H211" s="33" t="str">
        <x:v>Fabricación</x:v>
      </x:c>
      <x:c r="I211" s="36" t="n">
        <x:v>0.0010236800000000563</x:v>
      </x:c>
      <x:c r="J211" s="33" t="str">
        <x:v>C05E_TT10_D_POSTE_BOTONERA.SLDPRT</x:v>
      </x:c>
      <x:c r="K211" s="33" t="str">
        <x:v>CAD_volume_x_specified_density</x:v>
      </x:c>
    </x:row>
    <x:row r="212" ht="32" customHeight="1">
      <x:c r="A212" s="33" t="n">
        <x:v>204</x:v>
      </x:c>
      <x:c r="B212" s="33" t="str">
        <x:v>TT10_D_POSTE_FRENO_N</x:v>
      </x:c>
      <x:c r="C212" s="33" t="n">
        <x:v>1</x:v>
      </x:c>
      <x:c r="D212" s="34" t="str">
        <x:v>Pedestal del freno N</x:v>
      </x:c>
      <x:c r="E212" s="34" t="str">
        <x:v>ASTM A36</x:v>
      </x:c>
      <x:c r="F212" s="35" t="n">
        <x:v>64.83974400000011</x:v>
      </x:c>
      <x:c r="G212" s="35" t="n">
        <x:f>IF(F212="","",C212*F212)</x:f>
        <x:v>64.83974400000011</x:v>
      </x:c>
      <x:c r="H212" s="33" t="str">
        <x:v>Fabricación</x:v>
      </x:c>
      <x:c r="I212" s="36" t="n">
        <x:v>0.008259840000000015</x:v>
      </x:c>
      <x:c r="J212" s="33" t="str">
        <x:v>C05E_TT10_D_POSTE_FRENO_N.SLDPRT</x:v>
      </x:c>
      <x:c r="K212" s="33" t="str">
        <x:v>CAD_volume_x_specified_density</x:v>
      </x:c>
    </x:row>
    <x:row r="213" ht="32" customHeight="1">
      <x:c r="A213" s="33" t="n">
        <x:v>205</x:v>
      </x:c>
      <x:c r="B213" s="33" t="str">
        <x:v>TT10_D_POSTE_FRENO_P</x:v>
      </x:c>
      <x:c r="C213" s="33" t="n">
        <x:v>1</x:v>
      </x:c>
      <x:c r="D213" s="34" t="str">
        <x:v>Pedestal del freno P</x:v>
      </x:c>
      <x:c r="E213" s="34" t="str">
        <x:v>ASTM A36</x:v>
      </x:c>
      <x:c r="F213" s="35" t="n">
        <x:v>64.83974400000011</x:v>
      </x:c>
      <x:c r="G213" s="35" t="n">
        <x:f>IF(F213="","",C213*F213)</x:f>
        <x:v>64.83974400000011</x:v>
      </x:c>
      <x:c r="H213" s="33" t="str">
        <x:v>Fabricación</x:v>
      </x:c>
      <x:c r="I213" s="36" t="n">
        <x:v>0.008259840000000015</x:v>
      </x:c>
      <x:c r="J213" s="33" t="str">
        <x:v>C05E_TT10_D_POSTE_FRENO_P.SLDPRT</x:v>
      </x:c>
      <x:c r="K213" s="33" t="str">
        <x:v>CAD_volume_x_specified_density</x:v>
      </x:c>
    </x:row>
    <x:row r="214" ht="32" customHeight="1">
      <x:c r="A214" s="33" t="n">
        <x:v>206</x:v>
      </x:c>
      <x:c r="B214" s="33" t="str">
        <x:v>TT10_D_POSTE_MANDO</x:v>
      </x:c>
      <x:c r="C214" s="33" t="n">
        <x:v>1</x:v>
      </x:c>
      <x:c r="D214" s="34" t="str">
        <x:v>Soporte del mando manual fuera del plano del volante</x:v>
      </x:c>
      <x:c r="E214" s="34" t="str">
        <x:v>ASTM A36</x:v>
      </x:c>
      <x:c r="F214" s="35" t="n">
        <x:v>5.256360000000011</x:v>
      </x:c>
      <x:c r="G214" s="35" t="n">
        <x:f>IF(F214="","",C214*F214)</x:f>
        <x:v>5.256360000000011</x:v>
      </x:c>
      <x:c r="H214" s="33" t="str">
        <x:v>Fabricación</x:v>
      </x:c>
      <x:c r="I214" s="36" t="n">
        <x:v>0.0006696000000000013</x:v>
      </x:c>
      <x:c r="J214" s="33" t="str">
        <x:v>C05E_TT10_D_POSTE_MANDO.SLDPRT</x:v>
      </x:c>
      <x:c r="K214" s="33" t="str">
        <x:v>CAD_volume_x_specified_density</x:v>
      </x:c>
    </x:row>
    <x:row r="215" ht="32" customHeight="1">
      <x:c r="A215" s="33" t="n">
        <x:v>207</x:v>
      </x:c>
      <x:c r="B215" s="33" t="str">
        <x:v>TT10_D_POSTE_RECUP_N</x:v>
      </x:c>
      <x:c r="C215" s="33" t="n">
        <x:v>1</x:v>
      </x:c>
      <x:c r="D215" s="34" t="str">
        <x:v>Soporte de manivela y desbloqueo manual N</x:v>
      </x:c>
      <x:c r="E215" s="34" t="str">
        <x:v>ASTM A36</x:v>
      </x:c>
      <x:c r="F215" s="35" t="n">
        <x:v>5.986409999999993</x:v>
      </x:c>
      <x:c r="G215" s="35" t="n">
        <x:f>IF(F215="","",C215*F215)</x:f>
        <x:v>5.986409999999993</x:v>
      </x:c>
      <x:c r="H215" s="33" t="str">
        <x:v>Fabricación</x:v>
      </x:c>
      <x:c r="I215" s="36" t="n">
        <x:v>0.0007625999999999991</x:v>
      </x:c>
      <x:c r="J215" s="33" t="str">
        <x:v>C05E_TT10_D_POSTE_RECUP_N.SLDPRT</x:v>
      </x:c>
      <x:c r="K215" s="33" t="str">
        <x:v>CAD_volume_x_specified_density</x:v>
      </x:c>
    </x:row>
    <x:row r="216" ht="32" customHeight="1">
      <x:c r="A216" s="33" t="n">
        <x:v>208</x:v>
      </x:c>
      <x:c r="B216" s="33" t="str">
        <x:v>TT10_D_POSTE_RECUP_P</x:v>
      </x:c>
      <x:c r="C216" s="33" t="n">
        <x:v>1</x:v>
      </x:c>
      <x:c r="D216" s="34" t="str">
        <x:v>Soporte de manivela y desbloqueo manual P</x:v>
      </x:c>
      <x:c r="E216" s="34" t="str">
        <x:v>ASTM A36</x:v>
      </x:c>
      <x:c r="F216" s="35" t="n">
        <x:v>5.986409999999993</x:v>
      </x:c>
      <x:c r="G216" s="35" t="n">
        <x:f>IF(F216="","",C216*F216)</x:f>
        <x:v>5.986409999999993</x:v>
      </x:c>
      <x:c r="H216" s="33" t="str">
        <x:v>Fabricación</x:v>
      </x:c>
      <x:c r="I216" s="36" t="n">
        <x:v>0.0007625999999999991</x:v>
      </x:c>
      <x:c r="J216" s="33" t="str">
        <x:v>C05E_TT10_D_POSTE_RECUP_P.SLDPRT</x:v>
      </x:c>
      <x:c r="K216" s="33" t="str">
        <x:v>CAD_volume_x_specified_density</x:v>
      </x:c>
    </x:row>
    <x:row r="217" ht="32" customHeight="1">
      <x:c r="A217" s="33" t="n">
        <x:v>209</x:v>
      </x:c>
      <x:c r="B217" s="33" t="str">
        <x:v>TT10_D_REDUCTOR</x:v>
      </x:c>
      <x:c r="C217" s="33" t="n">
        <x:v>1</x:v>
      </x:c>
      <x:c r="D217" s="34" t="str">
        <x:v>Reductor principal angular: carcasa y conexiones nominales</x:v>
      </x:c>
      <x:c r="E217" s="34" t="str">
        <x:v>Equipo comprado; materiales y masa según ficha OEM</x:v>
      </x:c>
      <x:c r="F217" s="35"/>
      <x:c r="G217" s="35" t="str">
        <x:f>IF(F217="","",C217*F217)</x:f>
      </x:c>
      <x:c r="H217" s="33" t="str">
        <x:v>Compra</x:v>
      </x:c>
      <x:c r="I217" s="36" t="n">
        <x:v>0.224108750088063</x:v>
      </x:c>
      <x:c r="J217" s="33" t="str">
        <x:v>C05E_TT10_D_REDUCTOR.SLDPRT</x:v>
      </x:c>
      <x:c r="K217" s="33" t="str">
        <x:v>OEM_mass_required</x:v>
      </x:c>
    </x:row>
    <x:row r="218" ht="32" customHeight="1">
      <x:c r="A218" s="33" t="n">
        <x:v>210</x:v>
      </x:c>
      <x:c r="B218" s="33" t="str">
        <x:v>TT10_D_RESORTE_FRENO_N</x:v>
      </x:c>
      <x:c r="C218" s="33" t="n">
        <x:v>1</x:v>
      </x:c>
      <x:c r="D218" s="34" t="str">
        <x:v>Paquete de resortes de aplicación del freno N</x:v>
      </x:c>
      <x:c r="E218" s="34" t="str">
        <x:v>Acero de resorte OEM Svendborg; según suministro</x:v>
      </x:c>
      <x:c r="F218" s="35"/>
      <x:c r="G218" s="35" t="str">
        <x:f>IF(F218="","",C218*F218)</x:f>
      </x:c>
      <x:c r="H218" s="33" t="str">
        <x:v>Compra</x:v>
      </x:c>
      <x:c r="I218" s="36" t="n">
        <x:v>0.0014600551857558547</x:v>
      </x:c>
      <x:c r="J218" s="33" t="str">
        <x:v>C05E_TT10_D_RESORTE_FRENO_N.SLDPRT</x:v>
      </x:c>
      <x:c r="K218" s="33" t="str">
        <x:v>OEM_mass_required</x:v>
      </x:c>
    </x:row>
    <x:row r="219" ht="32" customHeight="1">
      <x:c r="A219" s="33" t="n">
        <x:v>211</x:v>
      </x:c>
      <x:c r="B219" s="33" t="str">
        <x:v>TT10_D_RESORTE_FRENO_P</x:v>
      </x:c>
      <x:c r="C219" s="33" t="n">
        <x:v>1</x:v>
      </x:c>
      <x:c r="D219" s="34" t="str">
        <x:v>Paquete de resortes de aplicación del freno P</x:v>
      </x:c>
      <x:c r="E219" s="34" t="str">
        <x:v>Acero de resorte OEM Svendborg; según suministro</x:v>
      </x:c>
      <x:c r="F219" s="35"/>
      <x:c r="G219" s="35" t="str">
        <x:f>IF(F219="","",C219*F219)</x:f>
      </x:c>
      <x:c r="H219" s="33" t="str">
        <x:v>Compra</x:v>
      </x:c>
      <x:c r="I219" s="36" t="n">
        <x:v>0.0014600551857558547</x:v>
      </x:c>
      <x:c r="J219" s="33" t="str">
        <x:v>C05E_TT10_D_RESORTE_FRENO_P.SLDPRT</x:v>
      </x:c>
      <x:c r="K219" s="33" t="str">
        <x:v>OEM_mass_required</x:v>
      </x:c>
    </x:row>
    <x:row r="220" ht="32" customHeight="1">
      <x:c r="A220" s="33" t="n">
        <x:v>212</x:v>
      </x:c>
      <x:c r="B220" s="33" t="str">
        <x:v>TT10_D_ROD_SELECTOR</x:v>
      </x:c>
      <x:c r="C220" s="33" t="n">
        <x:v>1</x:v>
      </x:c>
      <x:c r="D220" s="34" t="str">
        <x:v>Eje de conexión geométrica ROD_SELECTOR</x:v>
      </x:c>
      <x:c r="E220" s="34" t="str">
        <x:v>ASTM A36</x:v>
      </x:c>
      <x:c r="F220" s="35" t="n">
        <x:v>2.004486909437664</x:v>
      </x:c>
      <x:c r="G220" s="35" t="n">
        <x:f>IF(F220="","",C220*F220)</x:f>
        <x:v>2.004486909437664</x:v>
      </x:c>
      <x:c r="H220" s="33" t="str">
        <x:v>Fabricación</x:v>
      </x:c>
      <x:c r="I220" s="36" t="n">
        <x:v>0.0002553486508837788</x:v>
      </x:c>
      <x:c r="J220" s="33" t="str">
        <x:v>C05E_TT10_D_ROD_SELECTOR.SLDPRT</x:v>
      </x:c>
      <x:c r="K220" s="33" t="str">
        <x:v>CAD_volume_x_specified_density</x:v>
      </x:c>
    </x:row>
    <x:row r="221" ht="32" customHeight="1">
      <x:c r="A221" s="33" t="n">
        <x:v>213</x:v>
      </x:c>
      <x:c r="B221" s="33" t="str">
        <x:v>TT10_D_SALIDA_REDUCTOR</x:v>
      </x:c>
      <x:c r="C221" s="33" t="n">
        <x:v>1</x:v>
      </x:c>
      <x:c r="D221" s="34" t="str">
        <x:v>Eje de conexión geométrica SALIDA_REDUCTOR</x:v>
      </x:c>
      <x:c r="E221" s="34" t="str">
        <x:v>Equipo comprado; materiales y masa según ficha OEM</x:v>
      </x:c>
      <x:c r="F221" s="35"/>
      <x:c r="G221" s="35" t="str">
        <x:f>IF(F221="","",C221*F221)</x:f>
      </x:c>
      <x:c r="H221" s="33" t="str">
        <x:v>Compra</x:v>
      </x:c>
      <x:c r="I221" s="36" t="n">
        <x:v>0.0031415926535897976</x:v>
      </x:c>
      <x:c r="J221" s="33" t="str">
        <x:v>C05E_TT10_D_SALIDA_REDUCTOR.SLDPRT</x:v>
      </x:c>
      <x:c r="K221" s="33" t="str">
        <x:v>OEM_mass_required</x:v>
      </x:c>
    </x:row>
    <x:row r="222" ht="32" customHeight="1">
      <x:c r="A222" s="33" t="n">
        <x:v>214</x:v>
      </x:c>
      <x:c r="B222" s="33" t="str">
        <x:v>TT10_D_SENSOR_FRENO_N</x:v>
      </x:c>
      <x:c r="C222" s="33" t="n">
        <x:v>1</x:v>
      </x:c>
      <x:c r="D222" s="34" t="str">
        <x:v>Eje de conexión geométrica SENSOR_FRENO_N</x:v>
      </x:c>
      <x:c r="E222" s="34" t="str">
        <x:v>Sensor comercial; materiales según referencia OEM</x:v>
      </x:c>
      <x:c r="F222" s="35"/>
      <x:c r="G222" s="35" t="str">
        <x:f>IF(F222="","",C222*F222)</x:f>
      </x:c>
      <x:c r="H222" s="33" t="str">
        <x:v>Compra</x:v>
      </x:c>
      <x:c r="I222" s="36" t="n">
        <x:v>0.000004523893421169107</x:v>
      </x:c>
      <x:c r="J222" s="33" t="str">
        <x:v>C05E_TT10_D_SENSOR_FRENO_N.SLDPRT</x:v>
      </x:c>
      <x:c r="K222" s="33" t="str">
        <x:v>OEM_mass_required</x:v>
      </x:c>
    </x:row>
    <x:row r="223" ht="32" customHeight="1">
      <x:c r="A223" s="33" t="n">
        <x:v>215</x:v>
      </x:c>
      <x:c r="B223" s="33" t="str">
        <x:v>TT10_D_SENSOR_FRENO_P</x:v>
      </x:c>
      <x:c r="C223" s="33" t="n">
        <x:v>1</x:v>
      </x:c>
      <x:c r="D223" s="34" t="str">
        <x:v>Eje de conexión geométrica SENSOR_FRENO_P</x:v>
      </x:c>
      <x:c r="E223" s="34" t="str">
        <x:v>Sensor comercial; materiales según referencia OEM</x:v>
      </x:c>
      <x:c r="F223" s="35"/>
      <x:c r="G223" s="35" t="str">
        <x:f>IF(F223="","",C223*F223)</x:f>
      </x:c>
      <x:c r="H223" s="33" t="str">
        <x:v>Compra</x:v>
      </x:c>
      <x:c r="I223" s="36" t="n">
        <x:v>0.000004523893421169107</x:v>
      </x:c>
      <x:c r="J223" s="33" t="str">
        <x:v>C05E_TT10_D_SENSOR_FRENO_P.SLDPRT</x:v>
      </x:c>
      <x:c r="K223" s="33" t="str">
        <x:v>OEM_mass_required</x:v>
      </x:c>
    </x:row>
    <x:row r="224" ht="32" customHeight="1">
      <x:c r="A224" s="33" t="n">
        <x:v>216</x:v>
      </x:c>
      <x:c r="B224" s="33" t="str">
        <x:v>TT10_D_SOPORTE_FRENO_N</x:v>
      </x:c>
      <x:c r="C224" s="33" t="n">
        <x:v>1</x:v>
      </x:c>
      <x:c r="D224" s="34" t="str">
        <x:v>Placa de montaje de pinza N</x:v>
      </x:c>
      <x:c r="E224" s="34" t="str">
        <x:v>ASTM A36</x:v>
      </x:c>
      <x:c r="F224" s="35" t="n">
        <x:v>24.837541545795883</x:v>
      </x:c>
      <x:c r="G224" s="35" t="n">
        <x:f>IF(F224="","",C224*F224)</x:f>
        <x:v>24.837541545795883</x:v>
      </x:c>
      <x:c r="H224" s="33" t="str">
        <x:v>Fabricación</x:v>
      </x:c>
      <x:c r="I224" s="36" t="n">
        <x:v>0.0031640180313115777</x:v>
      </x:c>
      <x:c r="J224" s="33" t="str">
        <x:v>C05E_TT10_D_SOPORTE_FRENO_N.SLDPRT</x:v>
      </x:c>
      <x:c r="K224" s="33" t="str">
        <x:v>CAD_volume_x_specified_density</x:v>
      </x:c>
    </x:row>
    <x:row r="225" ht="32" customHeight="1">
      <x:c r="A225" s="33" t="n">
        <x:v>217</x:v>
      </x:c>
      <x:c r="B225" s="33" t="str">
        <x:v>TT10_D_SOPORTE_FRENO_P</x:v>
      </x:c>
      <x:c r="C225" s="33" t="n">
        <x:v>1</x:v>
      </x:c>
      <x:c r="D225" s="34" t="str">
        <x:v>Placa de montaje de pinza P</x:v>
      </x:c>
      <x:c r="E225" s="34" t="str">
        <x:v>ASTM A36</x:v>
      </x:c>
      <x:c r="F225" s="35" t="n">
        <x:v>24.837541545795883</x:v>
      </x:c>
      <x:c r="G225" s="35" t="n">
        <x:f>IF(F225="","",C225*F225)</x:f>
        <x:v>24.837541545795883</x:v>
      </x:c>
      <x:c r="H225" s="33" t="str">
        <x:v>Fabricación</x:v>
      </x:c>
      <x:c r="I225" s="36" t="n">
        <x:v>0.0031640180313115772</x:v>
      </x:c>
      <x:c r="J225" s="33" t="str">
        <x:v>C05E_TT10_D_SOPORTE_FRENO_P.SLDPRT</x:v>
      </x:c>
      <x:c r="K225" s="33" t="str">
        <x:v>CAD_volume_x_specified_density</x:v>
      </x:c>
    </x:row>
    <x:row r="226" ht="32" customHeight="1">
      <x:c r="A226" s="33" t="n">
        <x:v>218</x:v>
      </x:c>
      <x:c r="B226" s="33" t="str">
        <x:v>TT10_F416</x:v>
      </x:c>
      <x:c r="C226" s="33" t="n">
        <x:v>1</x:v>
      </x:c>
      <x:c r="D226" s="34" t="str">
        <x:v>Placa base 600 x 500 x 50; 8 agujeros Ø40, centros X ±220, Y ±150 y ±50</x:v>
      </x:c>
      <x:c r="E226" s="34" t="str">
        <x:v>Strenx700E t50; Rp0.2min700MPa</x:v>
      </x:c>
      <x:c r="F226" s="35" t="n">
        <x:v>113.80415962709115</x:v>
      </x:c>
      <x:c r="G226" s="35" t="n">
        <x:f>IF(F226="","",C226*F226)</x:f>
        <x:v>113.80415962709115</x:v>
      </x:c>
      <x:c r="H226" s="33" t="str">
        <x:v>Fabricación</x:v>
      </x:c>
      <x:c r="I226" s="36" t="n">
        <x:v>0.014497345175425624</x:v>
      </x:c>
      <x:c r="J226" s="33" t="str">
        <x:v>C05E_TT10_F416.SLDPRT</x:v>
      </x:c>
      <x:c r="K226" s="33" t="str">
        <x:v>BRep nativo SolidWorks; densidad7850 kg/m³; 25/10/2026</x:v>
      </x:c>
    </x:row>
    <x:row r="227" ht="32" customHeight="1">
      <x:c r="A227" s="33" t="n">
        <x:v>219</x:v>
      </x:c>
      <x:c r="B227" s="33" t="str">
        <x:v>TT10_F426</x:v>
      </x:c>
      <x:c r="C227" s="33" t="n">
        <x:v>1</x:v>
      </x:c>
      <x:c r="D227" s="34" t="str">
        <x:v>Tope inclinado: cara inferior mecanizada para asiento horizontal</x:v>
      </x:c>
      <x:c r="E227" s="34" t="str">
        <x:v>ASTM A36</x:v>
      </x:c>
      <x:c r="F227" s="35" t="n">
        <x:v>3.4901694876955545</x:v>
      </x:c>
      <x:c r="G227" s="35" t="n">
        <x:f>IF(F227="","",C227*F227)</x:f>
        <x:v>3.4901694876955545</x:v>
      </x:c>
      <x:c r="H227" s="33" t="str">
        <x:v>Fabricación</x:v>
      </x:c>
      <x:c r="I227" s="36" t="n">
        <x:v>0.0004446075780503891</x:v>
      </x:c>
      <x:c r="J227" s="33" t="str">
        <x:v>C05E_TT10_F426.SLDPRT</x:v>
      </x:c>
      <x:c r="K227" s="33" t="str">
        <x:v>CAD_volume_x_specified_density</x:v>
      </x:c>
    </x:row>
    <x:row r="228" ht="32" customHeight="1">
      <x:c r="A228" s="33" t="n">
        <x:v>220</x:v>
      </x:c>
      <x:c r="B228" s="33" t="str">
        <x:v>TT10_F431</x:v>
      </x:c>
      <x:c r="C228" s="33" t="n">
        <x:v>1</x:v>
      </x:c>
      <x:c r="D228" s="34" t="str">
        <x:v>Pieza TT10_F431</x:v>
      </x:c>
      <x:c r="E228" s="34" t="str">
        <x:v>ASTM A36</x:v>
      </x:c>
      <x:c r="F228" s="35" t="n">
        <x:v>84.77999999999999</x:v>
      </x:c>
      <x:c r="G228" s="35" t="n">
        <x:f>IF(F228="","",C228*F228)</x:f>
        <x:v>84.77999999999999</x:v>
      </x:c>
      <x:c r="H228" s="33" t="str">
        <x:v>Fabricación</x:v>
      </x:c>
      <x:c r="I228" s="36" t="n">
        <x:v>0.010799999999999999</x:v>
      </x:c>
      <x:c r="J228" s="33" t="str">
        <x:v>C05E_TT10_F431.SLDPRT</x:v>
      </x:c>
      <x:c r="K228" s="33" t="str">
        <x:v>CAD_volume_x_specified_density</x:v>
      </x:c>
    </x:row>
    <x:row r="229" ht="32" customHeight="1">
      <x:c r="A229" s="33" t="n">
        <x:v>221</x:v>
      </x:c>
      <x:c r="B229" s="33" t="str">
        <x:v>TT10_F441</x:v>
      </x:c>
      <x:c r="C229" s="33" t="n">
        <x:v>1</x:v>
      </x:c>
      <x:c r="D229" s="34" t="str">
        <x:v>Placa80 con cuatro roscas M30 ciegas60, paso540x140; pernos desde arriba</x:v>
      </x:c>
      <x:c r="E229" s="34" t="str">
        <x:v>ASTM A36</x:v>
      </x:c>
      <x:c r="F229" s="35" t="n">
        <x:v>229.77227887414347</x:v>
      </x:c>
      <x:c r="G229" s="35" t="n">
        <x:f>IF(F229="","",C229*F229)</x:f>
        <x:v>229.77227887414347</x:v>
      </x:c>
      <x:c r="H229" s="33" t="str">
        <x:v>Fabricación</x:v>
      </x:c>
      <x:c r="I229" s="36" t="n">
        <x:v>0.029270353996706175</x:v>
      </x:c>
      <x:c r="J229" s="33" t="str">
        <x:v>C05E_TT10_F441.SLDPRT</x:v>
      </x:c>
      <x:c r="K229" s="33" t="str">
        <x:v>CAD_volume_x_specified_density</x:v>
      </x:c>
    </x:row>
    <x:row r="230" ht="32" customHeight="1">
      <x:c r="A230" s="33" t="n">
        <x:v>222</x:v>
      </x:c>
      <x:c r="B230" s="33" t="str">
        <x:v>TT10_F446</x:v>
      </x:c>
      <x:c r="C230" s="33" t="n">
        <x:v>1</x:v>
      </x:c>
      <x:c r="D230" s="34" t="str">
        <x:v>Placa80 con cuatro roscas M30 ciegas60, paso540x140; pernos desde arriba</x:v>
      </x:c>
      <x:c r="E230" s="34" t="str">
        <x:v>ASTM A36</x:v>
      </x:c>
      <x:c r="F230" s="35" t="n">
        <x:v>229.77227887414375</x:v>
      </x:c>
      <x:c r="G230" s="35" t="n">
        <x:f>IF(F230="","",C230*F230)</x:f>
        <x:v>229.77227887414375</x:v>
      </x:c>
      <x:c r="H230" s="33" t="str">
        <x:v>Fabricación</x:v>
      </x:c>
      <x:c r="I230" s="36" t="n">
        <x:v>0.02927035399670621</x:v>
      </x:c>
      <x:c r="J230" s="33" t="str">
        <x:v>C05E_TT10_F446.SLDPRT</x:v>
      </x:c>
      <x:c r="K230" s="33" t="str">
        <x:v>CAD_volume_x_specified_density</x:v>
      </x:c>
    </x:row>
    <x:row r="231" ht="32" customHeight="1">
      <x:c r="A231" s="33" t="n">
        <x:v>224</x:v>
      </x:c>
      <x:c r="B231" s="33" t="str">
        <x:v>TT10_F456</x:v>
      </x:c>
      <x:c r="C231" s="33" t="n">
        <x:v>1</x:v>
      </x:c>
      <x:c r="D231" s="34" t="str">
        <x:v>SKF SNL3048: dimensiones de interfaz según catálogo; fundición simplificada</x:v>
      </x:c>
      <x:c r="E231" s="34" t="str">
        <x:v>Conjunto comprado; acero/ fundición según OEM</x:v>
      </x:c>
      <x:c r="F231" s="35" t="n">
        <x:v>139</x:v>
      </x:c>
      <x:c r="G231" s="35" t="n">
        <x:f>IF(F231="","",C231*F231)</x:f>
        <x:v>139</x:v>
      </x:c>
      <x:c r="H231" s="33" t="str">
        <x:v>Compra</x:v>
      </x:c>
      <x:c r="I231" s="36" t="n">
        <x:v>0.030359008208636417</x:v>
      </x:c>
      <x:c r="J231" s="33" t="str">
        <x:v>C05E_TT10_F456.SLDPRT</x:v>
      </x:c>
      <x:c r="K231" s="33" t="str">
        <x:v>Catálogo/fuente conservada</x:v>
      </x:c>
    </x:row>
    <x:row r="232" ht="32" customHeight="1">
      <x:c r="A232" s="33" t="n">
        <x:v>225</x:v>
      </x:c>
      <x:c r="B232" s="33" t="str">
        <x:v>TT10_F471</x:v>
      </x:c>
      <x:c r="C232" s="33" t="n">
        <x:v>1</x:v>
      </x:c>
      <x:c r="D232" s="34" t="str">
        <x:v>Perfil tubular 350 x 200 x 12; L 6300</x:v>
      </x:c>
      <x:c r="E232" s="34" t="str">
        <x:v>S275J0H / EN 10219-1</x:v>
      </x:c>
      <x:c r="F232" s="35" t="n">
        <x:v>624.3199199999998</x:v>
      </x:c>
      <x:c r="G232" s="35" t="n">
        <x:f>IF(F232="","",C232*F232)</x:f>
        <x:v>624.3199199999998</x:v>
      </x:c>
      <x:c r="H232" s="33" t="str">
        <x:v>Fabricación</x:v>
      </x:c>
      <x:c r="I232" s="36" t="n">
        <x:v>0.07953119999999997</x:v>
      </x:c>
      <x:c r="J232" s="33" t="str">
        <x:v>C05E_TT10_F471.SLDPRT</x:v>
      </x:c>
      <x:c r="K232" s="33" t="str">
        <x:v>CAD_volume_x_specified_density</x:v>
      </x:c>
    </x:row>
    <x:row r="233" ht="32" customHeight="1">
      <x:c r="A233" s="33" t="n">
        <x:v>226</x:v>
      </x:c>
      <x:c r="B233" s="33" t="str">
        <x:v>TT10_F476</x:v>
      </x:c>
      <x:c r="C233" s="33" t="n">
        <x:v>1</x:v>
      </x:c>
      <x:c r="D233" s="34" t="str">
        <x:v>Perfil tubular 350 x 200 x 12; L 6300</x:v>
      </x:c>
      <x:c r="E233" s="34" t="str">
        <x:v>S275J0H / EN 10219-1</x:v>
      </x:c>
      <x:c r="F233" s="35" t="n">
        <x:v>624.3199199999993</x:v>
      </x:c>
      <x:c r="G233" s="35" t="n">
        <x:f>IF(F233="","",C233*F233)</x:f>
        <x:v>624.3199199999993</x:v>
      </x:c>
      <x:c r="H233" s="33" t="str">
        <x:v>Fabricación</x:v>
      </x:c>
      <x:c r="I233" s="36" t="n">
        <x:v>0.07953119999999991</x:v>
      </x:c>
      <x:c r="J233" s="33" t="str">
        <x:v>C05E_TT10_F476.SLDPRT</x:v>
      </x:c>
      <x:c r="K233" s="33" t="str">
        <x:v>CAD_volume_x_specified_density</x:v>
      </x:c>
    </x:row>
    <x:row r="234" ht="32" customHeight="1">
      <x:c r="A234" s="33" t="n">
        <x:v>227</x:v>
      </x:c>
      <x:c r="B234" s="33" t="str">
        <x:v>TT10_F481</x:v>
      </x:c>
      <x:c r="C234" s="33" t="n">
        <x:v>1</x:v>
      </x:c>
      <x:c r="D234" s="34" t="str">
        <x:v>Pieza TT10_F481</x:v>
      </x:c>
      <x:c r="E234" s="34" t="str">
        <x:v>ASTM A36</x:v>
      </x:c>
      <x:c r="F234" s="35" t="n">
        <x:v>19.781999999999996</x:v>
      </x:c>
      <x:c r="G234" s="35" t="n">
        <x:f>IF(F234="","",C234*F234)</x:f>
        <x:v>19.781999999999996</x:v>
      </x:c>
      <x:c r="H234" s="33" t="str">
        <x:v>Fabricación</x:v>
      </x:c>
      <x:c r="I234" s="36" t="n">
        <x:v>0.0025199999999999997</x:v>
      </x:c>
      <x:c r="J234" s="33" t="str">
        <x:v>C05E_TT10_F481.SLDPRT</x:v>
      </x:c>
      <x:c r="K234" s="33" t="str">
        <x:v>CAD_volume_x_specified_density</x:v>
      </x:c>
    </x:row>
    <x:row r="235" ht="32" customHeight="1">
      <x:c r="A235" s="33" t="n">
        <x:v>228</x:v>
      </x:c>
      <x:c r="B235" s="33" t="str">
        <x:v>TT10_F486</x:v>
      </x:c>
      <x:c r="C235" s="33" t="n">
        <x:v>1</x:v>
      </x:c>
      <x:c r="D235" s="34" t="str">
        <x:v>Oreja fija 400 x 250 x 40; agujero Ø65 H8; Strenx 700E</x:v>
      </x:c>
      <x:c r="E235" s="34" t="str">
        <x:v>Strenx700E t40; Rp0.2min700MPa</x:v>
      </x:c>
      <x:c r="F235" s="35" t="n">
        <x:v>30.358051526528772</x:v>
      </x:c>
      <x:c r="G235" s="35" t="n">
        <x:f>IF(F235="","",C235*F235)</x:f>
        <x:v>30.358051526528772</x:v>
      </x:c>
      <x:c r="H235" s="33" t="str">
        <x:v>Fabricación</x:v>
      </x:c>
      <x:c r="I235" s="36" t="n">
        <x:v>0.0038672677103858306</x:v>
      </x:c>
      <x:c r="J235" s="33" t="str">
        <x:v>C05E_TT10_F486.SLDPRT</x:v>
      </x:c>
      <x:c r="K235" s="33" t="str">
        <x:v>BRep nativo SolidWorks; densidad7850 kg/m³; 25/10/2026</x:v>
      </x:c>
    </x:row>
    <x:row r="236" ht="32" customHeight="1">
      <x:c r="A236" s="33" t="n">
        <x:v>230</x:v>
      </x:c>
      <x:c r="B236" s="33" t="str">
        <x:v>TT10_F501</x:v>
      </x:c>
      <x:c r="C236" s="33" t="n">
        <x:v>1</x:v>
      </x:c>
      <x:c r="D236" s="34" t="str">
        <x:v>Oreja fija 400 x 250 x 40; agujero Ø65 H8; Strenx 700E</x:v>
      </x:c>
      <x:c r="E236" s="34" t="str">
        <x:v>Strenx700E t40; Rp0.2min700MPa</x:v>
      </x:c>
      <x:c r="F236" s="35" t="n">
        <x:v>30.358051526528772</x:v>
      </x:c>
      <x:c r="G236" s="35" t="n">
        <x:f>IF(F236="","",C236*F236)</x:f>
        <x:v>30.358051526528772</x:v>
      </x:c>
      <x:c r="H236" s="33" t="str">
        <x:v>Fabricación</x:v>
      </x:c>
      <x:c r="I236" s="36" t="n">
        <x:v>0.0038672677103858306</x:v>
      </x:c>
      <x:c r="J236" s="33" t="str">
        <x:v>C05E_TT10_F501.SLDPRT</x:v>
      </x:c>
      <x:c r="K236" s="33" t="str">
        <x:v>BRep nativo SolidWorks; densidad7850 kg/m³; 25/10/2026</x:v>
      </x:c>
    </x:row>
    <x:row r="237" ht="32" customHeight="1">
      <x:c r="A237" s="33" t="n">
        <x:v>231</x:v>
      </x:c>
      <x:c r="B237" s="33" t="str">
        <x:v>TT10_F506</x:v>
      </x:c>
      <x:c r="C237" s="33" t="n">
        <x:v>1</x:v>
      </x:c>
      <x:c r="D237" s="34" t="str">
        <x:v>Poste independiente cajón 300 x 200 x 2395, t20; 2 diafragmas 260 x 160 x 20</x:v>
      </x:c>
      <x:c r="E237" s="34" t="str">
        <x:v>Strenx700E t20; Rp0.2min700MPa</x:v>
      </x:c>
      <x:c r="F237" s="35" t="n">
        <x:v>358.99619999999993</x:v>
      </x:c>
      <x:c r="G237" s="35" t="n">
        <x:f>IF(F237="","",C237*F237)</x:f>
        <x:v>358.99619999999993</x:v>
      </x:c>
      <x:c r="H237" s="33" t="str">
        <x:v>Fabricación</x:v>
      </x:c>
      <x:c r="I237" s="36" t="n">
        <x:v>0.04573199999999999</x:v>
      </x:c>
      <x:c r="J237" s="33" t="str">
        <x:v>C05E_TT10_F506.SLDPRT</x:v>
      </x:c>
      <x:c r="K237" s="33" t="str">
        <x:v>BRep nativo SolidWorks; densidad7850 kg/m³; 25/10/2026</x:v>
      </x:c>
    </x:row>
    <x:row r="238" ht="32" customHeight="1">
      <x:c r="A238" s="33" t="n">
        <x:v>232</x:v>
      </x:c>
      <x:c r="B238" s="33" t="str">
        <x:v>TT10_F511</x:v>
      </x:c>
      <x:c r="C238" s="33" t="n">
        <x:v>1</x:v>
      </x:c>
      <x:c r="D238" s="34" t="str">
        <x:v>Pieza TT10_F511</x:v>
      </x:c>
      <x:c r="E238" s="34" t="str">
        <x:v>ASTM A36</x:v>
      </x:c>
      <x:c r="F238" s="35" t="n">
        <x:v>69.69116078938316</x:v>
      </x:c>
      <x:c r="G238" s="35" t="n">
        <x:f>IF(F238="","",C238*F238)</x:f>
        <x:v>69.69116078938316</x:v>
      </x:c>
      <x:c r="H238" s="33" t="str">
        <x:v>Fabricación</x:v>
      </x:c>
      <x:c r="I238" s="36" t="n">
        <x:v>0.008877854877628428</x:v>
      </x:c>
      <x:c r="J238" s="33" t="str">
        <x:v>C05E_TT10_F511.SLDPRT</x:v>
      </x:c>
      <x:c r="K238" s="33" t="str">
        <x:v>CAD_volume_x_specified_density</x:v>
      </x:c>
    </x:row>
    <x:row r="239" ht="32" customHeight="1">
      <x:c r="A239" s="33" t="n">
        <x:v>233</x:v>
      </x:c>
      <x:c r="B239" s="33" t="str">
        <x:v>TT10_F516</x:v>
      </x:c>
      <x:c r="C239" s="33" t="n">
        <x:v>1</x:v>
      </x:c>
      <x:c r="D239" s="34" t="str">
        <x:v>Pieza TT10_F516</x:v>
      </x:c>
      <x:c r="E239" s="34" t="str">
        <x:v>ASTM A36</x:v>
      </x:c>
      <x:c r="F239" s="35" t="n">
        <x:v>69.69116078938316</x:v>
      </x:c>
      <x:c r="G239" s="35" t="n">
        <x:f>IF(F239="","",C239*F239)</x:f>
        <x:v>69.69116078938316</x:v>
      </x:c>
      <x:c r="H239" s="33" t="str">
        <x:v>Fabricación</x:v>
      </x:c>
      <x:c r="I239" s="36" t="n">
        <x:v>0.008877854877628428</x:v>
      </x:c>
      <x:c r="J239" s="33" t="str">
        <x:v>C05E_TT10_F516.SLDPRT</x:v>
      </x:c>
      <x:c r="K239" s="33" t="str">
        <x:v>CAD_volume_x_specified_density</x:v>
      </x:c>
    </x:row>
    <x:row r="240" ht="32" customHeight="1">
      <x:c r="A240" s="33" t="n">
        <x:v>234</x:v>
      </x:c>
      <x:c r="B240" s="33" t="str">
        <x:v>TT10_F521</x:v>
      </x:c>
      <x:c r="C240" s="33" t="n">
        <x:v>1</x:v>
      </x:c>
      <x:c r="D240" s="34" t="str">
        <x:v>Columna accionamiento apoyada sobre placa base</x:v>
      </x:c>
      <x:c r="E240" s="34" t="str">
        <x:v>ASTM A36</x:v>
      </x:c>
      <x:c r="F240" s="35" t="n">
        <x:v>201.84422400000196</x:v>
      </x:c>
      <x:c r="G240" s="35" t="n">
        <x:f>IF(F240="","",C240*F240)</x:f>
        <x:v>201.84422400000196</x:v>
      </x:c>
      <x:c r="H240" s="33" t="str">
        <x:v>Fabricación</x:v>
      </x:c>
      <x:c r="I240" s="36" t="n">
        <x:v>0.025712640000000248</x:v>
      </x:c>
      <x:c r="J240" s="33" t="str">
        <x:v>C05E_TT10_F521.SLDPRT</x:v>
      </x:c>
      <x:c r="K240" s="33" t="str">
        <x:v>CAD_volume_x_specified_density</x:v>
      </x:c>
    </x:row>
    <x:row r="241" ht="32" customHeight="1">
      <x:c r="A241" s="33" t="n">
        <x:v>235</x:v>
      </x:c>
      <x:c r="B241" s="33" t="str">
        <x:v>TT10_F526</x:v>
      </x:c>
      <x:c r="C241" s="33" t="n">
        <x:v>1</x:v>
      </x:c>
      <x:c r="D241" s="34" t="str">
        <x:v>Perfil tubular 350 x 300 x 12; L 4800</x:v>
      </x:c>
      <x:c r="E241" s="34" t="str">
        <x:v>S275J0H / EN 10219-1</x:v>
      </x:c>
      <x:c r="F241" s="35" t="n">
        <x:v>566.1043199999999</x:v>
      </x:c>
      <x:c r="G241" s="35" t="n">
        <x:f>IF(F241="","",C241*F241)</x:f>
        <x:v>566.1043199999999</x:v>
      </x:c>
      <x:c r="H241" s="33" t="str">
        <x:v>Fabricación</x:v>
      </x:c>
      <x:c r="I241" s="36" t="n">
        <x:v>0.07211519999999999</x:v>
      </x:c>
      <x:c r="J241" s="33" t="str">
        <x:v>C05E_TT10_F526.SLDPRT</x:v>
      </x:c>
      <x:c r="K241" s="33" t="str">
        <x:v>CAD_volume_x_specified_density</x:v>
      </x:c>
    </x:row>
    <x:row r="242" ht="32" customHeight="1">
      <x:c r="A242" s="33" t="n">
        <x:v>236</x:v>
      </x:c>
      <x:c r="B242" s="33" t="str">
        <x:v>TT10_F531</x:v>
      </x:c>
      <x:c r="C242" s="33" t="n">
        <x:v>1</x:v>
      </x:c>
      <x:c r="D242" s="34" t="str">
        <x:v>Perfil tubular 350 x 300 x 12; L 4800</x:v>
      </x:c>
      <x:c r="E242" s="34" t="str">
        <x:v>S275J0H / EN 10219-1</x:v>
      </x:c>
      <x:c r="F242" s="35" t="n">
        <x:v>566.10432</x:v>
      </x:c>
      <x:c r="G242" s="35" t="n">
        <x:f>IF(F242="","",C242*F242)</x:f>
        <x:v>566.10432</x:v>
      </x:c>
      <x:c r="H242" s="33" t="str">
        <x:v>Fabricación</x:v>
      </x:c>
      <x:c r="I242" s="36" t="n">
        <x:v>0.0721152</x:v>
      </x:c>
      <x:c r="J242" s="33" t="str">
        <x:v>C05E_TT10_F531.SLDPRT</x:v>
      </x:c>
      <x:c r="K242" s="33" t="str">
        <x:v>CAD_volume_x_specified_density</x:v>
      </x:c>
    </x:row>
    <x:row r="243" ht="32" customHeight="1">
      <x:c r="A243" s="33" t="n">
        <x:v>237</x:v>
      </x:c>
      <x:c r="B243" s="33" t="str">
        <x:v>TT10_F536</x:v>
      </x:c>
      <x:c r="C243" s="33" t="n">
        <x:v>1</x:v>
      </x:c>
      <x:c r="D243" s="34" t="str">
        <x:v>Soporte tope terminado en cara interior de columna</x:v>
      </x:c>
      <x:c r="E243" s="34" t="str">
        <x:v>ASTM A36</x:v>
      </x:c>
      <x:c r="F243" s="35" t="n">
        <x:v>13.423500000000004</x:v>
      </x:c>
      <x:c r="G243" s="35" t="n">
        <x:f>IF(F243="","",C243*F243)</x:f>
        <x:v>13.423500000000004</x:v>
      </x:c>
      <x:c r="H243" s="33" t="str">
        <x:v>Fabricación</x:v>
      </x:c>
      <x:c r="I243" s="36" t="n">
        <x:v>0.0017100000000000006</x:v>
      </x:c>
      <x:c r="J243" s="33" t="str">
        <x:v>C05E_TT10_F536.SLDPRT</x:v>
      </x:c>
      <x:c r="K243" s="33" t="str">
        <x:v>CAD_volume_x_specified_density</x:v>
      </x:c>
    </x:row>
    <x:row r="244" ht="32" customHeight="1">
      <x:c r="A244" s="33" t="n">
        <x:v>238</x:v>
      </x:c>
      <x:c r="B244" s="33" t="str">
        <x:v>TT10_F541</x:v>
      </x:c>
      <x:c r="C244" s="33" t="n">
        <x:v>1</x:v>
      </x:c>
      <x:c r="D244" s="34" t="str">
        <x:v>Diagonal CHS168.3x10 con cortes de asiento; sin penetrar columnas ni placas</x:v>
      </x:c>
      <x:c r="E244" s="34" t="str">
        <x:v>S275J0H / EN 10219-1</x:v>
      </x:c>
      <x:c r="F244" s="35" t="n">
        <x:v>92.37810987342837</x:v>
      </x:c>
      <x:c r="G244" s="35" t="n">
        <x:f>IF(F244="","",C244*F244)</x:f>
        <x:v>92.37810987342837</x:v>
      </x:c>
      <x:c r="H244" s="33" t="str">
        <x:v>Fabricación</x:v>
      </x:c>
      <x:c r="I244" s="36" t="n">
        <x:v>0.011767912085787053</x:v>
      </x:c>
      <x:c r="J244" s="33" t="str">
        <x:v>C05E_TT10_F541.SLDPRT</x:v>
      </x:c>
      <x:c r="K244" s="33" t="str">
        <x:v>CAD_volume_x_specified_density</x:v>
      </x:c>
    </x:row>
    <x:row r="245" ht="32" customHeight="1">
      <x:c r="A245" s="33" t="n">
        <x:v>239</x:v>
      </x:c>
      <x:c r="B245" s="33" t="str">
        <x:v>TT10_F546</x:v>
      </x:c>
      <x:c r="C245" s="33" t="n">
        <x:v>1</x:v>
      </x:c>
      <x:c r="D245" s="34" t="str">
        <x:v>Puente RHS200x150x10 L1005; fuera del plano de las diagonales</x:v>
      </x:c>
      <x:c r="E245" s="34" t="str">
        <x:v>S275J0H / EN 10219-1</x:v>
      </x:c>
      <x:c r="F245" s="35" t="n">
        <x:v>52.06904999999978</x:v>
      </x:c>
      <x:c r="G245" s="35" t="n">
        <x:f>IF(F245="","",C245*F245)</x:f>
        <x:v>52.06904999999978</x:v>
      </x:c>
      <x:c r="H245" s="33" t="str">
        <x:v>Fabricación</x:v>
      </x:c>
      <x:c r="I245" s="36" t="n">
        <x:v>0.006632999999999971</x:v>
      </x:c>
      <x:c r="J245" s="33" t="str">
        <x:v>C05E_TT10_F546.SLDPRT</x:v>
      </x:c>
      <x:c r="K245" s="33" t="str">
        <x:v>CAD_volume_x_specified_density</x:v>
      </x:c>
    </x:row>
    <x:row r="246" ht="32" customHeight="1">
      <x:c r="A246" s="33" t="n">
        <x:v>240</x:v>
      </x:c>
      <x:c r="B246" s="33" t="str">
        <x:v>TT10_F551</x:v>
      </x:c>
      <x:c r="C246" s="33" t="n">
        <x:v>1</x:v>
      </x:c>
      <x:c r="D246" s="34" t="str">
        <x:v>SKF SNL3048: dimensiones de interfaz según catálogo; fundición simplificada</x:v>
      </x:c>
      <x:c r="E246" s="34" t="str">
        <x:v>Conjunto comprado; acero/ fundición según OEM</x:v>
      </x:c>
      <x:c r="F246" s="35" t="n">
        <x:v>139</x:v>
      </x:c>
      <x:c r="G246" s="35" t="n">
        <x:f>IF(F246="","",C246*F246)</x:f>
        <x:v>139</x:v>
      </x:c>
      <x:c r="H246" s="33" t="str">
        <x:v>Compra</x:v>
      </x:c>
      <x:c r="I246" s="36" t="n">
        <x:v>0.030359008208636372</x:v>
      </x:c>
      <x:c r="J246" s="33" t="str">
        <x:v>C05E_TT10_F551.SLDPRT</x:v>
      </x:c>
      <x:c r="K246" s="33" t="str">
        <x:v>Catálogo/fuente conservada</x:v>
      </x:c>
    </x:row>
    <x:row r="247" ht="32" customHeight="1">
      <x:c r="A247" s="33" t="n">
        <x:v>241</x:v>
      </x:c>
      <x:c r="B247" s="33" t="str">
        <x:v>TT10_F556</x:v>
      </x:c>
      <x:c r="C247" s="33" t="n">
        <x:v>1</x:v>
      </x:c>
      <x:c r="D247" s="34" t="str">
        <x:v>Soporte tope terminado en cara interior de columna</x:v>
      </x:c>
      <x:c r="E247" s="34" t="str">
        <x:v>ASTM A36</x:v>
      </x:c>
      <x:c r="F247" s="35" t="n">
        <x:v>13.423500000000004</x:v>
      </x:c>
      <x:c r="G247" s="35" t="n">
        <x:f>IF(F247="","",C247*F247)</x:f>
        <x:v>13.423500000000004</x:v>
      </x:c>
      <x:c r="H247" s="33" t="str">
        <x:v>Fabricación</x:v>
      </x:c>
      <x:c r="I247" s="36" t="n">
        <x:v>0.0017100000000000006</x:v>
      </x:c>
      <x:c r="J247" s="33" t="str">
        <x:v>C05E_TT10_F556.SLDPRT</x:v>
      </x:c>
      <x:c r="K247" s="33" t="str">
        <x:v>CAD_volume_x_specified_density</x:v>
      </x:c>
    </x:row>
    <x:row r="248" ht="32" customHeight="1">
      <x:c r="A248" s="33" t="n">
        <x:v>242</x:v>
      </x:c>
      <x:c r="B248" s="33" t="str">
        <x:v>TT10_F561</x:v>
      </x:c>
      <x:c r="C248" s="33" t="n">
        <x:v>1</x:v>
      </x:c>
      <x:c r="D248" s="34" t="str">
        <x:v>Pieza TT10_F561</x:v>
      </x:c>
      <x:c r="E248" s="34" t="str">
        <x:v>ASTM A36</x:v>
      </x:c>
      <x:c r="F248" s="35" t="n">
        <x:v>19.781999999999996</x:v>
      </x:c>
      <x:c r="G248" s="35" t="n">
        <x:f>IF(F248="","",C248*F248)</x:f>
        <x:v>19.781999999999996</x:v>
      </x:c>
      <x:c r="H248" s="33" t="str">
        <x:v>Fabricación</x:v>
      </x:c>
      <x:c r="I248" s="36" t="n">
        <x:v>0.0025199999999999997</x:v>
      </x:c>
      <x:c r="J248" s="33" t="str">
        <x:v>C05E_TT10_F561.SLDPRT</x:v>
      </x:c>
      <x:c r="K248" s="33" t="str">
        <x:v>CAD_volume_x_specified_density</x:v>
      </x:c>
    </x:row>
    <x:row r="249" ht="32" customHeight="1">
      <x:c r="A249" s="33" t="n">
        <x:v>243</x:v>
      </x:c>
      <x:c r="B249" s="33" t="str">
        <x:v>TT10_F566</x:v>
      </x:c>
      <x:c r="C249" s="33" t="n">
        <x:v>1</x:v>
      </x:c>
      <x:c r="D249" s="34" t="str">
        <x:v>Pieza TT10_F566</x:v>
      </x:c>
      <x:c r="E249" s="34" t="str">
        <x:v>ASTM A36</x:v>
      </x:c>
      <x:c r="F249" s="35" t="n">
        <x:v>69.69116078938316</x:v>
      </x:c>
      <x:c r="G249" s="35" t="n">
        <x:f>IF(F249="","",C249*F249)</x:f>
        <x:v>69.69116078938316</x:v>
      </x:c>
      <x:c r="H249" s="33" t="str">
        <x:v>Fabricación</x:v>
      </x:c>
      <x:c r="I249" s="36" t="n">
        <x:v>0.008877854877628428</x:v>
      </x:c>
      <x:c r="J249" s="33" t="str">
        <x:v>C05E_TT10_F566.SLDPRT</x:v>
      </x:c>
      <x:c r="K249" s="33" t="str">
        <x:v>CAD_volume_x_specified_density</x:v>
      </x:c>
    </x:row>
    <x:row r="250" ht="32" customHeight="1">
      <x:c r="A250" s="33" t="n">
        <x:v>244</x:v>
      </x:c>
      <x:c r="B250" s="33" t="str">
        <x:v>TT10_F571</x:v>
      </x:c>
      <x:c r="C250" s="33" t="n">
        <x:v>1</x:v>
      </x:c>
      <x:c r="D250" s="34" t="str">
        <x:v>Pieza TT10_F571</x:v>
      </x:c>
      <x:c r="E250" s="34" t="str">
        <x:v>ASTM A36</x:v>
      </x:c>
      <x:c r="F250" s="35" t="n">
        <x:v>69.69116078938316</x:v>
      </x:c>
      <x:c r="G250" s="35" t="n">
        <x:f>IF(F250="","",C250*F250)</x:f>
        <x:v>69.69116078938316</x:v>
      </x:c>
      <x:c r="H250" s="33" t="str">
        <x:v>Fabricación</x:v>
      </x:c>
      <x:c r="I250" s="36" t="n">
        <x:v>0.008877854877628428</x:v>
      </x:c>
      <x:c r="J250" s="33" t="str">
        <x:v>C05E_TT10_F571.SLDPRT</x:v>
      </x:c>
      <x:c r="K250" s="33" t="str">
        <x:v>CAD_volume_x_specified_density</x:v>
      </x:c>
    </x:row>
    <x:row r="251" ht="32" customHeight="1">
      <x:c r="A251" s="33" t="n">
        <x:v>245</x:v>
      </x:c>
      <x:c r="B251" s="33" t="str">
        <x:v>TT10_F576</x:v>
      </x:c>
      <x:c r="C251" s="33" t="n">
        <x:v>1</x:v>
      </x:c>
      <x:c r="D251" s="34" t="str">
        <x:v>Oreja fija 400 x 250 x 40; agujero Ø65 H8; Strenx 700E</x:v>
      </x:c>
      <x:c r="E251" s="34" t="str">
        <x:v>Strenx700E t40; Rp0.2min700MPa</x:v>
      </x:c>
      <x:c r="F251" s="35" t="n">
        <x:v>30.358051526528772</x:v>
      </x:c>
      <x:c r="G251" s="35" t="n">
        <x:f>IF(F251="","",C251*F251)</x:f>
        <x:v>30.358051526528772</x:v>
      </x:c>
      <x:c r="H251" s="33" t="str">
        <x:v>Fabricación</x:v>
      </x:c>
      <x:c r="I251" s="36" t="n">
        <x:v>0.0038672677103858306</x:v>
      </x:c>
      <x:c r="J251" s="33" t="str">
        <x:v>C05E_TT10_F576.SLDPRT</x:v>
      </x:c>
      <x:c r="K251" s="33" t="str">
        <x:v>BRep nativo SolidWorks; densidad7850 kg/m³; 25/10/2026</x:v>
      </x:c>
    </x:row>
    <x:row r="252" ht="32" customHeight="1">
      <x:c r="A252" s="33" t="n">
        <x:v>246</x:v>
      </x:c>
      <x:c r="B252" s="33" t="str">
        <x:v>TT10_F581</x:v>
      </x:c>
      <x:c r="C252" s="33" t="n">
        <x:v>1</x:v>
      </x:c>
      <x:c r="D252" s="34" t="str">
        <x:v>Diagonal CHS168.3x10 con cortes de asiento; sin penetrar columnas ni placas</x:v>
      </x:c>
      <x:c r="E252" s="34" t="str">
        <x:v>S275J0H / EN 10219-1</x:v>
      </x:c>
      <x:c r="F252" s="35" t="n">
        <x:v>92.37810987343079</x:v>
      </x:c>
      <x:c r="G252" s="35" t="n">
        <x:f>IF(F252="","",C252*F252)</x:f>
        <x:v>92.37810987343079</x:v>
      </x:c>
      <x:c r="H252" s="33" t="str">
        <x:v>Fabricación</x:v>
      </x:c>
      <x:c r="I252" s="36" t="n">
        <x:v>0.011767912085787362</x:v>
      </x:c>
      <x:c r="J252" s="33" t="str">
        <x:v>C05E_TT10_F581.SLDPRT</x:v>
      </x:c>
      <x:c r="K252" s="33" t="str">
        <x:v>CAD_volume_x_specified_density</x:v>
      </x:c>
    </x:row>
    <x:row r="253" ht="32" customHeight="1">
      <x:c r="A253" s="33" t="n">
        <x:v>247</x:v>
      </x:c>
      <x:c r="B253" s="33" t="str">
        <x:v>TT10_F586</x:v>
      </x:c>
      <x:c r="C253" s="33" t="n">
        <x:v>1</x:v>
      </x:c>
      <x:c r="D253" s="34" t="str">
        <x:v>Oreja fija 400 x 250 x 40; agujero Ø65 H8; Strenx 700E</x:v>
      </x:c>
      <x:c r="E253" s="34" t="str">
        <x:v>Strenx700E t40; Rp0.2min700MPa</x:v>
      </x:c>
      <x:c r="F253" s="35" t="n">
        <x:v>30.358051526528772</x:v>
      </x:c>
      <x:c r="G253" s="35" t="n">
        <x:f>IF(F253="","",C253*F253)</x:f>
        <x:v>30.358051526528772</x:v>
      </x:c>
      <x:c r="H253" s="33" t="str">
        <x:v>Fabricación</x:v>
      </x:c>
      <x:c r="I253" s="36" t="n">
        <x:v>0.0038672677103858306</x:v>
      </x:c>
      <x:c r="J253" s="33" t="str">
        <x:v>C05E_TT10_F586.SLDPRT</x:v>
      </x:c>
      <x:c r="K253" s="33" t="str">
        <x:v>BRep nativo SolidWorks; densidad7850 kg/m³; 25/10/2026</x:v>
      </x:c>
    </x:row>
    <x:row r="254" ht="32" customHeight="1">
      <x:c r="A254" s="33" t="n">
        <x:v>248</x:v>
      </x:c>
      <x:c r="B254" s="33" t="str">
        <x:v>TT10_F591</x:v>
      </x:c>
      <x:c r="C254" s="33" t="n">
        <x:v>1</x:v>
      </x:c>
      <x:c r="D254" s="34" t="str">
        <x:v>Placa base 600 x 500 x 50; 8 agujeros Ø40, centros X ±220, Y ±150 y ±50</x:v>
      </x:c>
      <x:c r="E254" s="34" t="str">
        <x:v>Strenx700E t50; Rp0.2min700MPa</x:v>
      </x:c>
      <x:c r="F254" s="35" t="n">
        <x:v>113.80415962709114</x:v>
      </x:c>
      <x:c r="G254" s="35" t="n">
        <x:f>IF(F254="","",C254*F254)</x:f>
        <x:v>113.80415962709114</x:v>
      </x:c>
      <x:c r="H254" s="33" t="str">
        <x:v>Fabricación</x:v>
      </x:c>
      <x:c r="I254" s="36" t="n">
        <x:v>0.014497345175425622</x:v>
      </x:c>
      <x:c r="J254" s="33" t="str">
        <x:v>C05E_TT10_F591.SLDPRT</x:v>
      </x:c>
      <x:c r="K254" s="33" t="str">
        <x:v>BRep nativo SolidWorks; densidad7850 kg/m³; 25/10/2026</x:v>
      </x:c>
    </x:row>
    <x:row r="255" ht="32" customHeight="1">
      <x:c r="A255" s="33" t="n">
        <x:v>249</x:v>
      </x:c>
      <x:c r="B255" s="33" t="str">
        <x:v>TT10_F596</x:v>
      </x:c>
      <x:c r="C255" s="33" t="n">
        <x:v>1</x:v>
      </x:c>
      <x:c r="D255" s="34" t="str">
        <x:v>Tope inclinado: cara inferior mecanizada para asiento horizontal</x:v>
      </x:c>
      <x:c r="E255" s="34" t="str">
        <x:v>ASTM A36</x:v>
      </x:c>
      <x:c r="F255" s="35" t="n">
        <x:v>3.4901694876955545</x:v>
      </x:c>
      <x:c r="G255" s="35" t="n">
        <x:f>IF(F255="","",C255*F255)</x:f>
        <x:v>3.4901694876955545</x:v>
      </x:c>
      <x:c r="H255" s="33" t="str">
        <x:v>Fabricación</x:v>
      </x:c>
      <x:c r="I255" s="36" t="n">
        <x:v>0.0004446075780503891</x:v>
      </x:c>
      <x:c r="J255" s="33" t="str">
        <x:v>C05E_TT10_F596.SLDPRT</x:v>
      </x:c>
      <x:c r="K255" s="33" t="str">
        <x:v>CAD_volume_x_specified_density</x:v>
      </x:c>
    </x:row>
    <x:row r="256" ht="32" customHeight="1">
      <x:c r="A256" s="33" t="n">
        <x:v>250</x:v>
      </x:c>
      <x:c r="B256" s="33" t="str">
        <x:v>TT10_F601</x:v>
      </x:c>
      <x:c r="C256" s="33" t="n">
        <x:v>1</x:v>
      </x:c>
      <x:c r="D256" s="34" t="str">
        <x:v>Diagonal CHS168.3x10 con cortes de asiento; sin penetrar columnas ni placas</x:v>
      </x:c>
      <x:c r="E256" s="34" t="str">
        <x:v>S275J0H / EN 10219-1</x:v>
      </x:c>
      <x:c r="F256" s="35" t="n">
        <x:v>92.37810951751725</x:v>
      </x:c>
      <x:c r="G256" s="35" t="n">
        <x:f>IF(F256="","",C256*F256)</x:f>
        <x:v>92.37810951751725</x:v>
      </x:c>
      <x:c r="H256" s="33" t="str">
        <x:v>Fabricación</x:v>
      </x:c>
      <x:c r="I256" s="36" t="n">
        <x:v>0.011767912040448057</x:v>
      </x:c>
      <x:c r="J256" s="33" t="str">
        <x:v>C05E_TT10_F601.SLDPRT</x:v>
      </x:c>
      <x:c r="K256" s="33" t="str">
        <x:v>CAD_volume_x_specified_density</x:v>
      </x:c>
    </x:row>
    <x:row r="257" ht="32" customHeight="1">
      <x:c r="A257" s="33" t="n">
        <x:v>251</x:v>
      </x:c>
      <x:c r="B257" s="33" t="str">
        <x:v>TT10_F606</x:v>
      </x:c>
      <x:c r="C257" s="33" t="n">
        <x:v>1</x:v>
      </x:c>
      <x:c r="D257" s="34" t="str">
        <x:v>Diagonal CHS168.3x10 con cortes de asiento; sin penetrar columnas ni placas</x:v>
      </x:c>
      <x:c r="E257" s="34" t="str">
        <x:v>S275J0H / EN 10219-1</x:v>
      </x:c>
      <x:c r="F257" s="35" t="n">
        <x:v>92.3781095175154</x:v>
      </x:c>
      <x:c r="G257" s="35" t="n">
        <x:f>IF(F257="","",C257*F257)</x:f>
        <x:v>92.3781095175154</x:v>
      </x:c>
      <x:c r="H257" s="33" t="str">
        <x:v>Fabricación</x:v>
      </x:c>
      <x:c r="I257" s="36" t="n">
        <x:v>0.01176791204044782</x:v>
      </x:c>
      <x:c r="J257" s="33" t="str">
        <x:v>C05E_TT10_F606.SLDPRT</x:v>
      </x:c>
      <x:c r="K257" s="33" t="str">
        <x:v>CAD_volume_x_specified_density</x:v>
      </x:c>
    </x:row>
    <x:row r="258" ht="32" customHeight="1">
      <x:c r="A258" s="33" t="n">
        <x:v>252</x:v>
      </x:c>
      <x:c r="B258" s="33" t="str">
        <x:v>TT10_F611</x:v>
      </x:c>
      <x:c r="C258" s="33" t="n">
        <x:v>1</x:v>
      </x:c>
      <x:c r="D258" s="34" t="str">
        <x:v>Poste independiente cajón 300 x 200 x 2395, t20; 2 diafragmas 260 x 160 x 20</x:v>
      </x:c>
      <x:c r="E258" s="34" t="str">
        <x:v>Strenx700E t20; Rp0.2min700MPa</x:v>
      </x:c>
      <x:c r="F258" s="35" t="n">
        <x:v>358.9961999999998</x:v>
      </x:c>
      <x:c r="G258" s="35" t="n">
        <x:f>IF(F258="","",C258*F258)</x:f>
        <x:v>358.9961999999998</x:v>
      </x:c>
      <x:c r="H258" s="33" t="str">
        <x:v>Fabricación</x:v>
      </x:c>
      <x:c r="I258" s="36" t="n">
        <x:v>0.045731999999999974</x:v>
      </x:c>
      <x:c r="J258" s="33" t="str">
        <x:v>C05E_TT10_F611.SLDPRT</x:v>
      </x:c>
      <x:c r="K258" s="33" t="str">
        <x:v>BRep nativo SolidWorks; densidad7850 kg/m³; 25/10/2026</x:v>
      </x:c>
    </x:row>
    <x:row r="259" ht="32" customHeight="1">
      <x:c r="A259" s="33" t="n">
        <x:v>254</x:v>
      </x:c>
      <x:c r="B259" s="33" t="str">
        <x:v>TT10_F621</x:v>
      </x:c>
      <x:c r="C259" s="33" t="n">
        <x:v>1</x:v>
      </x:c>
      <x:c r="D259" s="34" t="str">
        <x:v>Puente RHS200x150x10 L1005; fuera del plano de las diagonales</x:v>
      </x:c>
      <x:c r="E259" s="34" t="str">
        <x:v>S275J0H / EN 10219-1</x:v>
      </x:c>
      <x:c r="F259" s="35" t="n">
        <x:v>52.06904999999912</x:v>
      </x:c>
      <x:c r="G259" s="35" t="n">
        <x:f>IF(F259="","",C259*F259)</x:f>
        <x:v>52.06904999999912</x:v>
      </x:c>
      <x:c r="H259" s="33" t="str">
        <x:v>Fabricación</x:v>
      </x:c>
      <x:c r="I259" s="36" t="n">
        <x:v>0.006632999999999888</x:v>
      </x:c>
      <x:c r="J259" s="33" t="str">
        <x:v>C05E_TT10_F621.SLDPRT</x:v>
      </x:c>
      <x:c r="K259" s="33" t="str">
        <x:v>CAD_volume_x_specified_density</x:v>
      </x:c>
    </x:row>
    <x:row r="260" ht="32" customHeight="1">
      <x:c r="A260" s="33" t="n">
        <x:v>255</x:v>
      </x:c>
      <x:c r="B260" s="33" t="str">
        <x:v>TT10_F626</x:v>
      </x:c>
      <x:c r="C260" s="33" t="n">
        <x:v>1</x:v>
      </x:c>
      <x:c r="D260" s="34" t="str">
        <x:v>Pieza TT10_F626</x:v>
      </x:c>
      <x:c r="E260" s="34" t="str">
        <x:v>ASTM A36</x:v>
      </x:c>
      <x:c r="F260" s="35" t="n">
        <x:v>69.69116078938316</x:v>
      </x:c>
      <x:c r="G260" s="35" t="n">
        <x:f>IF(F260="","",C260*F260)</x:f>
        <x:v>69.69116078938316</x:v>
      </x:c>
      <x:c r="H260" s="33" t="str">
        <x:v>Fabricación</x:v>
      </x:c>
      <x:c r="I260" s="36" t="n">
        <x:v>0.008877854877628428</x:v>
      </x:c>
      <x:c r="J260" s="33" t="str">
        <x:v>C05E_TT10_F626.SLDPRT</x:v>
      </x:c>
      <x:c r="K260" s="33" t="str">
        <x:v>CAD_volume_x_specified_density</x:v>
      </x:c>
    </x:row>
    <x:row r="261" ht="32" customHeight="1">
      <x:c r="A261" s="33" t="n">
        <x:v>256</x:v>
      </x:c>
      <x:c r="B261" s="33" t="str">
        <x:v>TT10_F631</x:v>
      </x:c>
      <x:c r="C261" s="33" t="n">
        <x:v>1</x:v>
      </x:c>
      <x:c r="D261" s="34" t="str">
        <x:v>Pieza TT10_F631</x:v>
      </x:c>
      <x:c r="E261" s="34" t="str">
        <x:v>ASTM A36</x:v>
      </x:c>
      <x:c r="F261" s="35" t="n">
        <x:v>69.69116078938316</x:v>
      </x:c>
      <x:c r="G261" s="35" t="n">
        <x:f>IF(F261="","",C261*F261)</x:f>
        <x:v>69.69116078938316</x:v>
      </x:c>
      <x:c r="H261" s="33" t="str">
        <x:v>Fabricación</x:v>
      </x:c>
      <x:c r="I261" s="36" t="n">
        <x:v>0.008877854877628428</x:v>
      </x:c>
      <x:c r="J261" s="33" t="str">
        <x:v>C05E_TT10_F631.SLDPRT</x:v>
      </x:c>
      <x:c r="K261" s="33" t="str">
        <x:v>CAD_volume_x_specified_density</x:v>
      </x:c>
    </x:row>
    <x:row r="262" ht="32" customHeight="1">
      <x:c r="A262" s="33" t="n">
        <x:v>257</x:v>
      </x:c>
      <x:c r="B262" s="33" t="str">
        <x:v>TT10_F636</x:v>
      </x:c>
      <x:c r="C262" s="33" t="n">
        <x:v>1</x:v>
      </x:c>
      <x:c r="D262" s="34" t="str">
        <x:v>Columna principal recortada para placa80 y altura de centro SKF220</x:v>
      </x:c>
      <x:c r="E262" s="34" t="str">
        <x:v>Conjunto comprado; acero/ fundición según OEM</x:v>
      </x:c>
      <x:c r="F262" s="35"/>
      <x:c r="G262" s="35" t="str">
        <x:f>IF(F262="","",C262*F262)</x:f>
      </x:c>
      <x:c r="H262" s="33" t="str">
        <x:v>Compra</x:v>
      </x:c>
      <x:c r="I262" s="36" t="n">
        <x:v>0.035697920000000015</x:v>
      </x:c>
      <x:c r="J262" s="33" t="str">
        <x:v>C05E_TT10_F636.SLDPRT</x:v>
      </x:c>
      <x:c r="K262" s="33" t="str">
        <x:v>OEM_mass_required</x:v>
      </x:c>
    </x:row>
    <x:row r="263" ht="32" customHeight="1">
      <x:c r="A263" s="33" t="n">
        <x:v>258</x:v>
      </x:c>
      <x:c r="B263" s="33" t="str">
        <x:v>TT10_F641</x:v>
      </x:c>
      <x:c r="C263" s="33" t="n">
        <x:v>1</x:v>
      </x:c>
      <x:c r="D263" s="34" t="str">
        <x:v>Columna principal recortada para placa80 y altura de centro SKF220</x:v>
      </x:c>
      <x:c r="E263" s="34" t="str">
        <x:v>Conjunto comprado; acero/ fundición según OEM</x:v>
      </x:c>
      <x:c r="F263" s="35"/>
      <x:c r="G263" s="35" t="str">
        <x:f>IF(F263="","",C263*F263)</x:f>
      </x:c>
      <x:c r="H263" s="33" t="str">
        <x:v>Compra</x:v>
      </x:c>
      <x:c r="I263" s="36" t="n">
        <x:v>0.035697920000000015</x:v>
      </x:c>
      <x:c r="J263" s="33" t="str">
        <x:v>C05E_TT10_F641.SLDPRT</x:v>
      </x:c>
      <x:c r="K263" s="33" t="str">
        <x:v>OEM_mass_required</x:v>
      </x:c>
    </x:row>
    <x:row r="264" ht="32" customHeight="1">
      <x:c r="A264" s="33" t="n">
        <x:v>260</x:v>
      </x:c>
      <x:c r="B264" s="33" t="str">
        <x:v>TT10_FRB_1</x:v>
      </x:c>
      <x:c r="C264" s="33" t="n">
        <x:v>1</x:v>
      </x:c>
      <x:c r="D264" s="34" t="str">
        <x:v>SKF FRB21/360; lado P localizador</x:v>
      </x:c>
      <x:c r="E264" s="34" t="str">
        <x:v>Conjunto comprado; acero/ fundición según OEM</x:v>
      </x:c>
      <x:c r="F264" s="35"/>
      <x:c r="G264" s="35" t="str">
        <x:f>IF(F264="","",C264*F264)</x:f>
      </x:c>
      <x:c r="H264" s="33" t="str">
        <x:v>Compra</x:v>
      </x:c>
      <x:c r="I264" s="36" t="n">
        <x:v>0.0006531371126813216</x:v>
      </x:c>
      <x:c r="J264" s="33" t="str">
        <x:v>C05E_TT10_FRB_1.SLDPRT</x:v>
      </x:c>
      <x:c r="K264" s="33" t="str">
        <x:v>OEM_mass_required</x:v>
      </x:c>
    </x:row>
    <x:row r="265" ht="32" customHeight="1">
      <x:c r="A265" s="33" t="n">
        <x:v>261</x:v>
      </x:c>
      <x:c r="B265" s="33" t="str">
        <x:v>TT10_FRB_2</x:v>
      </x:c>
      <x:c r="C265" s="33" t="n">
        <x:v>1</x:v>
      </x:c>
      <x:c r="D265" s="34" t="str">
        <x:v>SKF FRB21/360; lado P localizador</x:v>
      </x:c>
      <x:c r="E265" s="34" t="str">
        <x:v>Conjunto comprado; acero/ fundición según OEM</x:v>
      </x:c>
      <x:c r="F265" s="35"/>
      <x:c r="G265" s="35" t="str">
        <x:f>IF(F265="","",C265*F265)</x:f>
      </x:c>
      <x:c r="H265" s="33" t="str">
        <x:v>Compra</x:v>
      </x:c>
      <x:c r="I265" s="36" t="n">
        <x:v>0.0006531371126813074</x:v>
      </x:c>
      <x:c r="J265" s="33" t="str">
        <x:v>C05E_TT10_FRB_2.SLDPRT</x:v>
      </x:c>
      <x:c r="K265" s="33" t="str">
        <x:v>OEM_mass_required</x:v>
      </x:c>
    </x:row>
    <x:row r="266" ht="32" customHeight="1">
      <x:c r="A266" s="33" t="n">
        <x:v>262</x:v>
      </x:c>
      <x:c r="B266" s="33" t="str">
        <x:v>TT10_GUIA_N</x:v>
      </x:c>
      <x:c r="C266" s="33" t="n">
        <x:v>1</x:v>
      </x:c>
      <x:c r="D266" s="34" t="str">
        <x:v>Guía con alojamiento Ø69 H7; casquillo69/65.5; fuera del camino resistente</x:v>
      </x:c>
      <x:c r="E266" s="34" t="str">
        <x:v>ASTM A36</x:v>
      </x:c>
      <x:c r="F266" s="35" t="n">
        <x:v>13.566663891939614</x:v>
      </x:c>
      <x:c r="G266" s="35" t="n">
        <x:f>IF(F266="","",C266*F266)</x:f>
        <x:v>13.566663891939614</x:v>
      </x:c>
      <x:c r="H266" s="33" t="str">
        <x:v>Fabricación</x:v>
      </x:c>
      <x:c r="I266" s="36" t="n">
        <x:v>0.001728237438463645</x:v>
      </x:c>
      <x:c r="J266" s="33" t="str">
        <x:v>C05E_TT10_GUIA_N.SLDPRT</x:v>
      </x:c>
      <x:c r="K266" s="33" t="str">
        <x:v>CAD_volume_x_specified_density</x:v>
      </x:c>
    </x:row>
    <x:row r="267" ht="32" customHeight="1">
      <x:c r="A267" s="33" t="n">
        <x:v>263</x:v>
      </x:c>
      <x:c r="B267" s="33" t="str">
        <x:v>TT10_GUIA_P</x:v>
      </x:c>
      <x:c r="C267" s="33" t="n">
        <x:v>1</x:v>
      </x:c>
      <x:c r="D267" s="34" t="str">
        <x:v>Guía con alojamiento Ø69 H7; casquillo69/65.5; fuera del camino resistente</x:v>
      </x:c>
      <x:c r="E267" s="34" t="str">
        <x:v>ASTM A36</x:v>
      </x:c>
      <x:c r="F267" s="35" t="n">
        <x:v>13.566663891939614</x:v>
      </x:c>
      <x:c r="G267" s="35" t="n">
        <x:f>IF(F267="","",C267*F267)</x:f>
        <x:v>13.566663891939614</x:v>
      </x:c>
      <x:c r="H267" s="33" t="str">
        <x:v>Fabricación</x:v>
      </x:c>
      <x:c r="I267" s="36" t="n">
        <x:v>0.001728237438463645</x:v>
      </x:c>
      <x:c r="J267" s="33" t="str">
        <x:v>C05E_TT10_GUIA_P.SLDPRT</x:v>
      </x:c>
      <x:c r="K267" s="33" t="str">
        <x:v>CAD_volume_x_specified_density</x:v>
      </x:c>
    </x:row>
    <x:row r="268" ht="32" customHeight="1">
      <x:c r="A268" s="33" t="n">
        <x:v>264</x:v>
      </x:c>
      <x:c r="B268" s="33" t="str">
        <x:v>TT10_KM40_N</x:v>
      </x:c>
      <x:c r="C268" s="33" t="n">
        <x:v>1</x:v>
      </x:c>
      <x:c r="D268" s="34" t="str">
        <x:v>SKF KM40, M200x3, D250 B29; cuatro ranuras18x8</x:v>
      </x:c>
      <x:c r="E268" s="34" t="str">
        <x:v>Conjunto comprado; acero/ fundición según OEM</x:v>
      </x:c>
      <x:c r="F268" s="35" t="n">
        <x:v>3.35</x:v>
      </x:c>
      <x:c r="G268" s="35" t="n">
        <x:f>IF(F268="","",C268*F268)</x:f>
        <x:v>3.35</x:v>
      </x:c>
      <x:c r="H268" s="33" t="str">
        <x:v>Compra</x:v>
      </x:c>
      <x:c r="I268" s="36" t="n">
        <x:v>0.0004959939812942166</x:v>
      </x:c>
      <x:c r="J268" s="33" t="str">
        <x:v>C05E_TT10_KM40_N.SLDPRT</x:v>
      </x:c>
      <x:c r="K268" s="33" t="str">
        <x:v>Catálogo/fuente conservada</x:v>
      </x:c>
    </x:row>
    <x:row r="269" ht="32" customHeight="1">
      <x:c r="A269" s="33" t="n">
        <x:v>265</x:v>
      </x:c>
      <x:c r="B269" s="33" t="str">
        <x:v>TT10_KM40_P</x:v>
      </x:c>
      <x:c r="C269" s="33" t="n">
        <x:v>1</x:v>
      </x:c>
      <x:c r="D269" s="34" t="str">
        <x:v>SKF KM40, M200x3, D250 B29; cuatro ranuras18x8</x:v>
      </x:c>
      <x:c r="E269" s="34" t="str">
        <x:v>Conjunto comprado; acero/ fundición según OEM</x:v>
      </x:c>
      <x:c r="F269" s="35" t="n">
        <x:v>3.35</x:v>
      </x:c>
      <x:c r="G269" s="35" t="n">
        <x:f>IF(F269="","",C269*F269)</x:f>
        <x:v>3.35</x:v>
      </x:c>
      <x:c r="H269" s="33" t="str">
        <x:v>Compra</x:v>
      </x:c>
      <x:c r="I269" s="36" t="n">
        <x:v>0.0004959939812942085</x:v>
      </x:c>
      <x:c r="J269" s="33" t="str">
        <x:v>C05E_TT10_KM40_P.SLDPRT</x:v>
      </x:c>
      <x:c r="K269" s="33" t="str">
        <x:v>Catálogo/fuente conservada</x:v>
      </x:c>
    </x:row>
    <x:row r="270" ht="32" customHeight="1">
      <x:c r="A270" s="33" t="n">
        <x:v>266</x:v>
      </x:c>
      <x:c r="B270" s="33" t="str">
        <x:v>TT10_LIN_0_0_B</x:v>
      </x:c>
      <x:c r="C270" s="33" t="n">
        <x:v>32</x:v>
      </x:c>
      <x:c r="D270" s="34" t="str">
        <x:v>Tornillo avellanado M16x80, cabeza90 D31, hexágono10; geometría nominal</x:v>
      </x:c>
      <x:c r="E270" s="34" t="str">
        <x:v>Clase 10.9 / ISO 898-1</x:v>
      </x:c>
      <x:c r="F270" s="35" t="n">
        <x:v>0.13722949305469367</x:v>
      </x:c>
      <x:c r="G270" s="35" t="n">
        <x:f>IF(F270="","",C270*F270)</x:f>
        <x:v>4.391343777750198</x:v>
      </x:c>
      <x:c r="H270" s="33" t="str">
        <x:v>Compra</x:v>
      </x:c>
      <x:c r="I270" s="36" t="n">
        <x:v>0.000017481464083400467</x:v>
      </x:c>
      <x:c r="J270" s="33" t="str">
        <x:v>C05E_TT10_LIN_0_0_B.SLDPRT</x:v>
      </x:c>
      <x:c r="K270" s="33" t="str">
        <x:v>CAD_volume_x_specified_density</x:v>
      </x:c>
    </x:row>
    <x:row r="271" ht="32" customHeight="1">
      <x:c r="A271" s="33" t="n">
        <x:v>267</x:v>
      </x:c>
      <x:c r="B271" s="33" t="str">
        <x:v>TT10_LIN_0_0_C</x:v>
      </x:c>
      <x:c r="C271" s="33" t="n">
        <x:v>32</x:v>
      </x:c>
      <x:c r="D271" s="34" t="str">
        <x:v>Casquillo30/18 L25 limita compresión de elastómero</x:v>
      </x:c>
      <x:c r="E271" s="34" t="str">
        <x:v>Acero C45</x:v>
      </x:c>
      <x:c r="F271" s="35" t="n">
        <x:v>0.08878140839044753</x:v>
      </x:c>
      <x:c r="G271" s="35" t="n">
        <x:f>IF(F271="","",C271*F271)</x:f>
        <x:v>2.841005068494321</x:v>
      </x:c>
      <x:c r="H271" s="33" t="str">
        <x:v>Fabricación</x:v>
      </x:c>
      <x:c r="I271" s="36" t="n">
        <x:v>0.000011309733552923252</x:v>
      </x:c>
      <x:c r="J271" s="33" t="str">
        <x:v>C05E_TT10_LIN_0_0_C.SLDPRT</x:v>
      </x:c>
      <x:c r="K271" s="33" t="str">
        <x:v>CAD_volume_x_specified_density</x:v>
      </x:c>
    </x:row>
    <x:row r="272" ht="32" customHeight="1">
      <x:c r="A272" s="33" t="n">
        <x:v>268</x:v>
      </x:c>
      <x:c r="B272" s="33" t="str">
        <x:v>TT10_LIN_0_0_N</x:v>
      </x:c>
      <x:c r="C272" s="33" t="n">
        <x:v>32</x:v>
      </x:c>
      <x:c r="D272" s="34" t="str">
        <x:v>Tuerca autoblocante metálica M16; rosca simplificada</x:v>
      </x:c>
      <x:c r="E272" s="34" t="str">
        <x:v>Tuerca clase 8 / ISO 898-2</x:v>
      </x:c>
      <x:c r="F272" s="35" t="n">
        <x:v>0.0327247804322349</x:v>
      </x:c>
      <x:c r="G272" s="35" t="n">
        <x:f>IF(F272="","",C272*F272)</x:f>
        <x:v>1.0471929738315169</x:v>
      </x:c>
      <x:c r="H272" s="33" t="str">
        <x:v>Compra</x:v>
      </x:c>
      <x:c r="I272" s="36" t="n">
        <x:v>0.000004168761838501261</x:v>
      </x:c>
      <x:c r="J272" s="33" t="str">
        <x:v>C05E_TT10_LIN_0_0_N.SLDPRT</x:v>
      </x:c>
      <x:c r="K272" s="33" t="str">
        <x:v>CAD_volume_x_specified_density</x:v>
      </x:c>
    </x:row>
    <x:row r="273" ht="32" customHeight="1">
      <x:c r="A273" s="33" t="n">
        <x:v>269</x:v>
      </x:c>
      <x:c r="B273" s="33" t="str">
        <x:v>TT10_LIN_0_0_W</x:v>
      </x:c>
      <x:c r="C273" s="33" t="n">
        <x:v>32</x:v>
      </x:c>
      <x:c r="D273" s="34" t="str">
        <x:v>Arandela M16 200HV D30/d17/t3</x:v>
      </x:c>
      <x:c r="E273" s="34" t="str">
        <x:v>Arandela endurecida 200 HV / ISO 7089</x:v>
      </x:c>
      <x:c r="F273" s="35" t="n">
        <x:v>0.011301133443034054</x:v>
      </x:c>
      <x:c r="G273" s="35" t="n">
        <x:f>IF(F273="","",C273*F273)</x:f>
        <x:v>0.3616362701770897</x:v>
      </x:c>
      <x:c r="H273" s="33" t="str">
        <x:v>Compra</x:v>
      </x:c>
      <x:c r="I273" s="36" t="n">
        <x:v>0.0000014396348335075227</x:v>
      </x:c>
      <x:c r="J273" s="33" t="str">
        <x:v>C05E_TT10_LIN_0_0_W.SLDPRT</x:v>
      </x:c>
      <x:c r="K273" s="33" t="str">
        <x:v>CAD_volume_x_specified_density</x:v>
      </x:c>
    </x:row>
    <x:row r="274" ht="32" customHeight="1">
      <x:c r="A274" s="33" t="n">
        <x:v>270</x:v>
      </x:c>
      <x:c r="B274" s="33" t="str">
        <x:v>TT10_LK_BC0</x:v>
      </x:c>
      <x:c r="C274" s="33" t="n">
        <x:v>2</x:v>
      </x:c>
      <x:c r="D274" s="34" t="str">
        <x:v>TornilloM6x258.8; cabeza nominal, fijador de rosca y apriete por montaje</x:v>
      </x:c>
      <x:c r="E274" s="34" t="str">
        <x:v>Clase 8.8 / ISO 898-1</x:v>
      </x:c>
      <x:c r="F274" s="35" t="n">
        <x:v>0.009248063374004883</x:v>
      </x:c>
      <x:c r="G274" s="35" t="n">
        <x:f>IF(F274="","",C274*F274)</x:f>
        <x:v>0.018496126748009767</x:v>
      </x:c>
      <x:c r="H274" s="33" t="str">
        <x:v>Compra</x:v>
      </x:c>
      <x:c r="I274" s="36" t="n">
        <x:v>0.0000011780972450961635</x:v>
      </x:c>
      <x:c r="J274" s="33" t="str">
        <x:v>C05E_TT10_LK_BC0.SLDPRT</x:v>
      </x:c>
      <x:c r="K274" s="33" t="str">
        <x:v>CAD_volume_x_specified_density</x:v>
      </x:c>
    </x:row>
    <x:row r="275" ht="32" customHeight="1">
      <x:c r="A275" s="33" t="n">
        <x:v>271</x:v>
      </x:c>
      <x:c r="B275" s="33" t="str">
        <x:v>TT10_LK_BC1</x:v>
      </x:c>
      <x:c r="C275" s="33" t="n">
        <x:v>2</x:v>
      </x:c>
      <x:c r="D275" s="34" t="str">
        <x:v>TornilloM6x258.8; cabeza nominal, fijador de rosca y apriete por montaje</x:v>
      </x:c>
      <x:c r="E275" s="34" t="str">
        <x:v>Clase 8.8 / ISO 898-1</x:v>
      </x:c>
      <x:c r="F275" s="35" t="n">
        <x:v>0.009248063374004883</x:v>
      </x:c>
      <x:c r="G275" s="35" t="n">
        <x:f>IF(F275="","",C275*F275)</x:f>
        <x:v>0.018496126748009767</x:v>
      </x:c>
      <x:c r="H275" s="33" t="str">
        <x:v>Compra</x:v>
      </x:c>
      <x:c r="I275" s="36" t="n">
        <x:v>0.0000011780972450961635</x:v>
      </x:c>
      <x:c r="J275" s="33" t="str">
        <x:v>C05E_TT10_LK_BC1.SLDPRT</x:v>
      </x:c>
      <x:c r="K275" s="33" t="str">
        <x:v>CAD_volume_x_specified_density</x:v>
      </x:c>
    </x:row>
    <x:row r="276" ht="32" customHeight="1">
      <x:c r="A276" s="33" t="n">
        <x:v>272</x:v>
      </x:c>
      <x:c r="B276" s="33" t="str">
        <x:v>TT10_LK_BC2</x:v>
      </x:c>
      <x:c r="C276" s="33" t="n">
        <x:v>2</x:v>
      </x:c>
      <x:c r="D276" s="34" t="str">
        <x:v>TornilloM6x258.8; cabeza nominal, fijador de rosca y apriete por montaje</x:v>
      </x:c>
      <x:c r="E276" s="34" t="str">
        <x:v>Clase 8.8 / ISO 898-1</x:v>
      </x:c>
      <x:c r="F276" s="35" t="n">
        <x:v>0.009248063374004491</x:v>
      </x:c>
      <x:c r="G276" s="35" t="n">
        <x:f>IF(F276="","",C276*F276)</x:f>
        <x:v>0.018496126748008983</x:v>
      </x:c>
      <x:c r="H276" s="33" t="str">
        <x:v>Compra</x:v>
      </x:c>
      <x:c r="I276" s="36" t="n">
        <x:v>0.0000011780972450961135</x:v>
      </x:c>
      <x:c r="J276" s="33" t="str">
        <x:v>C05E_TT10_LK_BC2.SLDPRT</x:v>
      </x:c>
      <x:c r="K276" s="33" t="str">
        <x:v>CAD_volume_x_specified_density</x:v>
      </x:c>
    </x:row>
    <x:row r="277" ht="32" customHeight="1">
      <x:c r="A277" s="33" t="n">
        <x:v>273</x:v>
      </x:c>
      <x:c r="B277" s="33" t="str">
        <x:v>TT10_LK_BC3</x:v>
      </x:c>
      <x:c r="C277" s="33" t="n">
        <x:v>2</x:v>
      </x:c>
      <x:c r="D277" s="34" t="str">
        <x:v>TornilloM6x258.8; cabeza nominal, fijador de rosca y apriete por montaje</x:v>
      </x:c>
      <x:c r="E277" s="34" t="str">
        <x:v>Clase 8.8 / ISO 898-1</x:v>
      </x:c>
      <x:c r="F277" s="35" t="n">
        <x:v>0.009248063374004491</x:v>
      </x:c>
      <x:c r="G277" s="35" t="n">
        <x:f>IF(F277="","",C277*F277)</x:f>
        <x:v>0.018496126748008983</x:v>
      </x:c>
      <x:c r="H277" s="33" t="str">
        <x:v>Compra</x:v>
      </x:c>
      <x:c r="I277" s="36" t="n">
        <x:v>0.0000011780972450961135</x:v>
      </x:c>
      <x:c r="J277" s="33" t="str">
        <x:v>C05E_TT10_LK_BC3.SLDPRT</x:v>
      </x:c>
      <x:c r="K277" s="33" t="str">
        <x:v>CAD_volume_x_specified_density</x:v>
      </x:c>
    </x:row>
    <x:row r="278" ht="32" customHeight="1">
      <x:c r="A278" s="33" t="n">
        <x:v>274</x:v>
      </x:c>
      <x:c r="B278" s="33" t="str">
        <x:v>TT10_LK_BL0</x:v>
      </x:c>
      <x:c r="C278" s="33" t="n">
        <x:v>2</x:v>
      </x:c>
      <x:c r="D278" s="34" t="str">
        <x:v>TornilloM6x908.8; cabeza nominal, fijador de rosca y apriete por montaje</x:v>
      </x:c>
      <x:c r="E278" s="34" t="str">
        <x:v>Clase 8.8 / ISO 898-1</x:v>
      </x:c>
      <x:c r="F278" s="35" t="n">
        <x:v>0.02367504223745352</x:v>
      </x:c>
      <x:c r="G278" s="35" t="n">
        <x:f>IF(F278="","",C278*F278)</x:f>
        <x:v>0.04735008447490704</x:v>
      </x:c>
      <x:c r="H278" s="33" t="str">
        <x:v>Compra</x:v>
      </x:c>
      <x:c r="I278" s="36" t="n">
        <x:v>0.0000030159289474463083</x:v>
      </x:c>
      <x:c r="J278" s="33" t="str">
        <x:v>C05E_TT10_LK_BL0.SLDPRT</x:v>
      </x:c>
      <x:c r="K278" s="33" t="str">
        <x:v>CAD_volume_x_specified_density</x:v>
      </x:c>
    </x:row>
    <x:row r="279" ht="32" customHeight="1">
      <x:c r="A279" s="33" t="n">
        <x:v>275</x:v>
      </x:c>
      <x:c r="B279" s="33" t="str">
        <x:v>TT10_LK_BS0</x:v>
      </x:c>
      <x:c r="C279" s="33" t="n">
        <x:v>2</x:v>
      </x:c>
      <x:c r="D279" s="34" t="str">
        <x:v>TornilloM10x258.8; cabeza nominal, fijador de rosca y apriete por montaje</x:v>
      </x:c>
      <x:c r="E279" s="34" t="str">
        <x:v>Clase 8.8 / ISO 898-1</x:v>
      </x:c>
      <x:c r="F279" s="35" t="n">
        <x:v>0.031196800448309685</x:v>
      </x:c>
      <x:c r="G279" s="35" t="n">
        <x:f>IF(F279="","",C279*F279)</x:f>
        <x:v>0.06239360089661937</x:v>
      </x:c>
      <x:c r="H279" s="33" t="str">
        <x:v>Compra</x:v>
      </x:c>
      <x:c r="I279" s="36" t="n">
        <x:v>0.000003974114706791043</x:v>
      </x:c>
      <x:c r="J279" s="33" t="str">
        <x:v>C05E_TT10_LK_BS0.SLDPRT</x:v>
      </x:c>
      <x:c r="K279" s="33" t="str">
        <x:v>CAD_volume_x_specified_density</x:v>
      </x:c>
    </x:row>
    <x:row r="280" ht="32" customHeight="1">
      <x:c r="A280" s="33" t="n">
        <x:v>276</x:v>
      </x:c>
      <x:c r="B280" s="33" t="str">
        <x:v>TT10_LK_BS1</x:v>
      </x:c>
      <x:c r="C280" s="33" t="n">
        <x:v>2</x:v>
      </x:c>
      <x:c r="D280" s="34" t="str">
        <x:v>TornilloM10x258.8; cabeza nominal, fijador de rosca y apriete por montaje</x:v>
      </x:c>
      <x:c r="E280" s="34" t="str">
        <x:v>Clase 8.8 / ISO 898-1</x:v>
      </x:c>
      <x:c r="F280" s="35" t="n">
        <x:v>0.031196800448309685</x:v>
      </x:c>
      <x:c r="G280" s="35" t="n">
        <x:f>IF(F280="","",C280*F280)</x:f>
        <x:v>0.06239360089661937</x:v>
      </x:c>
      <x:c r="H280" s="33" t="str">
        <x:v>Compra</x:v>
      </x:c>
      <x:c r="I280" s="36" t="n">
        <x:v>0.000003974114706791043</x:v>
      </x:c>
      <x:c r="J280" s="33" t="str">
        <x:v>C05E_TT10_LK_BS1.SLDPRT</x:v>
      </x:c>
      <x:c r="K280" s="33" t="str">
        <x:v>CAD_volume_x_specified_density</x:v>
      </x:c>
    </x:row>
    <x:row r="281" ht="32" customHeight="1">
      <x:c r="A281" s="33" t="n">
        <x:v>277</x:v>
      </x:c>
      <x:c r="B281" s="33" t="str">
        <x:v>TT10_LK_BS2</x:v>
      </x:c>
      <x:c r="C281" s="33" t="n">
        <x:v>2</x:v>
      </x:c>
      <x:c r="D281" s="34" t="str">
        <x:v>TornilloM10x258.8; cabeza nominal, fijador de rosca y apriete por montaje</x:v>
      </x:c>
      <x:c r="E281" s="34" t="str">
        <x:v>Clase 8.8 / ISO 898-1</x:v>
      </x:c>
      <x:c r="F281" s="35" t="n">
        <x:v>0.031196800448309685</x:v>
      </x:c>
      <x:c r="G281" s="35" t="n">
        <x:f>IF(F281="","",C281*F281)</x:f>
        <x:v>0.06239360089661937</x:v>
      </x:c>
      <x:c r="H281" s="33" t="str">
        <x:v>Compra</x:v>
      </x:c>
      <x:c r="I281" s="36" t="n">
        <x:v>0.000003974114706791043</x:v>
      </x:c>
      <x:c r="J281" s="33" t="str">
        <x:v>C05E_TT10_LK_BS2.SLDPRT</x:v>
      </x:c>
      <x:c r="K281" s="33" t="str">
        <x:v>CAD_volume_x_specified_density</x:v>
      </x:c>
    </x:row>
    <x:row r="282" ht="32" customHeight="1">
      <x:c r="A282" s="33" t="n">
        <x:v>278</x:v>
      </x:c>
      <x:c r="B282" s="33" t="str">
        <x:v>TT10_LK_BS3</x:v>
      </x:c>
      <x:c r="C282" s="33" t="n">
        <x:v>2</x:v>
      </x:c>
      <x:c r="D282" s="34" t="str">
        <x:v>TornilloM10x258.8; cabeza nominal, fijador de rosca y apriete por montaje</x:v>
      </x:c>
      <x:c r="E282" s="34" t="str">
        <x:v>Clase 8.8 / ISO 898-1</x:v>
      </x:c>
      <x:c r="F282" s="35" t="n">
        <x:v>0.031196800448309685</x:v>
      </x:c>
      <x:c r="G282" s="35" t="n">
        <x:f>IF(F282="","",C282*F282)</x:f>
        <x:v>0.06239360089661937</x:v>
      </x:c>
      <x:c r="H282" s="33" t="str">
        <x:v>Compra</x:v>
      </x:c>
      <x:c r="I282" s="36" t="n">
        <x:v>0.000003974114706791043</x:v>
      </x:c>
      <x:c r="J282" s="33" t="str">
        <x:v>C05E_TT10_LK_BS3.SLDPRT</x:v>
      </x:c>
      <x:c r="K282" s="33" t="str">
        <x:v>CAD_volume_x_specified_density</x:v>
      </x:c>
    </x:row>
    <x:row r="283" ht="32" customHeight="1">
      <x:c r="A283" s="33" t="n">
        <x:v>279</x:v>
      </x:c>
      <x:c r="B283" s="33" t="str">
        <x:v>TT10_LK_BSE0</x:v>
      </x:c>
      <x:c r="C283" s="33" t="n">
        <x:v>2</x:v>
      </x:c>
      <x:c r="D283" s="34" t="str">
        <x:v>TornilloISO4762 M6x20 8.8;5.4mm de rosca en guia, fijador y apriete4Nm</x:v>
      </x:c>
      <x:c r="E283" s="34" t="str">
        <x:v>Clase 8.8 / ISO 898-1</x:v>
      </x:c>
      <x:c r="F283" s="35" t="n">
        <x:v>0.008138295769123161</x:v>
      </x:c>
      <x:c r="G283" s="35" t="n">
        <x:f>IF(F283="","",C283*F283)</x:f>
        <x:v>0.016276591538246322</x:v>
      </x:c>
      <x:c r="H283" s="33" t="str">
        <x:v>Compra</x:v>
      </x:c>
      <x:c r="I283" s="36" t="n">
        <x:v>0.0000010367255756844792</x:v>
      </x:c>
      <x:c r="J283" s="33" t="str">
        <x:v>C05E_TT10_LK_BSE0.SLDPRT</x:v>
      </x:c>
      <x:c r="K283" s="33" t="str">
        <x:v>CAD_volume_x_specified_density</x:v>
      </x:c>
    </x:row>
    <x:row r="284" ht="32" customHeight="1">
      <x:c r="A284" s="33" t="n">
        <x:v>280</x:v>
      </x:c>
      <x:c r="B284" s="33" t="str">
        <x:v>TT10_LK_BSE1</x:v>
      </x:c>
      <x:c r="C284" s="33" t="n">
        <x:v>2</x:v>
      </x:c>
      <x:c r="D284" s="34" t="str">
        <x:v>TornilloISO4762 M6x20 8.8;5.4mm de rosca en guia, fijador y apriete4Nm</x:v>
      </x:c>
      <x:c r="E284" s="34" t="str">
        <x:v>Clase 8.8 / ISO 898-1</x:v>
      </x:c>
      <x:c r="F284" s="35" t="n">
        <x:v>0.008138295769123161</x:v>
      </x:c>
      <x:c r="G284" s="35" t="n">
        <x:f>IF(F284="","",C284*F284)</x:f>
        <x:v>0.016276591538246322</x:v>
      </x:c>
      <x:c r="H284" s="33" t="str">
        <x:v>Compra</x:v>
      </x:c>
      <x:c r="I284" s="36" t="n">
        <x:v>0.0000010367255756844792</x:v>
      </x:c>
      <x:c r="J284" s="33" t="str">
        <x:v>C05E_TT10_LK_BSE1.SLDPRT</x:v>
      </x:c>
      <x:c r="K284" s="33" t="str">
        <x:v>CAD_volume_x_specified_density</x:v>
      </x:c>
    </x:row>
    <x:row r="285" ht="32" customHeight="1">
      <x:c r="A285" s="33" t="n">
        <x:v>281</x:v>
      </x:c>
      <x:c r="B285" s="33" t="str">
        <x:v>TT10_LK_GTCA100</x:v>
      </x:c>
      <x:c r="C285" s="33" t="n">
        <x:v>2</x:v>
      </x:c>
      <x:c r="D285" s="34" t="str">
        <x:v>Magnet-Schultz GTCA100X43A02,24V,S1: envolvente e interfaces publicadas; no CAD oficial</x:v>
      </x:c>
      <x:c r="E285" s="34" t="str">
        <x:v>Equipo comercial condicional; polvo desconocido</x:v>
      </x:c>
      <x:c r="F285" s="35"/>
      <x:c r="G285" s="35" t="str">
        <x:f>IF(F285="","",C285*F285)</x:f>
      </x:c>
      <x:c r="H285" s="33" t="str">
        <x:v>Compra</x:v>
      </x:c>
      <x:c r="I285" s="36" t="n">
        <x:v>0.000714261504221217</x:v>
      </x:c>
      <x:c r="J285" s="33" t="str">
        <x:v>C05E_TT10_LK_GTCA100.SLDPRT</x:v>
      </x:c>
      <x:c r="K285" s="33" t="str">
        <x:v>OEM_mass_required</x:v>
      </x:c>
    </x:row>
    <x:row r="286" ht="32" customHeight="1">
      <x:c r="A286" s="33" t="n">
        <x:v>282</x:v>
      </x:c>
      <x:c r="B286" s="33" t="str">
        <x:v>TT10_LK_GUIA</x:v>
      </x:c>
      <x:c r="C286" s="33" t="n">
        <x:v>2</x:v>
      </x:c>
      <x:c r="D286" s="34" t="str">
        <x:v>Pestillo: guia abierta20.4x20.4, brazo25x42, pie80x12; asiento solenoide110/88</x:v>
      </x:c>
      <x:c r="E286" s="34" t="str">
        <x:v>ASTM A36</x:v>
      </x:c>
      <x:c r="F286" s="35" t="n">
        <x:v>4.759254998664338</x:v>
      </x:c>
      <x:c r="G286" s="35" t="n">
        <x:f>IF(F286="","",C286*F286)</x:f>
        <x:v>9.518509997328676</x:v>
      </x:c>
      <x:c r="H286" s="33" t="str">
        <x:v>Fabricación</x:v>
      </x:c>
      <x:c r="I286" s="36" t="n">
        <x:v>0.0006062745221228457</x:v>
      </x:c>
      <x:c r="J286" s="33" t="str">
        <x:v>C05E_TT10_LK_GUIA.SLDPRT</x:v>
      </x:c>
      <x:c r="K286" s="33" t="str">
        <x:v>CAD_volume_x_specified_density</x:v>
      </x:c>
    </x:row>
    <x:row r="287" ht="32" customHeight="1">
      <x:c r="A287" s="33" t="n">
        <x:v>283</x:v>
      </x:c>
      <x:c r="B287" s="33" t="str">
        <x:v>TT10_LK_LAMINA</x:v>
      </x:c>
      <x:c r="C287" s="33" t="n">
        <x:v>2</x:v>
      </x:c>
      <x:c r="D287" s="34" t="str">
        <x:v>Resorte de lamina20x1.8, longitud activa330, precarga equivalente50mm; forma instalada; horquillaU R6.5, sin esquina interna recta</x:v>
      </x:c>
      <x:c r="E287" s="34" t="str">
        <x:v>51CrV4 templado/revenido; Rp0.2≥1000MPa,Rm≥1250MPa; superficie y fatiga por verificar</x:v>
      </x:c>
      <x:c r="F287" s="35" t="n">
        <x:v>0.09318655038050232</x:v>
      </x:c>
      <x:c r="G287" s="35" t="n">
        <x:f>IF(F287="","",C287*F287)</x:f>
        <x:v>0.18637310076100463</x:v>
      </x:c>
      <x:c r="H287" s="33" t="str">
        <x:v>Fabricación</x:v>
      </x:c>
      <x:c r="I287" s="36" t="n">
        <x:v>0.000011870898137643607</x:v>
      </x:c>
      <x:c r="J287" s="33" t="str">
        <x:v>C05E_TT10_LK_LAMINA.SLDPRT</x:v>
      </x:c>
      <x:c r="K287" s="33" t="str">
        <x:v>CAD_volume_x_specified_density</x:v>
      </x:c>
    </x:row>
    <x:row r="288" ht="32" customHeight="1">
      <x:c r="A288" s="33" t="n">
        <x:v>284</x:v>
      </x:c>
      <x:c r="B288" s="33" t="str">
        <x:v>TT10_LK_MORDAZA_LAMINA</x:v>
      </x:c>
      <x:c r="C288" s="33" t="n">
        <x:v>2</x:v>
      </x:c>
      <x:c r="D288" s="34" t="str">
        <x:v>Mordaza30x20x9.1 para resorte; no soldar ni taladrar zona activa de la lamina</x:v>
      </x:c>
      <x:c r="E288" s="34" t="str">
        <x:v>ASTM A36</x:v>
      </x:c>
      <x:c r="F288" s="35" t="n">
        <x:v>0.040490567222852214</x:v>
      </x:c>
      <x:c r="G288" s="35" t="n">
        <x:f>IF(F288="","",C288*F288)</x:f>
        <x:v>0.08098113444570443</x:v>
      </x:c>
      <x:c r="H288" s="33" t="str">
        <x:v>Fabricación</x:v>
      </x:c>
      <x:c r="I288" s="36" t="n">
        <x:v>0.0000051580340411276704</x:v>
      </x:c>
      <x:c r="J288" s="33" t="str">
        <x:v>C05E_TT10_LK_MORDAZA_LAMINA.SLDPRT</x:v>
      </x:c>
      <x:c r="K288" s="33" t="str">
        <x:v>CAD_volume_x_specified_density</x:v>
      </x:c>
    </x:row>
    <x:row r="289" ht="32" customHeight="1">
      <x:c r="A289" s="33" t="n">
        <x:v>285</x:v>
      </x:c>
      <x:c r="B289" s="33" t="str">
        <x:v>TT10_LK_NL0</x:v>
      </x:c>
      <x:c r="C289" s="33" t="n">
        <x:v>2</x:v>
      </x:c>
      <x:c r="D289" s="34" t="str">
        <x:v>TuercaM6clase8, retencion positiva segun montaje</x:v>
      </x:c>
      <x:c r="E289" s="34" t="str">
        <x:v>Tuerca clase 8 / ISO 898-2</x:v>
      </x:c>
      <x:c r="F289" s="35" t="n">
        <x:v>0.002289382104973219</x:v>
      </x:c>
      <x:c r="G289" s="35" t="n">
        <x:f>IF(F289="","",C289*F289)</x:f>
        <x:v>0.004578764209946438</x:v>
      </x:c>
      <x:c r="H289" s="33" t="str">
        <x:v>Compra</x:v>
      </x:c>
      <x:c r="I289" s="36" t="n">
        <x:v>2.916410324806648e-7</x:v>
      </x:c>
      <x:c r="J289" s="33" t="str">
        <x:v>C05E_TT10_LK_NL0.SLDPRT</x:v>
      </x:c>
      <x:c r="K289" s="33" t="str">
        <x:v>CAD_volume_x_specified_density</x:v>
      </x:c>
    </x:row>
    <x:row r="290" ht="32" customHeight="1">
      <x:c r="A290" s="33" t="n">
        <x:v>286</x:v>
      </x:c>
      <x:c r="B290" s="33" t="str">
        <x:v>TT10_LK_NT</x:v>
      </x:c>
      <x:c r="C290" s="33" t="n">
        <x:v>2</x:v>
      </x:c>
      <x:c r="D290" s="34" t="str">
        <x:v>TuercaM6clase8, retencion positiva segun montaje</x:v>
      </x:c>
      <x:c r="E290" s="34" t="str">
        <x:v>Tuerca clase 8 / ISO 898-2</x:v>
      </x:c>
      <x:c r="F290" s="35" t="n">
        <x:v>0.0022893821049734297</x:v>
      </x:c>
      <x:c r="G290" s="35" t="n">
        <x:f>IF(F290="","",C290*F290)</x:f>
        <x:v>0.004578764209946859</x:v>
      </x:c>
      <x:c r="H290" s="33" t="str">
        <x:v>Compra</x:v>
      </x:c>
      <x:c r="I290" s="36" t="n">
        <x:v>2.916410324806917e-7</x:v>
      </x:c>
      <x:c r="J290" s="33" t="str">
        <x:v>C05E_TT10_LK_NT.SLDPRT</x:v>
      </x:c>
      <x:c r="K290" s="33" t="str">
        <x:v>CAD_volume_x_specified_density</x:v>
      </x:c>
    </x:row>
    <x:row r="291" ht="32" customHeight="1">
      <x:c r="A291" s="33" t="n">
        <x:v>287</x:v>
      </x:c>
      <x:c r="B291" s="33" t="str">
        <x:v>TT10_LK_PESTILLO</x:v>
      </x:c>
      <x:c r="C291" s="33" t="n">
        <x:v>2</x:v>
      </x:c>
      <x:c r="D291" s="34" t="str">
        <x:v>Pestillo42CrMo4+QT, punta20x20, enganche radial nominal9mm, retirada25mm; M12 liberacion</x:v>
      </x:c>
      <x:c r="E291" s="34" t="str">
        <x:v>AISI 4140 bonificado</x:v>
      </x:c>
      <x:c r="F291" s="35" t="n">
        <x:v>0.23167821489326215</x:v>
      </x:c>
      <x:c r="G291" s="35" t="n">
        <x:f>IF(F291="","",C291*F291)</x:f>
        <x:v>0.4633564297865243</x:v>
      </x:c>
      <x:c r="H291" s="33" t="str">
        <x:v>Fabricación</x:v>
      </x:c>
      <x:c r="I291" s="36" t="n">
        <x:v>0.000029513148394046136</x:v>
      </x:c>
      <x:c r="J291" s="33" t="str">
        <x:v>C05E_TT10_LK_PESTILLO.SLDPRT</x:v>
      </x:c>
      <x:c r="K291" s="33" t="str">
        <x:v>CAD_volume_x_specified_density</x:v>
      </x:c>
    </x:row>
    <x:row r="292" ht="32" customHeight="1">
      <x:c r="A292" s="33" t="n">
        <x:v>288</x:v>
      </x:c>
      <x:c r="B292" s="33" t="str">
        <x:v>TT10_LK_SENSOR</x:v>
      </x:c>
      <x:c r="C292" s="33" t="n">
        <x:v>2</x:v>
      </x:c>
      <x:c r="D292" s="34" t="str">
        <x:v>ifmIE5338: sensor ordinarioPNP de enganche; M8x1, cara Y22, entrehierro nominal1mm</x:v>
      </x:c>
      <x:c r="E292" s="34" t="str">
        <x:v>Sensor comercial; materiales según referencia OEM</x:v>
      </x:c>
      <x:c r="F292" s="35"/>
      <x:c r="G292" s="35" t="str">
        <x:f>IF(F292="","",C292*F292)</x:f>
      </x:c>
      <x:c r="H292" s="33" t="str">
        <x:v>Compra</x:v>
      </x:c>
      <x:c r="I292" s="36" t="n">
        <x:v>0.000002779361784554525</x:v>
      </x:c>
      <x:c r="J292" s="33" t="str">
        <x:v>C05E_TT10_LK_SENSOR.SLDPRT</x:v>
      </x:c>
      <x:c r="K292" s="33" t="str">
        <x:v>OEM_mass_required</x:v>
      </x:c>
    </x:row>
    <x:row r="293" ht="32" customHeight="1">
      <x:c r="A293" s="33" t="n">
        <x:v>289</x:v>
      </x:c>
      <x:c r="B293" s="33" t="str">
        <x:v>TT10_LK_SOP_SENSOR</x:v>
      </x:c>
      <x:c r="C293" s="33" t="n">
        <x:v>2</x:v>
      </x:c>
      <x:c r="D293" s="34" t="str">
        <x:v>Soporte desmontable: sensor a cara real del pestillo; dosM6x20, sin soldar a la guia</x:v>
      </x:c>
      <x:c r="E293" s="34" t="str">
        <x:v>ASTM A36</x:v>
      </x:c>
      <x:c r="F293" s="35" t="n">
        <x:v>0.09700064460735247</x:v>
      </x:c>
      <x:c r="G293" s="35" t="n">
        <x:f>IF(F293="","",C293*F293)</x:f>
        <x:v>0.19400128921470494</x:v>
      </x:c>
      <x:c r="H293" s="33" t="str">
        <x:v>Fabricación</x:v>
      </x:c>
      <x:c r="I293" s="36" t="n">
        <x:v>0.000012356770013675474</x:v>
      </x:c>
      <x:c r="J293" s="33" t="str">
        <x:v>C05E_TT10_LK_SOP_SENSOR.SLDPRT</x:v>
      </x:c>
      <x:c r="K293" s="33" t="str">
        <x:v>CAD_volume_x_specified_density</x:v>
      </x:c>
    </x:row>
    <x:row r="294" ht="32" customHeight="1">
      <x:c r="A294" s="33" t="n">
        <x:v>290</x:v>
      </x:c>
      <x:c r="B294" s="33" t="str">
        <x:v>TT10_LK_TAPA</x:v>
      </x:c>
      <x:c r="C294" s="33" t="n">
        <x:v>2</x:v>
      </x:c>
      <x:c r="D294" s="34" t="str">
        <x:v>Tapa de guia desmontable; tornillo de recorrido y fijaciones de tapa pendientes de comprobacion</x:v>
      </x:c>
      <x:c r="E294" s="34" t="str">
        <x:v>Clase 8.8 / ISO 898-1</x:v>
      </x:c>
      <x:c r="F294" s="35" t="n">
        <x:v>0.3061001139193584</x:v>
      </x:c>
      <x:c r="G294" s="35" t="n">
        <x:f>IF(F294="","",C294*F294)</x:f>
        <x:v>0.6122002278387167</x:v>
      </x:c>
      <x:c r="H294" s="33" t="str">
        <x:v>Compra</x:v>
      </x:c>
      <x:c r="I294" s="36" t="n">
        <x:v>0.000038993645085268586</x:v>
      </x:c>
      <x:c r="J294" s="33" t="str">
        <x:v>C05E_TT10_LK_TAPA.SLDPRT</x:v>
      </x:c>
      <x:c r="K294" s="33" t="str">
        <x:v>CAD_volume_x_specified_density</x:v>
      </x:c>
    </x:row>
    <x:row r="295" ht="32" customHeight="1">
      <x:c r="A295" s="33" t="n">
        <x:v>291</x:v>
      </x:c>
      <x:c r="B295" s="33" t="str">
        <x:v>TT10_LK_TIRANTE</x:v>
      </x:c>
      <x:c r="C295" s="33" t="n">
        <x:v>2</x:v>
      </x:c>
      <x:c r="D295" s="34" t="str">
        <x:v>TiranteM12 nominal entre pestillo y solenoide; longitud ajustable, conexion OEM por verificar</x:v>
      </x:c>
      <x:c r="E295" s="34" t="str">
        <x:v>ASTM A36</x:v>
      </x:c>
      <x:c r="F295" s="35" t="n">
        <x:v>0.06747387037673533</x:v>
      </x:c>
      <x:c r="G295" s="35" t="n">
        <x:f>IF(F295="","",C295*F295)</x:f>
        <x:v>0.13494774075347066</x:v>
      </x:c>
      <x:c r="H295" s="33" t="str">
        <x:v>Fabricación</x:v>
      </x:c>
      <x:c r="I295" s="36" t="n">
        <x:v>0.000008595397500221061</x:v>
      </x:c>
      <x:c r="J295" s="33" t="str">
        <x:v>C05E_TT10_LK_TIRANTE.SLDPRT</x:v>
      </x:c>
      <x:c r="K295" s="33" t="str">
        <x:v>CAD_volume_x_specified_density</x:v>
      </x:c>
    </x:row>
    <x:row r="296" ht="32" customHeight="1">
      <x:c r="A296" s="33" t="n">
        <x:v>292</x:v>
      </x:c>
      <x:c r="B296" s="33" t="str">
        <x:v>TT10_LK_TOPE</x:v>
      </x:c>
      <x:c r="C296" s="33" t="n">
        <x:v>2</x:v>
      </x:c>
      <x:c r="D296" s="34" t="str">
        <x:v>Tornillo de hombroD8, paso de recorrido; conexion roscada nominal pendiente de detalle</x:v>
      </x:c>
      <x:c r="E296" s="34" t="str">
        <x:v>Clase 10.9 / ISO 898-1</x:v>
      </x:c>
      <x:c r="F296" s="35" t="n">
        <x:v>0.026560438010142084</x:v>
      </x:c>
      <x:c r="G296" s="35" t="n">
        <x:f>IF(F296="","",C296*F296)</x:f>
        <x:v>0.05312087602028417</x:v>
      </x:c>
      <x:c r="H296" s="33" t="str">
        <x:v>Compra</x:v>
      </x:c>
      <x:c r="I296" s="36" t="n">
        <x:v>0.000003383495287916189</x:v>
      </x:c>
      <x:c r="J296" s="33" t="str">
        <x:v>C05E_TT10_LK_TOPE.SLDPRT</x:v>
      </x:c>
      <x:c r="K296" s="33" t="str">
        <x:v>CAD_volume_x_specified_density</x:v>
      </x:c>
    </x:row>
    <x:row r="297" ht="32" customHeight="1">
      <x:c r="A297" s="33" t="n">
        <x:v>293</x:v>
      </x:c>
      <x:c r="B297" s="33" t="str">
        <x:v>TT10_LK_WC0</x:v>
      </x:c>
      <x:c r="C297" s="33" t="n">
        <x:v>2</x:v>
      </x:c>
      <x:c r="D297" s="34" t="str">
        <x:v>ArandelaD12/d6.4/t1.6</x:v>
      </x:c>
      <x:c r="E297" s="34" t="str">
        <x:v>Arandela endurecida 300 HV / ISO 7089</x:v>
      </x:c>
      <x:c r="F297" s="35" t="n">
        <x:v>0.0010164484800609652</x:v>
      </x:c>
      <x:c r="G297" s="35" t="n">
        <x:f>IF(F297="","",C297*F297)</x:f>
        <x:v>0.0020328969601219305</x:v>
      </x:c>
      <x:c r="H297" s="33" t="str">
        <x:v>Compra</x:v>
      </x:c>
      <x:c r="I297" s="36" t="n">
        <x:v>1.2948388281031403e-7</x:v>
      </x:c>
      <x:c r="J297" s="33" t="str">
        <x:v>C05E_TT10_LK_WC0.SLDPRT</x:v>
      </x:c>
      <x:c r="K297" s="33" t="str">
        <x:v>CAD_volume_x_specified_density</x:v>
      </x:c>
    </x:row>
    <x:row r="298" ht="32" customHeight="1">
      <x:c r="A298" s="33" t="n">
        <x:v>294</x:v>
      </x:c>
      <x:c r="B298" s="33" t="str">
        <x:v>TT10_LK_WC1</x:v>
      </x:c>
      <x:c r="C298" s="33" t="n">
        <x:v>2</x:v>
      </x:c>
      <x:c r="D298" s="34" t="str">
        <x:v>ArandelaD12/d6.4/t1.6</x:v>
      </x:c>
      <x:c r="E298" s="34" t="str">
        <x:v>Arandela endurecida 300 HV / ISO 7089</x:v>
      </x:c>
      <x:c r="F298" s="35" t="n">
        <x:v>0.0010164484800609652</x:v>
      </x:c>
      <x:c r="G298" s="35" t="n">
        <x:f>IF(F298="","",C298*F298)</x:f>
        <x:v>0.0020328969601219305</x:v>
      </x:c>
      <x:c r="H298" s="33" t="str">
        <x:v>Compra</x:v>
      </x:c>
      <x:c r="I298" s="36" t="n">
        <x:v>1.2948388281031403e-7</x:v>
      </x:c>
      <x:c r="J298" s="33" t="str">
        <x:v>C05E_TT10_LK_WC1.SLDPRT</x:v>
      </x:c>
      <x:c r="K298" s="33" t="str">
        <x:v>CAD_volume_x_specified_density</x:v>
      </x:c>
    </x:row>
    <x:row r="299" ht="32" customHeight="1">
      <x:c r="A299" s="33" t="n">
        <x:v>295</x:v>
      </x:c>
      <x:c r="B299" s="33" t="str">
        <x:v>TT10_LK_WC2</x:v>
      </x:c>
      <x:c r="C299" s="33" t="n">
        <x:v>2</x:v>
      </x:c>
      <x:c r="D299" s="34" t="str">
        <x:v>ArandelaD12/d6.4/t1.6</x:v>
      </x:c>
      <x:c r="E299" s="34" t="str">
        <x:v>Arandela endurecida 300 HV / ISO 7089</x:v>
      </x:c>
      <x:c r="F299" s="35" t="n">
        <x:v>0.0010164484800609282</x:v>
      </x:c>
      <x:c r="G299" s="35" t="n">
        <x:f>IF(F299="","",C299*F299)</x:f>
        <x:v>0.0020328969601218563</x:v>
      </x:c>
      <x:c r="H299" s="33" t="str">
        <x:v>Compra</x:v>
      </x:c>
      <x:c r="I299" s="36" t="n">
        <x:v>1.2948388281030932e-7</x:v>
      </x:c>
      <x:c r="J299" s="33" t="str">
        <x:v>C05E_TT10_LK_WC2.SLDPRT</x:v>
      </x:c>
      <x:c r="K299" s="33" t="str">
        <x:v>CAD_volume_x_specified_density</x:v>
      </x:c>
    </x:row>
    <x:row r="300" ht="32" customHeight="1">
      <x:c r="A300" s="33" t="n">
        <x:v>296</x:v>
      </x:c>
      <x:c r="B300" s="33" t="str">
        <x:v>TT10_LK_WC3</x:v>
      </x:c>
      <x:c r="C300" s="33" t="n">
        <x:v>2</x:v>
      </x:c>
      <x:c r="D300" s="34" t="str">
        <x:v>ArandelaD12/d6.4/t1.6</x:v>
      </x:c>
      <x:c r="E300" s="34" t="str">
        <x:v>Arandela endurecida 300 HV / ISO 7089</x:v>
      </x:c>
      <x:c r="F300" s="35" t="n">
        <x:v>0.0010164484800609282</x:v>
      </x:c>
      <x:c r="G300" s="35" t="n">
        <x:f>IF(F300="","",C300*F300)</x:f>
        <x:v>0.0020328969601218563</x:v>
      </x:c>
      <x:c r="H300" s="33" t="str">
        <x:v>Compra</x:v>
      </x:c>
      <x:c r="I300" s="36" t="n">
        <x:v>1.2948388281030932e-7</x:v>
      </x:c>
      <x:c r="J300" s="33" t="str">
        <x:v>C05E_TT10_LK_WC3.SLDPRT</x:v>
      </x:c>
      <x:c r="K300" s="33" t="str">
        <x:v>CAD_volume_x_specified_density</x:v>
      </x:c>
    </x:row>
    <x:row r="301" ht="32" customHeight="1">
      <x:c r="A301" s="33" t="n">
        <x:v>297</x:v>
      </x:c>
      <x:c r="B301" s="33" t="str">
        <x:v>TT10_LK_WL0</x:v>
      </x:c>
      <x:c r="C301" s="33" t="n">
        <x:v>2</x:v>
      </x:c>
      <x:c r="D301" s="34" t="str">
        <x:v>ArandelaD12/d6.4/t1.6</x:v>
      </x:c>
      <x:c r="E301" s="34" t="str">
        <x:v>Arandela endurecida 300 HV / ISO 7089</x:v>
      </x:c>
      <x:c r="F301" s="35" t="n">
        <x:v>0.001016448480061139</x:v>
      </x:c>
      <x:c r="G301" s="35" t="n">
        <x:f>IF(F301="","",C301*F301)</x:f>
        <x:v>0.002032896960122278</x:v>
      </x:c>
      <x:c r="H301" s="33" t="str">
        <x:v>Compra</x:v>
      </x:c>
      <x:c r="I301" s="36" t="n">
        <x:v>1.2948388281033616e-7</x:v>
      </x:c>
      <x:c r="J301" s="33" t="str">
        <x:v>C05E_TT10_LK_WL0.SLDPRT</x:v>
      </x:c>
      <x:c r="K301" s="33" t="str">
        <x:v>CAD_volume_x_specified_density</x:v>
      </x:c>
    </x:row>
    <x:row r="302" ht="32" customHeight="1">
      <x:c r="A302" s="33" t="n">
        <x:v>298</x:v>
      </x:c>
      <x:c r="B302" s="33" t="str">
        <x:v>TT10_LK_WS0</x:v>
      </x:c>
      <x:c r="C302" s="33" t="n">
        <x:v>2</x:v>
      </x:c>
      <x:c r="D302" s="34" t="str">
        <x:v>ArandelaD20/d10.5/t2</x:v>
      </x:c>
      <x:c r="E302" s="34" t="str">
        <x:v>Arandela endurecida 300 HV / ISO 7089</x:v>
      </x:c>
      <x:c r="F302" s="35" t="n">
        <x:v>0.003572835150157028</x:v>
      </x:c>
      <x:c r="G302" s="35" t="n">
        <x:f>IF(F302="","",C302*F302)</x:f>
        <x:v>0.007145670300314056</x:v>
      </x:c>
      <x:c r="H302" s="33" t="str">
        <x:v>Compra</x:v>
      </x:c>
      <x:c r="I302" s="36" t="n">
        <x:v>4.551382356887934e-7</x:v>
      </x:c>
      <x:c r="J302" s="33" t="str">
        <x:v>C05E_TT10_LK_WS0.SLDPRT</x:v>
      </x:c>
      <x:c r="K302" s="33" t="str">
        <x:v>CAD_volume_x_specified_density</x:v>
      </x:c>
    </x:row>
    <x:row r="303" ht="32" customHeight="1">
      <x:c r="A303" s="33" t="n">
        <x:v>299</x:v>
      </x:c>
      <x:c r="B303" s="33" t="str">
        <x:v>TT10_LK_WS1</x:v>
      </x:c>
      <x:c r="C303" s="33" t="n">
        <x:v>2</x:v>
      </x:c>
      <x:c r="D303" s="34" t="str">
        <x:v>ArandelaD20/d10.5/t2</x:v>
      </x:c>
      <x:c r="E303" s="34" t="str">
        <x:v>Arandela endurecida 300 HV / ISO 7089</x:v>
      </x:c>
      <x:c r="F303" s="35" t="n">
        <x:v>0.003572835150157028</x:v>
      </x:c>
      <x:c r="G303" s="35" t="n">
        <x:f>IF(F303="","",C303*F303)</x:f>
        <x:v>0.007145670300314056</x:v>
      </x:c>
      <x:c r="H303" s="33" t="str">
        <x:v>Compra</x:v>
      </x:c>
      <x:c r="I303" s="36" t="n">
        <x:v>4.551382356887934e-7</x:v>
      </x:c>
      <x:c r="J303" s="33" t="str">
        <x:v>C05E_TT10_LK_WS1.SLDPRT</x:v>
      </x:c>
      <x:c r="K303" s="33" t="str">
        <x:v>CAD_volume_x_specified_density</x:v>
      </x:c>
    </x:row>
    <x:row r="304" ht="32" customHeight="1">
      <x:c r="A304" s="33" t="n">
        <x:v>300</x:v>
      </x:c>
      <x:c r="B304" s="33" t="str">
        <x:v>TT10_LK_WS2</x:v>
      </x:c>
      <x:c r="C304" s="33" t="n">
        <x:v>2</x:v>
      </x:c>
      <x:c r="D304" s="34" t="str">
        <x:v>ArandelaD20/d10.5/t2</x:v>
      </x:c>
      <x:c r="E304" s="34" t="str">
        <x:v>Arandela endurecida 300 HV / ISO 7089</x:v>
      </x:c>
      <x:c r="F304" s="35" t="n">
        <x:v>0.003572835150157028</x:v>
      </x:c>
      <x:c r="G304" s="35" t="n">
        <x:f>IF(F304="","",C304*F304)</x:f>
        <x:v>0.007145670300314056</x:v>
      </x:c>
      <x:c r="H304" s="33" t="str">
        <x:v>Compra</x:v>
      </x:c>
      <x:c r="I304" s="36" t="n">
        <x:v>4.551382356887934e-7</x:v>
      </x:c>
      <x:c r="J304" s="33" t="str">
        <x:v>C05E_TT10_LK_WS2.SLDPRT</x:v>
      </x:c>
      <x:c r="K304" s="33" t="str">
        <x:v>CAD_volume_x_specified_density</x:v>
      </x:c>
    </x:row>
    <x:row r="305" ht="32" customHeight="1">
      <x:c r="A305" s="33" t="n">
        <x:v>301</x:v>
      </x:c>
      <x:c r="B305" s="33" t="str">
        <x:v>TT10_LK_WS3</x:v>
      </x:c>
      <x:c r="C305" s="33" t="n">
        <x:v>2</x:v>
      </x:c>
      <x:c r="D305" s="34" t="str">
        <x:v>ArandelaD20/d10.5/t2</x:v>
      </x:c>
      <x:c r="E305" s="34" t="str">
        <x:v>Arandela endurecida 300 HV / ISO 7089</x:v>
      </x:c>
      <x:c r="F305" s="35" t="n">
        <x:v>0.003572835150157028</x:v>
      </x:c>
      <x:c r="G305" s="35" t="n">
        <x:f>IF(F305="","",C305*F305)</x:f>
        <x:v>0.007145670300314056</x:v>
      </x:c>
      <x:c r="H305" s="33" t="str">
        <x:v>Compra</x:v>
      </x:c>
      <x:c r="I305" s="36" t="n">
        <x:v>4.551382356887934e-7</x:v>
      </x:c>
      <x:c r="J305" s="33" t="str">
        <x:v>C05E_TT10_LK_WS3.SLDPRT</x:v>
      </x:c>
      <x:c r="K305" s="33" t="str">
        <x:v>CAD_volume_x_specified_density</x:v>
      </x:c>
    </x:row>
    <x:row r="306" ht="32" customHeight="1">
      <x:c r="A306" s="33" t="n">
        <x:v>302</x:v>
      </x:c>
      <x:c r="B306" s="33" t="str">
        <x:v>TT10_LK_WSE0</x:v>
      </x:c>
      <x:c r="C306" s="33" t="n">
        <x:v>2</x:v>
      </x:c>
      <x:c r="D306" s="34" t="str">
        <x:v>ArandelaISO7089 M6 200HV</x:v>
      </x:c>
      <x:c r="E306" s="34" t="str">
        <x:v>Arandela endurecida 200 HV / ISO 7089</x:v>
      </x:c>
      <x:c r="F306" s="35" t="n">
        <x:v>0.0010164484800611407</x:v>
      </x:c>
      <x:c r="G306" s="35" t="n">
        <x:f>IF(F306="","",C306*F306)</x:f>
        <x:v>0.0020328969601222813</x:v>
      </x:c>
      <x:c r="H306" s="33" t="str">
        <x:v>Compra</x:v>
      </x:c>
      <x:c r="I306" s="36" t="n">
        <x:v>1.294838828103364e-7</x:v>
      </x:c>
      <x:c r="J306" s="33" t="str">
        <x:v>C05E_TT10_LK_WSE0.SLDPRT</x:v>
      </x:c>
      <x:c r="K306" s="33" t="str">
        <x:v>CAD_volume_x_specified_density</x:v>
      </x:c>
    </x:row>
    <x:row r="307" ht="32" customHeight="1">
      <x:c r="A307" s="33" t="n">
        <x:v>303</x:v>
      </x:c>
      <x:c r="B307" s="33" t="str">
        <x:v>TT10_LK_WSE1</x:v>
      </x:c>
      <x:c r="C307" s="33" t="n">
        <x:v>2</x:v>
      </x:c>
      <x:c r="D307" s="34" t="str">
        <x:v>ArandelaISO7089 M6 200HV</x:v>
      </x:c>
      <x:c r="E307" s="34" t="str">
        <x:v>Arandela endurecida 200 HV / ISO 7089</x:v>
      </x:c>
      <x:c r="F307" s="35" t="n">
        <x:v>0.0010164484800611407</x:v>
      </x:c>
      <x:c r="G307" s="35" t="n">
        <x:f>IF(F307="","",C307*F307)</x:f>
        <x:v>0.0020328969601222813</x:v>
      </x:c>
      <x:c r="H307" s="33" t="str">
        <x:v>Compra</x:v>
      </x:c>
      <x:c r="I307" s="36" t="n">
        <x:v>1.294838828103364e-7</x:v>
      </x:c>
      <x:c r="J307" s="33" t="str">
        <x:v>C05E_TT10_LK_WSE1.SLDPRT</x:v>
      </x:c>
      <x:c r="K307" s="33" t="str">
        <x:v>CAD_volume_x_specified_density</x:v>
      </x:c>
    </x:row>
    <x:row r="308" ht="32" customHeight="1">
      <x:c r="A308" s="33" t="n">
        <x:v>304</x:v>
      </x:c>
      <x:c r="B308" s="33" t="str">
        <x:v>TT10_LK_WT</x:v>
      </x:c>
      <x:c r="C308" s="33" t="n">
        <x:v>2</x:v>
      </x:c>
      <x:c r="D308" s="34" t="str">
        <x:v>ArandelaD12/d6.4/t1.6</x:v>
      </x:c>
      <x:c r="E308" s="34" t="str">
        <x:v>Arandela endurecida 300 HV / ISO 7089</x:v>
      </x:c>
      <x:c r="F308" s="35" t="n">
        <x:v>0.001016448480061219</x:v>
      </x:c>
      <x:c r="G308" s="35" t="n">
        <x:f>IF(F308="","",C308*F308)</x:f>
        <x:v>0.002032896960122438</x:v>
      </x:c>
      <x:c r="H308" s="33" t="str">
        <x:v>Compra</x:v>
      </x:c>
      <x:c r="I308" s="36" t="n">
        <x:v>1.2948388281034635e-7</x:v>
      </x:c>
      <x:c r="J308" s="33" t="str">
        <x:v>C05E_TT10_LK_WT.SLDPRT</x:v>
      </x:c>
      <x:c r="K308" s="33" t="str">
        <x:v>CAD_volume_x_specified_density</x:v>
      </x:c>
    </x:row>
    <x:row r="309" ht="32" customHeight="1">
      <x:c r="A309" s="33" t="n">
        <x:v>305</x:v>
      </x:c>
      <x:c r="B309" s="33" t="str">
        <x:v>TT10_M006</x:v>
      </x:c>
      <x:c r="C309" s="33" t="n">
        <x:v>1</x:v>
      </x:c>
      <x:c r="D309" s="34" t="str">
        <x:v>Perfil tubular 200 x 150 x 10; L 2200</x:v>
      </x:c>
      <x:c r="E309" s="34" t="str">
        <x:v>S275J0H / EN 10219-1</x:v>
      </x:c>
      <x:c r="F309" s="35" t="n">
        <x:v>113.98200000000051</x:v>
      </x:c>
      <x:c r="G309" s="35" t="n">
        <x:f>IF(F309="","",C309*F309)</x:f>
        <x:v>113.98200000000051</x:v>
      </x:c>
      <x:c r="H309" s="33" t="str">
        <x:v>Fabricación</x:v>
      </x:c>
      <x:c r="I309" s="36" t="n">
        <x:v>0.014520000000000066</x:v>
      </x:c>
      <x:c r="J309" s="33" t="str">
        <x:v>C05E_TT10_M006.SLDPRT</x:v>
      </x:c>
      <x:c r="K309" s="33" t="str">
        <x:v>CAD_volume_x_specified_density</x:v>
      </x:c>
    </x:row>
    <x:row r="310" ht="32" customHeight="1">
      <x:c r="A310" s="33" t="n">
        <x:v>306</x:v>
      </x:c>
      <x:c r="B310" s="33" t="str">
        <x:v>TT10_M011</x:v>
      </x:c>
      <x:c r="C310" s="33" t="n">
        <x:v>1</x:v>
      </x:c>
      <x:c r="D310" s="34" t="str">
        <x:v>Perfil tubular 200 x 150 x 10; L 2200</x:v>
      </x:c>
      <x:c r="E310" s="34" t="str">
        <x:v>S275J0H / EN 10219-1</x:v>
      </x:c>
      <x:c r="F310" s="35" t="n">
        <x:v>113.98200000000051</x:v>
      </x:c>
      <x:c r="G310" s="35" t="n">
        <x:f>IF(F310="","",C310*F310)</x:f>
        <x:v>113.98200000000051</x:v>
      </x:c>
      <x:c r="H310" s="33" t="str">
        <x:v>Fabricación</x:v>
      </x:c>
      <x:c r="I310" s="36" t="n">
        <x:v>0.014520000000000066</x:v>
      </x:c>
      <x:c r="J310" s="33" t="str">
        <x:v>C05E_TT10_M011.SLDPRT</x:v>
      </x:c>
      <x:c r="K310" s="33" t="str">
        <x:v>CAD_volume_x_specified_density</x:v>
      </x:c>
    </x:row>
    <x:row r="311" ht="32" customHeight="1">
      <x:c r="A311" s="33" t="n">
        <x:v>307</x:v>
      </x:c>
      <x:c r="B311" s="33" t="str">
        <x:v>TT10_M016</x:v>
      </x:c>
      <x:c r="C311" s="33" t="n">
        <x:v>1</x:v>
      </x:c>
      <x:c r="D311" s="34" t="str">
        <x:v>Perfil tubular 150 x 100 x 8; L 4800</x:v>
      </x:c>
      <x:c r="E311" s="34" t="str">
        <x:v>S275J0H / EN 10219-1</x:v>
      </x:c>
      <x:c r="F311" s="35" t="n">
        <x:v>141.07391999999993</x:v>
      </x:c>
      <x:c r="G311" s="35" t="n">
        <x:f>IF(F311="","",C311*F311)</x:f>
        <x:v>141.07391999999993</x:v>
      </x:c>
      <x:c r="H311" s="33" t="str">
        <x:v>Fabricación</x:v>
      </x:c>
      <x:c r="I311" s="36" t="n">
        <x:v>0.017971199999999993</x:v>
      </x:c>
      <x:c r="J311" s="33" t="str">
        <x:v>C05E_TT10_M016.SLDPRT</x:v>
      </x:c>
      <x:c r="K311" s="33" t="str">
        <x:v>CAD_volume_x_specified_density</x:v>
      </x:c>
    </x:row>
    <x:row r="312" ht="32" customHeight="1">
      <x:c r="A312" s="33" t="n">
        <x:v>308</x:v>
      </x:c>
      <x:c r="B312" s="33" t="str">
        <x:v>TT10_M021</x:v>
      </x:c>
      <x:c r="C312" s="33" t="n">
        <x:v>1</x:v>
      </x:c>
      <x:c r="D312" s="34" t="str">
        <x:v>Perfil tubular 200 x 150 x 10; L 2200</x:v>
      </x:c>
      <x:c r="E312" s="34" t="str">
        <x:v>S275J0H / EN 10219-1</x:v>
      </x:c>
      <x:c r="F312" s="35" t="n">
        <x:v>113.98200000000051</x:v>
      </x:c>
      <x:c r="G312" s="35" t="n">
        <x:f>IF(F312="","",C312*F312)</x:f>
        <x:v>113.98200000000051</x:v>
      </x:c>
      <x:c r="H312" s="33" t="str">
        <x:v>Fabricación</x:v>
      </x:c>
      <x:c r="I312" s="36" t="n">
        <x:v>0.014520000000000066</x:v>
      </x:c>
      <x:c r="J312" s="33" t="str">
        <x:v>C05E_TT10_M021.SLDPRT</x:v>
      </x:c>
      <x:c r="K312" s="33" t="str">
        <x:v>CAD_volume_x_specified_density</x:v>
      </x:c>
    </x:row>
    <x:row r="313" ht="32" customHeight="1">
      <x:c r="A313" s="33" t="n">
        <x:v>309</x:v>
      </x:c>
      <x:c r="B313" s="33" t="str">
        <x:v>TT10_M026</x:v>
      </x:c>
      <x:c r="C313" s="33" t="n">
        <x:v>1</x:v>
      </x:c>
      <x:c r="D313" s="34" t="str">
        <x:v>Perfil tubular 150 x 100 x 8; L 3600</x:v>
      </x:c>
      <x:c r="E313" s="34" t="str">
        <x:v>S275J0H / EN 10219-1</x:v>
      </x:c>
      <x:c r="F313" s="35" t="n">
        <x:v>105.80544000000003</x:v>
      </x:c>
      <x:c r="G313" s="35" t="n">
        <x:f>IF(F313="","",C313*F313)</x:f>
        <x:v>105.80544000000003</x:v>
      </x:c>
      <x:c r="H313" s="33" t="str">
        <x:v>Fabricación</x:v>
      </x:c>
      <x:c r="I313" s="36" t="n">
        <x:v>0.013478400000000005</x:v>
      </x:c>
      <x:c r="J313" s="33" t="str">
        <x:v>C05E_TT10_M026.SLDPRT</x:v>
      </x:c>
      <x:c r="K313" s="33" t="str">
        <x:v>CAD_volume_x_specified_density</x:v>
      </x:c>
    </x:row>
    <x:row r="314" ht="32" customHeight="1">
      <x:c r="A314" s="33" t="n">
        <x:v>310</x:v>
      </x:c>
      <x:c r="B314" s="33" t="str">
        <x:v>TT10_M031</x:v>
      </x:c>
      <x:c r="C314" s="33" t="n">
        <x:v>1</x:v>
      </x:c>
      <x:c r="D314" s="34" t="str">
        <x:v>Pieza TT10_M031</x:v>
      </x:c>
      <x:c r="E314" s="34" t="str">
        <x:v>ASTM A36</x:v>
      </x:c>
      <x:c r="F314" s="35" t="n">
        <x:v>18.304140391755723</x:v>
      </x:c>
      <x:c r="G314" s="35" t="n">
        <x:f>IF(F314="","",C314*F314)</x:f>
        <x:v>18.304140391755723</x:v>
      </x:c>
      <x:c r="H314" s="33" t="str">
        <x:v>Fabricación</x:v>
      </x:c>
      <x:c r="I314" s="36" t="n">
        <x:v>0.002331737629523022</x:v>
      </x:c>
      <x:c r="J314" s="33" t="str">
        <x:v>C05E_TT10_M031.SLDPRT</x:v>
      </x:c>
      <x:c r="K314" s="33" t="str">
        <x:v>CAD_volume_x_specified_density</x:v>
      </x:c>
    </x:row>
    <x:row r="315" ht="32" customHeight="1">
      <x:c r="A315" s="33" t="n">
        <x:v>311</x:v>
      </x:c>
      <x:c r="B315" s="33" t="str">
        <x:v>TT10_M036</x:v>
      </x:c>
      <x:c r="C315" s="33" t="n">
        <x:v>1</x:v>
      </x:c>
      <x:c r="D315" s="34" t="str">
        <x:v>Pieza TT10_M036</x:v>
      </x:c>
      <x:c r="E315" s="34" t="str">
        <x:v>ASTM A36</x:v>
      </x:c>
      <x:c r="F315" s="35" t="n">
        <x:v>18.086399999999248</x:v>
      </x:c>
      <x:c r="G315" s="35" t="n">
        <x:f>IF(F315="","",C315*F315)</x:f>
        <x:v>18.086399999999248</x:v>
      </x:c>
      <x:c r="H315" s="33" t="str">
        <x:v>Fabricación</x:v>
      </x:c>
      <x:c r="I315" s="36" t="n">
        <x:v>0.002303999999999904</x:v>
      </x:c>
      <x:c r="J315" s="33" t="str">
        <x:v>C05E_TT10_M036.SLDPRT</x:v>
      </x:c>
      <x:c r="K315" s="33" t="str">
        <x:v>CAD_volume_x_specified_density</x:v>
      </x:c>
    </x:row>
    <x:row r="316" ht="32" customHeight="1">
      <x:c r="A316" s="33" t="n">
        <x:v>312</x:v>
      </x:c>
      <x:c r="B316" s="33" t="str">
        <x:v>TT10_M041</x:v>
      </x:c>
      <x:c r="C316" s="33" t="n">
        <x:v>1</x:v>
      </x:c>
      <x:c r="D316" s="34" t="str">
        <x:v>Perfil tubular 200 x 150 x 10; L 2200</x:v>
      </x:c>
      <x:c r="E316" s="34" t="str">
        <x:v>S275J0H / EN 10219-1</x:v>
      </x:c>
      <x:c r="F316" s="35" t="n">
        <x:v>113.98200000000051</x:v>
      </x:c>
      <x:c r="G316" s="35" t="n">
        <x:f>IF(F316="","",C316*F316)</x:f>
        <x:v>113.98200000000051</x:v>
      </x:c>
      <x:c r="H316" s="33" t="str">
        <x:v>Fabricación</x:v>
      </x:c>
      <x:c r="I316" s="36" t="n">
        <x:v>0.014520000000000066</x:v>
      </x:c>
      <x:c r="J316" s="33" t="str">
        <x:v>C05E_TT10_M041.SLDPRT</x:v>
      </x:c>
      <x:c r="K316" s="33" t="str">
        <x:v>CAD_volume_x_specified_density</x:v>
      </x:c>
    </x:row>
    <x:row r="317" ht="32" customHeight="1">
      <x:c r="A317" s="33" t="n">
        <x:v>313</x:v>
      </x:c>
      <x:c r="B317" s="33" t="str">
        <x:v>TT10_M046</x:v>
      </x:c>
      <x:c r="C317" s="33" t="n">
        <x:v>1</x:v>
      </x:c>
      <x:c r="D317" s="34" t="str">
        <x:v>Perfil tubular 400 x 200 x 16; L 5600</x:v>
      </x:c>
      <x:c r="E317" s="34" t="str">
        <x:v>S275J0H / EN 10219-1</x:v>
      </x:c>
      <x:c r="F317" s="35" t="n">
        <x:v>799.0169599999934</x:v>
      </x:c>
      <x:c r="G317" s="35" t="n">
        <x:f>IF(F317="","",C317*F317)</x:f>
        <x:v>799.0169599999934</x:v>
      </x:c>
      <x:c r="H317" s="33" t="str">
        <x:v>Fabricación</x:v>
      </x:c>
      <x:c r="I317" s="36" t="n">
        <x:v>0.10178559999999917</x:v>
      </x:c>
      <x:c r="J317" s="33" t="str">
        <x:v>C05E_TT10_M046.SLDPRT</x:v>
      </x:c>
      <x:c r="K317" s="33" t="str">
        <x:v>CAD_volume_x_specified_density</x:v>
      </x:c>
    </x:row>
    <x:row r="318" ht="32" customHeight="1">
      <x:c r="A318" s="33" t="n">
        <x:v>314</x:v>
      </x:c>
      <x:c r="B318" s="33" t="str">
        <x:v>TT10_M051</x:v>
      </x:c>
      <x:c r="C318" s="33" t="n">
        <x:v>1</x:v>
      </x:c>
      <x:c r="D318" s="34" t="str">
        <x:v>Pieza TT10_M051</x:v>
      </x:c>
      <x:c r="E318" s="34" t="str">
        <x:v>ASTM A36</x:v>
      </x:c>
      <x:c r="F318" s="35" t="n">
        <x:v>18.11697370952771</x:v>
      </x:c>
      <x:c r="G318" s="35" t="n">
        <x:f>IF(F318="","",C318*F318)</x:f>
        <x:v>18.11697370952771</x:v>
      </x:c>
      <x:c r="H318" s="33" t="str">
        <x:v>Fabricación</x:v>
      </x:c>
      <x:c r="I318" s="36" t="n">
        <x:v>0.002307894740067224</x:v>
      </x:c>
      <x:c r="J318" s="33" t="str">
        <x:v>C05E_TT10_M051.SLDPRT</x:v>
      </x:c>
      <x:c r="K318" s="33" t="str">
        <x:v>CAD_volume_x_specified_density</x:v>
      </x:c>
    </x:row>
    <x:row r="319" ht="32" customHeight="1">
      <x:c r="A319" s="33" t="n">
        <x:v>315</x:v>
      </x:c>
      <x:c r="B319" s="33" t="str">
        <x:v>TT10_M056</x:v>
      </x:c>
      <x:c r="C319" s="33" t="n">
        <x:v>1</x:v>
      </x:c>
      <x:c r="D319" s="34" t="str">
        <x:v>Cama elastomérica25 perforada para casquillos limitadores</x:v>
      </x:c>
      <x:c r="E319" s="34" t="str">
        <x:v>Elastómero; curva dinámica de compresión por definir</x:v>
      </x:c>
      <x:c r="F319" s="35" t="n">
        <x:v>47.87579758017719</x:v>
      </x:c>
      <x:c r="G319" s="35" t="n">
        <x:f>IF(F319="","",C319*F319)</x:f>
        <x:v>47.87579758017719</x:v>
      </x:c>
      <x:c r="H319" s="33" t="str">
        <x:v>Fabricación</x:v>
      </x:c>
      <x:c r="I319" s="36" t="n">
        <x:v>0.041631128330588865</x:v>
      </x:c>
      <x:c r="J319" s="33" t="str">
        <x:v>C05E_TT10_M056.SLDPRT</x:v>
      </x:c>
      <x:c r="K319" s="33" t="str">
        <x:v>CAD_volume_x_specified_density</x:v>
      </x:c>
    </x:row>
    <x:row r="320" ht="32" customHeight="1">
      <x:c r="A320" s="33" t="n">
        <x:v>316</x:v>
      </x:c>
      <x:c r="B320" s="33" t="str">
        <x:v>TT10_M061</x:v>
      </x:c>
      <x:c r="C320" s="33" t="n">
        <x:v>1</x:v>
      </x:c>
      <x:c r="D320" s="34" t="str">
        <x:v>Pieza TT10_M061</x:v>
      </x:c>
      <x:c r="E320" s="34" t="str">
        <x:v>ASTM A36</x:v>
      </x:c>
      <x:c r="F320" s="35" t="n">
        <x:v>19.317060272553142</x:v>
      </x:c>
      <x:c r="G320" s="35" t="n">
        <x:f>IF(F320="","",C320*F320)</x:f>
        <x:v>19.317060272553142</x:v>
      </x:c>
      <x:c r="H320" s="33" t="str">
        <x:v>Fabricación</x:v>
      </x:c>
      <x:c r="I320" s="36" t="n">
        <x:v>0.0024607720092424384</x:v>
      </x:c>
      <x:c r="J320" s="33" t="str">
        <x:v>C05E_TT10_M061.SLDPRT</x:v>
      </x:c>
      <x:c r="K320" s="33" t="str">
        <x:v>CAD_volume_x_specified_density</x:v>
      </x:c>
    </x:row>
    <x:row r="321" ht="32" customHeight="1">
      <x:c r="A321" s="33" t="n">
        <x:v>317</x:v>
      </x:c>
      <x:c r="B321" s="33" t="str">
        <x:v>TT10_M066</x:v>
      </x:c>
      <x:c r="C321" s="33" t="n">
        <x:v>1</x:v>
      </x:c>
      <x:c r="D321" s="34" t="str">
        <x:v>Pieza TT10_M066</x:v>
      </x:c>
      <x:c r="E321" s="34" t="str">
        <x:v>ASTM A36</x:v>
      </x:c>
      <x:c r="F321" s="35" t="n">
        <x:v>18.36324238631538</x:v>
      </x:c>
      <x:c r="G321" s="35" t="n">
        <x:f>IF(F321="","",C321*F321)</x:f>
        <x:v>18.36324238631538</x:v>
      </x:c>
      <x:c r="H321" s="33" t="str">
        <x:v>Fabricación</x:v>
      </x:c>
      <x:c r="I321" s="36" t="n">
        <x:v>0.0023392665460274372</x:v>
      </x:c>
      <x:c r="J321" s="33" t="str">
        <x:v>C05E_TT10_M066.SLDPRT</x:v>
      </x:c>
      <x:c r="K321" s="33" t="str">
        <x:v>CAD_volume_x_specified_density</x:v>
      </x:c>
    </x:row>
    <x:row r="322" ht="32" customHeight="1">
      <x:c r="A322" s="33" t="n">
        <x:v>318</x:v>
      </x:c>
      <x:c r="B322" s="33" t="str">
        <x:v>TT10_M071</x:v>
      </x:c>
      <x:c r="C322" s="33" t="n">
        <x:v>1</x:v>
      </x:c>
      <x:c r="D322" s="34" t="str">
        <x:v>Pieza TT10_M071</x:v>
      </x:c>
      <x:c r="E322" s="34" t="str">
        <x:v>ASTM A36</x:v>
      </x:c>
      <x:c r="F322" s="35" t="n">
        <x:v>18.086400000004055</x:v>
      </x:c>
      <x:c r="G322" s="35" t="n">
        <x:f>IF(F322="","",C322*F322)</x:f>
        <x:v>18.086400000004055</x:v>
      </x:c>
      <x:c r="H322" s="33" t="str">
        <x:v>Fabricación</x:v>
      </x:c>
      <x:c r="I322" s="36" t="n">
        <x:v>0.0023040000000005166</x:v>
      </x:c>
      <x:c r="J322" s="33" t="str">
        <x:v>C05E_TT10_M071.SLDPRT</x:v>
      </x:c>
      <x:c r="K322" s="33" t="str">
        <x:v>CAD_volume_x_specified_density</x:v>
      </x:c>
    </x:row>
    <x:row r="323" ht="32" customHeight="1">
      <x:c r="A323" s="33" t="n">
        <x:v>319</x:v>
      </x:c>
      <x:c r="B323" s="33" t="str">
        <x:v>TT10_M076</x:v>
      </x:c>
      <x:c r="C323" s="33" t="n">
        <x:v>1</x:v>
      </x:c>
      <x:c r="D323" s="34" t="str">
        <x:v>Muñón forjado integral con brida550, hombro220, asiento200, R3 y retención exterior</x:v>
      </x:c>
      <x:c r="E323" s="34" t="str">
        <x:v>AISI 4140 bonificado</x:v>
      </x:c>
      <x:c r="F323" s="35" t="n">
        <x:v>316.92515044220903</x:v>
      </x:c>
      <x:c r="G323" s="35" t="n">
        <x:f>IF(F323="","",C323*F323)</x:f>
        <x:v>316.92515044220903</x:v>
      </x:c>
      <x:c r="H323" s="33" t="str">
        <x:v>Fabricación</x:v>
      </x:c>
      <x:c r="I323" s="36" t="n">
        <x:v>0.04037263062958077</x:v>
      </x:c>
      <x:c r="J323" s="33" t="str">
        <x:v>C05E_TT10_M076.SLDPRT</x:v>
      </x:c>
      <x:c r="K323" s="33" t="str">
        <x:v>CAD_volume_x_specified_density</x:v>
      </x:c>
    </x:row>
    <x:row r="324" ht="32" customHeight="1">
      <x:c r="A324" s="33" t="n">
        <x:v>320</x:v>
      </x:c>
      <x:c r="B324" s="33" t="str">
        <x:v>TT10_M081</x:v>
      </x:c>
      <x:c r="C324" s="33" t="n">
        <x:v>1</x:v>
      </x:c>
      <x:c r="D324" s="34" t="str">
        <x:v>Pieza TT10_M081</x:v>
      </x:c>
      <x:c r="E324" s="34" t="str">
        <x:v>ASTM A36</x:v>
      </x:c>
      <x:c r="F324" s="35" t="n">
        <x:v>18.6420021798814</x:v>
      </x:c>
      <x:c r="G324" s="35" t="n">
        <x:f>IF(F324="","",C324*F324)</x:f>
        <x:v>18.6420021798814</x:v>
      </x:c>
      <x:c r="H324" s="33" t="str">
        <x:v>Fabricación</x:v>
      </x:c>
      <x:c r="I324" s="36" t="n">
        <x:v>0.0023747773477555923</x:v>
      </x:c>
      <x:c r="J324" s="33" t="str">
        <x:v>C05E_TT10_M081.SLDPRT</x:v>
      </x:c>
      <x:c r="K324" s="33" t="str">
        <x:v>CAD_volume_x_specified_density</x:v>
      </x:c>
    </x:row>
    <x:row r="325" ht="32" customHeight="1">
      <x:c r="A325" s="33" t="n">
        <x:v>321</x:v>
      </x:c>
      <x:c r="B325" s="33" t="str">
        <x:v>TT10_M086</x:v>
      </x:c>
      <x:c r="C325" s="33" t="n">
        <x:v>1</x:v>
      </x:c>
      <x:c r="D325" s="34" t="str">
        <x:v>Muñón forjado integral con brida550, hombro220, asiento200, R3 y retención exterior</x:v>
      </x:c>
      <x:c r="E325" s="34" t="str">
        <x:v>AISI 4140 bonificado</x:v>
      </x:c>
      <x:c r="F325" s="35" t="n">
        <x:v>316.9251504422091</x:v>
      </x:c>
      <x:c r="G325" s="35" t="n">
        <x:f>IF(F325="","",C325*F325)</x:f>
        <x:v>316.9251504422091</x:v>
      </x:c>
      <x:c r="H325" s="33" t="str">
        <x:v>Fabricación</x:v>
      </x:c>
      <x:c r="I325" s="36" t="n">
        <x:v>0.040372630629580776</x:v>
      </x:c>
      <x:c r="J325" s="33" t="str">
        <x:v>C05E_TT10_M086.SLDPRT</x:v>
      </x:c>
      <x:c r="K325" s="33" t="str">
        <x:v>CAD_volume_x_specified_density</x:v>
      </x:c>
    </x:row>
    <x:row r="326" ht="32" customHeight="1">
      <x:c r="A326" s="33" t="n">
        <x:v>322</x:v>
      </x:c>
      <x:c r="B326" s="33" t="str">
        <x:v>TT10_M091</x:v>
      </x:c>
      <x:c r="C326" s="33" t="n">
        <x:v>1</x:v>
      </x:c>
      <x:c r="D326" s="34" t="str">
        <x:v>Pieza TT10_M091</x:v>
      </x:c>
      <x:c r="E326" s="34" t="str">
        <x:v>ASTM A36</x:v>
      </x:c>
      <x:c r="F326" s="35" t="n">
        <x:v>18.36324238630897</x:v>
      </x:c>
      <x:c r="G326" s="35" t="n">
        <x:f>IF(F326="","",C326*F326)</x:f>
        <x:v>18.36324238630897</x:v>
      </x:c>
      <x:c r="H326" s="33" t="str">
        <x:v>Fabricación</x:v>
      </x:c>
      <x:c r="I326" s="36" t="n">
        <x:v>0.00233926654602662</x:v>
      </x:c>
      <x:c r="J326" s="33" t="str">
        <x:v>C05E_TT10_M091.SLDPRT</x:v>
      </x:c>
      <x:c r="K326" s="33" t="str">
        <x:v>CAD_volume_x_specified_density</x:v>
      </x:c>
    </x:row>
    <x:row r="327" ht="32" customHeight="1">
      <x:c r="A327" s="33" t="n">
        <x:v>323</x:v>
      </x:c>
      <x:c r="B327" s="33" t="str">
        <x:v>TT10_M096</x:v>
      </x:c>
      <x:c r="C327" s="33" t="n">
        <x:v>1</x:v>
      </x:c>
      <x:c r="D327" s="34" t="str">
        <x:v>Pieza TT10_M096</x:v>
      </x:c>
      <x:c r="E327" s="34" t="str">
        <x:v>ASTM A36</x:v>
      </x:c>
      <x:c r="F327" s="35" t="n">
        <x:v>18.116973709530956</x:v>
      </x:c>
      <x:c r="G327" s="35" t="n">
        <x:f>IF(F327="","",C327*F327)</x:f>
        <x:v>18.116973709530956</x:v>
      </x:c>
      <x:c r="H327" s="33" t="str">
        <x:v>Fabricación</x:v>
      </x:c>
      <x:c r="I327" s="36" t="n">
        <x:v>0.002307894740067638</x:v>
      </x:c>
      <x:c r="J327" s="33" t="str">
        <x:v>C05E_TT10_M096.SLDPRT</x:v>
      </x:c>
      <x:c r="K327" s="33" t="str">
        <x:v>CAD_volume_x_specified_density</x:v>
      </x:c>
    </x:row>
    <x:row r="328" ht="32" customHeight="1">
      <x:c r="A328" s="33" t="n">
        <x:v>324</x:v>
      </x:c>
      <x:c r="B328" s="33" t="str">
        <x:v>TT10_M101</x:v>
      </x:c>
      <x:c r="C328" s="33" t="n">
        <x:v>1</x:v>
      </x:c>
      <x:c r="D328" s="34" t="str">
        <x:v>Perfil tubular 200 x 100 x 10; L 250</x:v>
      </x:c>
      <x:c r="E328" s="34" t="str">
        <x:v>S275J0H / EN 10219-1</x:v>
      </x:c>
      <x:c r="F328" s="35" t="n">
        <x:v>10.990000000000684</x:v>
      </x:c>
      <x:c r="G328" s="35" t="n">
        <x:f>IF(F328="","",C328*F328)</x:f>
        <x:v>10.990000000000684</x:v>
      </x:c>
      <x:c r="H328" s="33" t="str">
        <x:v>Fabricación</x:v>
      </x:c>
      <x:c r="I328" s="36" t="n">
        <x:v>0.0014000000000000872</x:v>
      </x:c>
      <x:c r="J328" s="33" t="str">
        <x:v>C05E_TT10_M101.SLDPRT</x:v>
      </x:c>
      <x:c r="K328" s="33" t="str">
        <x:v>CAD_volume_x_specified_density</x:v>
      </x:c>
    </x:row>
    <x:row r="329" ht="32" customHeight="1">
      <x:c r="A329" s="33" t="n">
        <x:v>325</x:v>
      </x:c>
      <x:c r="B329" s="33" t="str">
        <x:v>TT10_M106</x:v>
      </x:c>
      <x:c r="C329" s="33" t="n">
        <x:v>1</x:v>
      </x:c>
      <x:c r="D329" s="34" t="str">
        <x:v>Contraplaca80 con doce M30 ciegas78 PCD450, apriete desde exterior</x:v>
      </x:c>
      <x:c r="E329" s="34" t="str">
        <x:v>ASTM A36</x:v>
      </x:c>
      <x:c r="F329" s="35" t="n">
        <x:v>201.15708574461485</x:v>
      </x:c>
      <x:c r="G329" s="35" t="n">
        <x:f>IF(F329="","",C329*F329)</x:f>
        <x:v>201.15708574461485</x:v>
      </x:c>
      <x:c r="H329" s="33" t="str">
        <x:v>Fabricación</x:v>
      </x:c>
      <x:c r="I329" s="36" t="n">
        <x:v>0.025625106464282146</x:v>
      </x:c>
      <x:c r="J329" s="33" t="str">
        <x:v>C05E_TT10_M106.SLDPRT</x:v>
      </x:c>
      <x:c r="K329" s="33" t="str">
        <x:v>CAD_volume_x_specified_density</x:v>
      </x:c>
    </x:row>
    <x:row r="330" ht="32" customHeight="1">
      <x:c r="A330" s="33" t="n">
        <x:v>326</x:v>
      </x:c>
      <x:c r="B330" s="33" t="str">
        <x:v>TT10_M111</x:v>
      </x:c>
      <x:c r="C330" s="33" t="n">
        <x:v>1</x:v>
      </x:c>
      <x:c r="D330" s="34" t="str">
        <x:v>Pieza TT10_M111</x:v>
      </x:c>
      <x:c r="E330" s="34" t="str">
        <x:v>ASTM A36</x:v>
      </x:c>
      <x:c r="F330" s="35" t="n">
        <x:v>18.13592529726694</x:v>
      </x:c>
      <x:c r="G330" s="35" t="n">
        <x:f>IF(F330="","",C330*F330)</x:f>
        <x:v>18.13592529726694</x:v>
      </x:c>
      <x:c r="H330" s="33" t="str">
        <x:v>Fabricación</x:v>
      </x:c>
      <x:c r="I330" s="36" t="n">
        <x:v>0.0023103089550658524</x:v>
      </x:c>
      <x:c r="J330" s="33" t="str">
        <x:v>C05E_TT10_M111.SLDPRT</x:v>
      </x:c>
      <x:c r="K330" s="33" t="str">
        <x:v>CAD_volume_x_specified_density</x:v>
      </x:c>
    </x:row>
    <x:row r="331" ht="32" customHeight="1">
      <x:c r="A331" s="33" t="n">
        <x:v>327</x:v>
      </x:c>
      <x:c r="B331" s="33" t="str">
        <x:v>TT10_M116</x:v>
      </x:c>
      <x:c r="C331" s="33" t="n">
        <x:v>1</x:v>
      </x:c>
      <x:c r="D331" s="34" t="str">
        <x:v>Pieza TT10_M116</x:v>
      </x:c>
      <x:c r="E331" s="34" t="str">
        <x:v>ASTM A36</x:v>
      </x:c>
      <x:c r="F331" s="35" t="n">
        <x:v>18.135925297265544</x:v>
      </x:c>
      <x:c r="G331" s="35" t="n">
        <x:f>IF(F331="","",C331*F331)</x:f>
        <x:v>18.135925297265544</x:v>
      </x:c>
      <x:c r="H331" s="33" t="str">
        <x:v>Fabricación</x:v>
      </x:c>
      <x:c r="I331" s="36" t="n">
        <x:v>0.0023103089550656746</x:v>
      </x:c>
      <x:c r="J331" s="33" t="str">
        <x:v>C05E_TT10_M116.SLDPRT</x:v>
      </x:c>
      <x:c r="K331" s="33" t="str">
        <x:v>CAD_volume_x_specified_density</x:v>
      </x:c>
    </x:row>
    <x:row r="332" ht="32" customHeight="1">
      <x:c r="A332" s="33" t="n">
        <x:v>328</x:v>
      </x:c>
      <x:c r="B332" s="33" t="str">
        <x:v>TT10_M121</x:v>
      </x:c>
      <x:c r="C332" s="33" t="n">
        <x:v>1</x:v>
      </x:c>
      <x:c r="D332" s="34" t="str">
        <x:v>Pieza TT10_M121</x:v>
      </x:c>
      <x:c r="E332" s="34" t="str">
        <x:v>ASTM A36</x:v>
      </x:c>
      <x:c r="F332" s="35" t="n">
        <x:v>24.53125000000083</x:v>
      </x:c>
      <x:c r="G332" s="35" t="n">
        <x:f>IF(F332="","",C332*F332)</x:f>
        <x:v>24.53125000000083</x:v>
      </x:c>
      <x:c r="H332" s="33" t="str">
        <x:v>Fabricación</x:v>
      </x:c>
      <x:c r="I332" s="36" t="n">
        <x:v>0.003125000000000106</x:v>
      </x:c>
      <x:c r="J332" s="33" t="str">
        <x:v>C05E_TT10_M121.SLDPRT</x:v>
      </x:c>
      <x:c r="K332" s="33" t="str">
        <x:v>CAD_volume_x_specified_density</x:v>
      </x:c>
    </x:row>
    <x:row r="333" ht="32" customHeight="1">
      <x:c r="A333" s="33" t="n">
        <x:v>329</x:v>
      </x:c>
      <x:c r="B333" s="33" t="str">
        <x:v>TT10_M131</x:v>
      </x:c>
      <x:c r="C333" s="33" t="n">
        <x:v>1</x:v>
      </x:c>
      <x:c r="D333" s="34" t="str">
        <x:v>Cabezal cajón 200 x 200 x 1200, t40; 2 diafragmas 120 x 120 x 40</x:v>
      </x:c>
      <x:c r="E333" s="34" t="str">
        <x:v>Strenx700E t40; Rp0.2min700MPa</x:v>
      </x:c>
      <x:c r="F333" s="35" t="n">
        <x:v>250.19520000000009</x:v>
      </x:c>
      <x:c r="G333" s="35" t="n">
        <x:f>IF(F333="","",C333*F333)</x:f>
        <x:v>250.19520000000009</x:v>
      </x:c>
      <x:c r="H333" s="33" t="str">
        <x:v>Fabricación</x:v>
      </x:c>
      <x:c r="I333" s="36" t="n">
        <x:v>0.03187200000000001</x:v>
      </x:c>
      <x:c r="J333" s="33" t="str">
        <x:v>C05E_TT10_M131.SLDPRT</x:v>
      </x:c>
      <x:c r="K333" s="33" t="str">
        <x:v>BRep nativo SolidWorks; densidad7850 kg/m³; 25/10/2026</x:v>
      </x:c>
    </x:row>
    <x:row r="334" ht="32" customHeight="1">
      <x:c r="A334" s="33" t="n">
        <x:v>330</x:v>
      </x:c>
      <x:c r="B334" s="33" t="str">
        <x:v>TT10_M136</x:v>
      </x:c>
      <x:c r="C334" s="33" t="n">
        <x:v>1</x:v>
      </x:c>
      <x:c r="D334" s="34" t="str">
        <x:v>Pieza TT10_M136</x:v>
      </x:c>
      <x:c r="E334" s="34" t="str">
        <x:v>ASTM A36</x:v>
      </x:c>
      <x:c r="F334" s="35" t="n">
        <x:v>18.642002179840556</x:v>
      </x:c>
      <x:c r="G334" s="35" t="n">
        <x:f>IF(F334="","",C334*F334)</x:f>
        <x:v>18.642002179840556</x:v>
      </x:c>
      <x:c r="H334" s="33" t="str">
        <x:v>Fabricación</x:v>
      </x:c>
      <x:c r="I334" s="36" t="n">
        <x:v>0.0023747773477503895</x:v>
      </x:c>
      <x:c r="J334" s="33" t="str">
        <x:v>C05E_TT10_M136.SLDPRT</x:v>
      </x:c>
      <x:c r="K334" s="33" t="str">
        <x:v>CAD_volume_x_specified_density</x:v>
      </x:c>
    </x:row>
    <x:row r="335" ht="32" customHeight="1">
      <x:c r="A335" s="33" t="n">
        <x:v>331</x:v>
      </x:c>
      <x:c r="B335" s="33" t="str">
        <x:v>TT10_M141</x:v>
      </x:c>
      <x:c r="C335" s="33" t="n">
        <x:v>1</x:v>
      </x:c>
      <x:c r="D335" s="34" t="str">
        <x:v>Pieza TT10_M141</x:v>
      </x:c>
      <x:c r="E335" s="34" t="str">
        <x:v>ASTM A36</x:v>
      </x:c>
      <x:c r="F335" s="35" t="n">
        <x:v>18.7607823903614</x:v>
      </x:c>
      <x:c r="G335" s="35" t="n">
        <x:f>IF(F335="","",C335*F335)</x:f>
        <x:v>18.7607823903614</x:v>
      </x:c>
      <x:c r="H335" s="33" t="str">
        <x:v>Fabricación</x:v>
      </x:c>
      <x:c r="I335" s="36" t="n">
        <x:v>0.002389908584759414</x:v>
      </x:c>
      <x:c r="J335" s="33" t="str">
        <x:v>C05E_TT10_M141.SLDPRT</x:v>
      </x:c>
      <x:c r="K335" s="33" t="str">
        <x:v>CAD_volume_x_specified_density</x:v>
      </x:c>
    </x:row>
    <x:row r="336" ht="32" customHeight="1">
      <x:c r="A336" s="33" t="n">
        <x:v>332</x:v>
      </x:c>
      <x:c r="B336" s="33" t="str">
        <x:v>TT10_M146</x:v>
      </x:c>
      <x:c r="C336" s="33" t="n">
        <x:v>1</x:v>
      </x:c>
      <x:c r="D336" s="34" t="str">
        <x:v>Pieza TT10_M146</x:v>
      </x:c>
      <x:c r="E336" s="34" t="str">
        <x:v>ASTM A36</x:v>
      </x:c>
      <x:c r="F336" s="35" t="n">
        <x:v>18.36324238630853</x:v>
      </x:c>
      <x:c r="G336" s="35" t="n">
        <x:f>IF(F336="","",C336*F336)</x:f>
        <x:v>18.36324238630853</x:v>
      </x:c>
      <x:c r="H336" s="33" t="str">
        <x:v>Fabricación</x:v>
      </x:c>
      <x:c r="I336" s="36" t="n">
        <x:v>0.0023392665460265647</x:v>
      </x:c>
      <x:c r="J336" s="33" t="str">
        <x:v>C05E_TT10_M146.SLDPRT</x:v>
      </x:c>
      <x:c r="K336" s="33" t="str">
        <x:v>CAD_volume_x_specified_density</x:v>
      </x:c>
    </x:row>
    <x:row r="337" ht="32" customHeight="1">
      <x:c r="A337" s="33" t="n">
        <x:v>333</x:v>
      </x:c>
      <x:c r="B337" s="33" t="str">
        <x:v>TT10_M151</x:v>
      </x:c>
      <x:c r="C337" s="33" t="n">
        <x:v>1</x:v>
      </x:c>
      <x:c r="D337" s="34" t="str">
        <x:v>Pieza TT10_M151</x:v>
      </x:c>
      <x:c r="E337" s="34" t="str">
        <x:v>ASTM A36</x:v>
      </x:c>
      <x:c r="F337" s="35" t="n">
        <x:v>24.53125000000083</x:v>
      </x:c>
      <x:c r="G337" s="35" t="n">
        <x:f>IF(F337="","",C337*F337)</x:f>
        <x:v>24.53125000000083</x:v>
      </x:c>
      <x:c r="H337" s="33" t="str">
        <x:v>Fabricación</x:v>
      </x:c>
      <x:c r="I337" s="36" t="n">
        <x:v>0.003125000000000106</x:v>
      </x:c>
      <x:c r="J337" s="33" t="str">
        <x:v>C05E_TT10_M151.SLDPRT</x:v>
      </x:c>
      <x:c r="K337" s="33" t="str">
        <x:v>CAD_volume_x_specified_density</x:v>
      </x:c>
    </x:row>
    <x:row r="338" ht="32" customHeight="1">
      <x:c r="A338" s="33" t="n">
        <x:v>335</x:v>
      </x:c>
      <x:c r="B338" s="33" t="str">
        <x:v>TT10_M161</x:v>
      </x:c>
      <x:c r="C338" s="33" t="n">
        <x:v>1</x:v>
      </x:c>
      <x:c r="D338" s="34" t="str">
        <x:v>Yugo cajón 400 x 200 x 1116, t30; 2 diafragmas 340 x 140 x 30; agujero Ø202</x:v>
      </x:c>
      <x:c r="E338" s="34" t="str">
        <x:v>Strenx700E t30; Rp0.2min700MPa</x:v>
      </x:c>
      <x:c r="F338" s="35" t="n">
        <x:v>291.1687208834828</x:v>
      </x:c>
      <x:c r="G338" s="35" t="n">
        <x:f>IF(F338="","",C338*F338)</x:f>
        <x:v>291.1687208834828</x:v>
      </x:c>
      <x:c r="H338" s="33" t="str">
        <x:v>Fabricación</x:v>
      </x:c>
      <x:c r="I338" s="36" t="n">
        <x:v>0.037091556800443674</x:v>
      </x:c>
      <x:c r="J338" s="33" t="str">
        <x:v>C05E_TT10_M161.SLDPRT</x:v>
      </x:c>
      <x:c r="K338" s="33" t="str">
        <x:v>BRep nativo SolidWorks; densidad7850 kg/m³; 25/10/2026</x:v>
      </x:c>
    </x:row>
    <x:row r="339" ht="32" customHeight="1">
      <x:c r="A339" s="33" t="n">
        <x:v>336</x:v>
      </x:c>
      <x:c r="B339" s="33" t="str">
        <x:v>TT10_M166</x:v>
      </x:c>
      <x:c r="C339" s="33" t="n">
        <x:v>1</x:v>
      </x:c>
      <x:c r="D339" s="34" t="str">
        <x:v>Perfil tubular 150 x 100 x 8; L 4800</x:v>
      </x:c>
      <x:c r="E339" s="34" t="str">
        <x:v>S275J0H / EN 10219-1</x:v>
      </x:c>
      <x:c r="F339" s="35" t="n">
        <x:v>141.0739199999999</x:v>
      </x:c>
      <x:c r="G339" s="35" t="n">
        <x:f>IF(F339="","",C339*F339)</x:f>
        <x:v>141.0739199999999</x:v>
      </x:c>
      <x:c r="H339" s="33" t="str">
        <x:v>Fabricación</x:v>
      </x:c>
      <x:c r="I339" s="36" t="n">
        <x:v>0.017971199999999986</x:v>
      </x:c>
      <x:c r="J339" s="33" t="str">
        <x:v>C05E_TT10_M166.SLDPRT</x:v>
      </x:c>
      <x:c r="K339" s="33" t="str">
        <x:v>CAD_volume_x_specified_density</x:v>
      </x:c>
    </x:row>
    <x:row r="340" ht="32" customHeight="1">
      <x:c r="A340" s="33" t="n">
        <x:v>337</x:v>
      </x:c>
      <x:c r="B340" s="33" t="str">
        <x:v>TT10_M171</x:v>
      </x:c>
      <x:c r="C340" s="33" t="n">
        <x:v>1</x:v>
      </x:c>
      <x:c r="D340" s="34" t="str">
        <x:v>Pieza TT10_M171</x:v>
      </x:c>
      <x:c r="E340" s="34" t="str">
        <x:v>ASTM A36</x:v>
      </x:c>
      <x:c r="F340" s="35" t="n">
        <x:v>18.11697370952835</x:v>
      </x:c>
      <x:c r="G340" s="35" t="n">
        <x:f>IF(F340="","",C340*F340)</x:f>
        <x:v>18.11697370952835</x:v>
      </x:c>
      <x:c r="H340" s="33" t="str">
        <x:v>Fabricación</x:v>
      </x:c>
      <x:c r="I340" s="36" t="n">
        <x:v>0.0023078947400673056</x:v>
      </x:c>
      <x:c r="J340" s="33" t="str">
        <x:v>C05E_TT10_M171.SLDPRT</x:v>
      </x:c>
      <x:c r="K340" s="33" t="str">
        <x:v>CAD_volume_x_specified_density</x:v>
      </x:c>
    </x:row>
    <x:row r="341" ht="32" customHeight="1">
      <x:c r="A341" s="33" t="n">
        <x:v>338</x:v>
      </x:c>
      <x:c r="B341" s="33" t="str">
        <x:v>TT10_M176</x:v>
      </x:c>
      <x:c r="C341" s="33" t="n">
        <x:v>1</x:v>
      </x:c>
      <x:c r="D341" s="34" t="str">
        <x:v>Fondo16 con taladros de revestimientos desmontables</x:v>
      </x:c>
      <x:c r="E341" s="34" t="str">
        <x:v>ASTM A36</x:v>
      </x:c>
      <x:c r="F341" s="35" t="n">
        <x:v>883.2012381753472</x:v>
      </x:c>
      <x:c r="G341" s="35" t="n">
        <x:f>IF(F341="","",C341*F341)</x:f>
        <x:v>883.2012381753472</x:v>
      </x:c>
      <x:c r="H341" s="33" t="str">
        <x:v>Fabricación</x:v>
      </x:c>
      <x:c r="I341" s="36" t="n">
        <x:v>0.11250971186947098</x:v>
      </x:c>
      <x:c r="J341" s="33" t="str">
        <x:v>C05E_TT10_M176.SLDPRT</x:v>
      </x:c>
      <x:c r="K341" s="33" t="str">
        <x:v>CAD_volume_x_specified_density</x:v>
      </x:c>
    </x:row>
    <x:row r="342" ht="32" customHeight="1">
      <x:c r="A342" s="33" t="n">
        <x:v>339</x:v>
      </x:c>
      <x:c r="B342" s="33" t="str">
        <x:v>TT10_M181</x:v>
      </x:c>
      <x:c r="C342" s="33" t="n">
        <x:v>1</x:v>
      </x:c>
      <x:c r="D342" s="34" t="str">
        <x:v>Pieza TT10_M181</x:v>
      </x:c>
      <x:c r="E342" s="34" t="str">
        <x:v>ASTM A36</x:v>
      </x:c>
      <x:c r="F342" s="35" t="n">
        <x:v>18.6420021798383</x:v>
      </x:c>
      <x:c r="G342" s="35" t="n">
        <x:f>IF(F342="","",C342*F342)</x:f>
        <x:v>18.6420021798383</x:v>
      </x:c>
      <x:c r="H342" s="33" t="str">
        <x:v>Fabricación</x:v>
      </x:c>
      <x:c r="I342" s="36" t="n">
        <x:v>0.002374777347750102</x:v>
      </x:c>
      <x:c r="J342" s="33" t="str">
        <x:v>C05E_TT10_M181.SLDPRT</x:v>
      </x:c>
      <x:c r="K342" s="33" t="str">
        <x:v>CAD_volume_x_specified_density</x:v>
      </x:c>
    </x:row>
    <x:row r="343" ht="32" customHeight="1">
      <x:c r="A343" s="33" t="n">
        <x:v>340</x:v>
      </x:c>
      <x:c r="B343" s="33" t="str">
        <x:v>TT10_M186</x:v>
      </x:c>
      <x:c r="C343" s="33" t="n">
        <x:v>1</x:v>
      </x:c>
      <x:c r="D343" s="34" t="str">
        <x:v>Perfil tubular 200 x 150 x 10; L 2200</x:v>
      </x:c>
      <x:c r="E343" s="34" t="str">
        <x:v>S275J0H / EN 10219-1</x:v>
      </x:c>
      <x:c r="F343" s="35" t="n">
        <x:v>113.98200000000053</x:v>
      </x:c>
      <x:c r="G343" s="35" t="n">
        <x:f>IF(F343="","",C343*F343)</x:f>
        <x:v>113.98200000000053</x:v>
      </x:c>
      <x:c r="H343" s="33" t="str">
        <x:v>Fabricación</x:v>
      </x:c>
      <x:c r="I343" s="36" t="n">
        <x:v>0.014520000000000068</x:v>
      </x:c>
      <x:c r="J343" s="33" t="str">
        <x:v>C05E_TT10_M186.SLDPRT</x:v>
      </x:c>
      <x:c r="K343" s="33" t="str">
        <x:v>CAD_volume_x_specified_density</x:v>
      </x:c>
    </x:row>
    <x:row r="344" ht="32" customHeight="1">
      <x:c r="A344" s="33" t="n">
        <x:v>341</x:v>
      </x:c>
      <x:c r="B344" s="33" t="str">
        <x:v>TT10_M191</x:v>
      </x:c>
      <x:c r="C344" s="33" t="n">
        <x:v>1</x:v>
      </x:c>
      <x:c r="D344" s="34" t="str">
        <x:v>Pieza TT10_M191</x:v>
      </x:c>
      <x:c r="E344" s="34" t="str">
        <x:v>ASTM A36</x:v>
      </x:c>
      <x:c r="F344" s="35" t="n">
        <x:v>114.03478677706377</x:v>
      </x:c>
      <x:c r="G344" s="35" t="n">
        <x:f>IF(F344="","",C344*F344)</x:f>
        <x:v>114.03478677706377</x:v>
      </x:c>
      <x:c r="H344" s="33" t="str">
        <x:v>Fabricación</x:v>
      </x:c>
      <x:c r="I344" s="36" t="n">
        <x:v>0.014526724430199207</x:v>
      </x:c>
      <x:c r="J344" s="33" t="str">
        <x:v>C05E_TT10_M191.SLDPRT</x:v>
      </x:c>
      <x:c r="K344" s="33" t="str">
        <x:v>CAD_volume_x_specified_density</x:v>
      </x:c>
    </x:row>
    <x:row r="345" ht="32" customHeight="1">
      <x:c r="A345" s="33" t="n">
        <x:v>342</x:v>
      </x:c>
      <x:c r="B345" s="33" t="str">
        <x:v>TT10_M196</x:v>
      </x:c>
      <x:c r="C345" s="33" t="n">
        <x:v>1</x:v>
      </x:c>
      <x:c r="D345" s="34" t="str">
        <x:v>Pieza TT10_M196</x:v>
      </x:c>
      <x:c r="E345" s="34" t="str">
        <x:v>ASTM A36</x:v>
      </x:c>
      <x:c r="F345" s="35" t="n">
        <x:v>539.5629159939433</x:v>
      </x:c>
      <x:c r="G345" s="35" t="n">
        <x:f>IF(F345="","",C345*F345)</x:f>
        <x:v>539.5629159939433</x:v>
      </x:c>
      <x:c r="H345" s="33" t="str">
        <x:v>Fabricación</x:v>
      </x:c>
      <x:c r="I345" s="36" t="n">
        <x:v>0.06873412942598003</x:v>
      </x:c>
      <x:c r="J345" s="33" t="str">
        <x:v>C05E_TT10_M196.SLDPRT</x:v>
      </x:c>
      <x:c r="K345" s="33" t="str">
        <x:v>CAD_volume_x_specified_density</x:v>
      </x:c>
    </x:row>
    <x:row r="346" ht="32" customHeight="1">
      <x:c r="A346" s="33" t="n">
        <x:v>343</x:v>
      </x:c>
      <x:c r="B346" s="33" t="str">
        <x:v>TT10_M201</x:v>
      </x:c>
      <x:c r="C346" s="33" t="n">
        <x:v>1</x:v>
      </x:c>
      <x:c r="D346" s="34" t="str">
        <x:v>Cabezal cajón 200 x 200 x 1200, t40; 2 diafragmas 120 x 120 x 40</x:v>
      </x:c>
      <x:c r="E346" s="34" t="str">
        <x:v>Strenx700E t40; Rp0.2min700MPa</x:v>
      </x:c>
      <x:c r="F346" s="35" t="n">
        <x:v>250.19520000000009</x:v>
      </x:c>
      <x:c r="G346" s="35" t="n">
        <x:f>IF(F346="","",C346*F346)</x:f>
        <x:v>250.19520000000009</x:v>
      </x:c>
      <x:c r="H346" s="33" t="str">
        <x:v>Fabricación</x:v>
      </x:c>
      <x:c r="I346" s="36" t="n">
        <x:v>0.03187200000000001</x:v>
      </x:c>
      <x:c r="J346" s="33" t="str">
        <x:v>C05E_TT10_M201.SLDPRT</x:v>
      </x:c>
      <x:c r="K346" s="33" t="str">
        <x:v>BRep nativo SolidWorks; densidad7850 kg/m³; 25/10/2026</x:v>
      </x:c>
    </x:row>
    <x:row r="347" ht="32" customHeight="1">
      <x:c r="A347" s="33" t="n">
        <x:v>344</x:v>
      </x:c>
      <x:c r="B347" s="33" t="str">
        <x:v>TT10_M206</x:v>
      </x:c>
      <x:c r="C347" s="33" t="n">
        <x:v>1</x:v>
      </x:c>
      <x:c r="D347" s="34" t="str">
        <x:v>Pieza TT10_M206</x:v>
      </x:c>
      <x:c r="E347" s="34" t="str">
        <x:v>ASTM A36</x:v>
      </x:c>
      <x:c r="F347" s="35" t="n">
        <x:v>236.75042237452683</x:v>
      </x:c>
      <x:c r="G347" s="35" t="n">
        <x:f>IF(F347="","",C347*F347)</x:f>
        <x:v>236.75042237452683</x:v>
      </x:c>
      <x:c r="H347" s="33" t="str">
        <x:v>Fabricación</x:v>
      </x:c>
      <x:c r="I347" s="36" t="n">
        <x:v>0.030159289474462017</x:v>
      </x:c>
      <x:c r="J347" s="33" t="str">
        <x:v>C05E_TT10_M206.SLDPRT</x:v>
      </x:c>
      <x:c r="K347" s="33" t="str">
        <x:v>CAD_volume_x_specified_density</x:v>
      </x:c>
    </x:row>
    <x:row r="348" ht="32" customHeight="1">
      <x:c r="A348" s="33" t="n">
        <x:v>345</x:v>
      </x:c>
      <x:c r="B348" s="33" t="str">
        <x:v>TT10_M211</x:v>
      </x:c>
      <x:c r="C348" s="33" t="n">
        <x:v>1</x:v>
      </x:c>
      <x:c r="D348" s="34" t="str">
        <x:v>Cama elastomérica25 perforada para casquillos limitadores</x:v>
      </x:c>
      <x:c r="E348" s="34" t="str">
        <x:v>Elastómero; curva dinámica de compresión por definir</x:v>
      </x:c>
      <x:c r="F348" s="35" t="n">
        <x:v>47.87579758017719</x:v>
      </x:c>
      <x:c r="G348" s="35" t="n">
        <x:f>IF(F348="","",C348*F348)</x:f>
        <x:v>47.87579758017719</x:v>
      </x:c>
      <x:c r="H348" s="33" t="str">
        <x:v>Fabricación</x:v>
      </x:c>
      <x:c r="I348" s="36" t="n">
        <x:v>0.041631128330588865</x:v>
      </x:c>
      <x:c r="J348" s="33" t="str">
        <x:v>C05E_TT10_M211.SLDPRT</x:v>
      </x:c>
      <x:c r="K348" s="33" t="str">
        <x:v>CAD_volume_x_specified_density</x:v>
      </x:c>
    </x:row>
    <x:row r="349" ht="32" customHeight="1">
      <x:c r="A349" s="33" t="n">
        <x:v>346</x:v>
      </x:c>
      <x:c r="B349" s="33" t="str">
        <x:v>TT10_M216</x:v>
      </x:c>
      <x:c r="C349" s="33" t="n">
        <x:v>1</x:v>
      </x:c>
      <x:c r="D349" s="34" t="str">
        <x:v>Pieza TT10_M216</x:v>
      </x:c>
      <x:c r="E349" s="34" t="str">
        <x:v>ASTM A36</x:v>
      </x:c>
      <x:c r="F349" s="35" t="n">
        <x:v>18.086400000004055</x:v>
      </x:c>
      <x:c r="G349" s="35" t="n">
        <x:f>IF(F349="","",C349*F349)</x:f>
        <x:v>18.086400000004055</x:v>
      </x:c>
      <x:c r="H349" s="33" t="str">
        <x:v>Fabricación</x:v>
      </x:c>
      <x:c r="I349" s="36" t="n">
        <x:v>0.0023040000000005166</x:v>
      </x:c>
      <x:c r="J349" s="33" t="str">
        <x:v>C05E_TT10_M216.SLDPRT</x:v>
      </x:c>
      <x:c r="K349" s="33" t="str">
        <x:v>CAD_volume_x_specified_density</x:v>
      </x:c>
    </x:row>
    <x:row r="350" ht="32" customHeight="1">
      <x:c r="A350" s="33" t="n">
        <x:v>347</x:v>
      </x:c>
      <x:c r="B350" s="33" t="str">
        <x:v>TT10_M221</x:v>
      </x:c>
      <x:c r="C350" s="33" t="n">
        <x:v>1</x:v>
      </x:c>
      <x:c r="D350" s="34" t="str">
        <x:v>Cama elastomérica25 perforada para casquillos limitadores</x:v>
      </x:c>
      <x:c r="E350" s="34" t="str">
        <x:v>Elastómero; curva dinámica de compresión por definir</x:v>
      </x:c>
      <x:c r="F350" s="35" t="n">
        <x:v>47.87579758017718</x:v>
      </x:c>
      <x:c r="G350" s="35" t="n">
        <x:f>IF(F350="","",C350*F350)</x:f>
        <x:v>47.87579758017718</x:v>
      </x:c>
      <x:c r="H350" s="33" t="str">
        <x:v>Fabricación</x:v>
      </x:c>
      <x:c r="I350" s="36" t="n">
        <x:v>0.04163112833058885</x:v>
      </x:c>
      <x:c r="J350" s="33" t="str">
        <x:v>C05E_TT10_M221.SLDPRT</x:v>
      </x:c>
      <x:c r="K350" s="33" t="str">
        <x:v>CAD_volume_x_specified_density</x:v>
      </x:c>
    </x:row>
    <x:row r="351" ht="32" customHeight="1">
      <x:c r="A351" s="33" t="n">
        <x:v>348</x:v>
      </x:c>
      <x:c r="B351" s="33" t="str">
        <x:v>TT10_M226</x:v>
      </x:c>
      <x:c r="C351" s="33" t="n">
        <x:v>1</x:v>
      </x:c>
      <x:c r="D351" s="34" t="str">
        <x:v>Perfil tubular 200 x 150 x 10; L 2200</x:v>
      </x:c>
      <x:c r="E351" s="34" t="str">
        <x:v>S275J0H / EN 10219-1</x:v>
      </x:c>
      <x:c r="F351" s="35" t="n">
        <x:v>113.98200000000051</x:v>
      </x:c>
      <x:c r="G351" s="35" t="n">
        <x:f>IF(F351="","",C351*F351)</x:f>
        <x:v>113.98200000000051</x:v>
      </x:c>
      <x:c r="H351" s="33" t="str">
        <x:v>Fabricación</x:v>
      </x:c>
      <x:c r="I351" s="36" t="n">
        <x:v>0.014520000000000066</x:v>
      </x:c>
      <x:c r="J351" s="33" t="str">
        <x:v>C05E_TT10_M226.SLDPRT</x:v>
      </x:c>
      <x:c r="K351" s="33" t="str">
        <x:v>CAD_volume_x_specified_density</x:v>
      </x:c>
    </x:row>
    <x:row r="352" ht="32" customHeight="1">
      <x:c r="A352" s="33" t="n">
        <x:v>349</x:v>
      </x:c>
      <x:c r="B352" s="33" t="str">
        <x:v>TT10_M231</x:v>
      </x:c>
      <x:c r="C352" s="33" t="n">
        <x:v>1</x:v>
      </x:c>
      <x:c r="D352" s="34" t="str">
        <x:v>Pieza TT10_M231</x:v>
      </x:c>
      <x:c r="E352" s="34" t="str">
        <x:v>ASTM A36</x:v>
      </x:c>
      <x:c r="F352" s="35" t="n">
        <x:v>18.760782390357317</x:v>
      </x:c>
      <x:c r="G352" s="35" t="n">
        <x:f>IF(F352="","",C352*F352)</x:f>
        <x:v>18.760782390357317</x:v>
      </x:c>
      <x:c r="H352" s="33" t="str">
        <x:v>Fabricación</x:v>
      </x:c>
      <x:c r="I352" s="36" t="n">
        <x:v>0.0023899085847588937</x:v>
      </x:c>
      <x:c r="J352" s="33" t="str">
        <x:v>C05E_TT10_M231.SLDPRT</x:v>
      </x:c>
      <x:c r="K352" s="33" t="str">
        <x:v>CAD_volume_x_specified_density</x:v>
      </x:c>
    </x:row>
    <x:row r="353" ht="32" customHeight="1">
      <x:c r="A353" s="33" t="n">
        <x:v>350</x:v>
      </x:c>
      <x:c r="B353" s="33" t="str">
        <x:v>TT10_M236</x:v>
      </x:c>
      <x:c r="C353" s="33" t="n">
        <x:v>1</x:v>
      </x:c>
      <x:c r="D353" s="34" t="str">
        <x:v>Perfil tubular 150 x 100 x 8; L 3600</x:v>
      </x:c>
      <x:c r="E353" s="34" t="str">
        <x:v>S275J0H / EN 10219-1</x:v>
      </x:c>
      <x:c r="F353" s="35" t="n">
        <x:v>105.80544000000003</x:v>
      </x:c>
      <x:c r="G353" s="35" t="n">
        <x:f>IF(F353="","",C353*F353)</x:f>
        <x:v>105.80544000000003</x:v>
      </x:c>
      <x:c r="H353" s="33" t="str">
        <x:v>Fabricación</x:v>
      </x:c>
      <x:c r="I353" s="36" t="n">
        <x:v>0.013478400000000005</x:v>
      </x:c>
      <x:c r="J353" s="33" t="str">
        <x:v>C05E_TT10_M236.SLDPRT</x:v>
      </x:c>
      <x:c r="K353" s="33" t="str">
        <x:v>CAD_volume_x_specified_density</x:v>
      </x:c>
    </x:row>
    <x:row r="354" ht="32" customHeight="1">
      <x:c r="A354" s="33" t="n">
        <x:v>351</x:v>
      </x:c>
      <x:c r="B354" s="33" t="str">
        <x:v>TT10_M241</x:v>
      </x:c>
      <x:c r="C354" s="33" t="n">
        <x:v>1</x:v>
      </x:c>
      <x:c r="D354" s="34" t="str">
        <x:v>Cama elastomérica25 perforada para casquillos limitadores</x:v>
      </x:c>
      <x:c r="E354" s="34" t="str">
        <x:v>Elastómero; curva dinámica de compresión por definir</x:v>
      </x:c>
      <x:c r="F354" s="35" t="n">
        <x:v>47.87579758017719</x:v>
      </x:c>
      <x:c r="G354" s="35" t="n">
        <x:f>IF(F354="","",C354*F354)</x:f>
        <x:v>47.87579758017719</x:v>
      </x:c>
      <x:c r="H354" s="33" t="str">
        <x:v>Fabricación</x:v>
      </x:c>
      <x:c r="I354" s="36" t="n">
        <x:v>0.041631128330588865</x:v>
      </x:c>
      <x:c r="J354" s="33" t="str">
        <x:v>C05E_TT10_M241.SLDPRT</x:v>
      </x:c>
      <x:c r="K354" s="33" t="str">
        <x:v>CAD_volume_x_specified_density</x:v>
      </x:c>
    </x:row>
    <x:row r="355" ht="32" customHeight="1">
      <x:c r="A355" s="33" t="n">
        <x:v>352</x:v>
      </x:c>
      <x:c r="B355" s="33" t="str">
        <x:v>TT10_M246</x:v>
      </x:c>
      <x:c r="C355" s="33" t="n">
        <x:v>1</x:v>
      </x:c>
      <x:c r="D355" s="34" t="str">
        <x:v>Pieza TT10_M246</x:v>
      </x:c>
      <x:c r="E355" s="34" t="str">
        <x:v>ASTM A36</x:v>
      </x:c>
      <x:c r="F355" s="35" t="n">
        <x:v>18.304140391766033</x:v>
      </x:c>
      <x:c r="G355" s="35" t="n">
        <x:f>IF(F355="","",C355*F355)</x:f>
        <x:v>18.304140391766033</x:v>
      </x:c>
      <x:c r="H355" s="33" t="str">
        <x:v>Fabricación</x:v>
      </x:c>
      <x:c r="I355" s="36" t="n">
        <x:v>0.0023317376295243354</x:v>
      </x:c>
      <x:c r="J355" s="33" t="str">
        <x:v>C05E_TT10_M246.SLDPRT</x:v>
      </x:c>
      <x:c r="K355" s="33" t="str">
        <x:v>CAD_volume_x_specified_density</x:v>
      </x:c>
    </x:row>
    <x:row r="356" ht="32" customHeight="1">
      <x:c r="A356" s="33" t="n">
        <x:v>353</x:v>
      </x:c>
      <x:c r="B356" s="33" t="str">
        <x:v>TT10_M251</x:v>
      </x:c>
      <x:c r="C356" s="33" t="n">
        <x:v>1</x:v>
      </x:c>
      <x:c r="D356" s="34" t="str">
        <x:v>Pieza TT10_M251</x:v>
      </x:c>
      <x:c r="E356" s="34" t="str">
        <x:v>ASTM A36</x:v>
      </x:c>
      <x:c r="F356" s="35" t="n">
        <x:v>18.64200217983559</x:v>
      </x:c>
      <x:c r="G356" s="35" t="n">
        <x:f>IF(F356="","",C356*F356)</x:f>
        <x:v>18.64200217983559</x:v>
      </x:c>
      <x:c r="H356" s="33" t="str">
        <x:v>Fabricación</x:v>
      </x:c>
      <x:c r="I356" s="36" t="n">
        <x:v>0.0023747773477497567</x:v>
      </x:c>
      <x:c r="J356" s="33" t="str">
        <x:v>C05E_TT10_M251.SLDPRT</x:v>
      </x:c>
      <x:c r="K356" s="33" t="str">
        <x:v>CAD_volume_x_specified_density</x:v>
      </x:c>
    </x:row>
    <x:row r="357" ht="32" customHeight="1">
      <x:c r="A357" s="33" t="n">
        <x:v>354</x:v>
      </x:c>
      <x:c r="B357" s="33" t="str">
        <x:v>TT10_M256</x:v>
      </x:c>
      <x:c r="C357" s="33" t="n">
        <x:v>1</x:v>
      </x:c>
      <x:c r="D357" s="34" t="str">
        <x:v>Revestimiento AR400 t12 con ocho M16 avellanados desmontables</x:v>
      </x:c>
      <x:c r="E357" s="34" t="str">
        <x:v>Hardox 400</x:v>
      </x:c>
      <x:c r="F357" s="35" t="n">
        <x:v>157.07938888331617</x:v>
      </x:c>
      <x:c r="G357" s="35" t="n">
        <x:f>IF(F357="","",C357*F357)</x:f>
        <x:v>157.07938888331617</x:v>
      </x:c>
      <x:c r="H357" s="33" t="str">
        <x:v>Fabricación</x:v>
      </x:c>
      <x:c r="I357" s="36" t="n">
        <x:v>0.020010113233543462</x:v>
      </x:c>
      <x:c r="J357" s="33" t="str">
        <x:v>C05E_TT10_M256.SLDPRT</x:v>
      </x:c>
      <x:c r="K357" s="33" t="str">
        <x:v>CAD_volume_x_specified_density</x:v>
      </x:c>
    </x:row>
    <x:row r="358" ht="32" customHeight="1">
      <x:c r="A358" s="33" t="n">
        <x:v>355</x:v>
      </x:c>
      <x:c r="B358" s="33" t="str">
        <x:v>TT10_M261</x:v>
      </x:c>
      <x:c r="C358" s="33" t="n">
        <x:v>1</x:v>
      </x:c>
      <x:c r="D358" s="34" t="str">
        <x:v>Pieza TT10_M261</x:v>
      </x:c>
      <x:c r="E358" s="34" t="str">
        <x:v>ASTM A36</x:v>
      </x:c>
      <x:c r="F358" s="35" t="n">
        <x:v>14.718750000000053</x:v>
      </x:c>
      <x:c r="G358" s="35" t="n">
        <x:f>IF(F358="","",C358*F358)</x:f>
        <x:v>14.718750000000053</x:v>
      </x:c>
      <x:c r="H358" s="33" t="str">
        <x:v>Fabricación</x:v>
      </x:c>
      <x:c r="I358" s="36" t="n">
        <x:v>0.0018750000000000069</x:v>
      </x:c>
      <x:c r="J358" s="33" t="str">
        <x:v>C05E_TT10_M261.SLDPRT</x:v>
      </x:c>
      <x:c r="K358" s="33" t="str">
        <x:v>CAD_volume_x_specified_density</x:v>
      </x:c>
    </x:row>
    <x:row r="359" ht="32" customHeight="1">
      <x:c r="A359" s="33" t="n">
        <x:v>356</x:v>
      </x:c>
      <x:c r="B359" s="33" t="str">
        <x:v>TT10_M266</x:v>
      </x:c>
      <x:c r="C359" s="33" t="n">
        <x:v>1</x:v>
      </x:c>
      <x:c r="D359" s="34" t="str">
        <x:v>Revestimiento AR400 t12 con ocho M16 avellanados desmontables</x:v>
      </x:c>
      <x:c r="E359" s="34" t="str">
        <x:v>Hardox 400</x:v>
      </x:c>
      <x:c r="F359" s="35" t="n">
        <x:v>157.0793888833162</x:v>
      </x:c>
      <x:c r="G359" s="35" t="n">
        <x:f>IF(F359="","",C359*F359)</x:f>
        <x:v>157.0793888833162</x:v>
      </x:c>
      <x:c r="H359" s="33" t="str">
        <x:v>Fabricación</x:v>
      </x:c>
      <x:c r="I359" s="36" t="n">
        <x:v>0.020010113233543465</x:v>
      </x:c>
      <x:c r="J359" s="33" t="str">
        <x:v>C05E_TT10_M266.SLDPRT</x:v>
      </x:c>
      <x:c r="K359" s="33" t="str">
        <x:v>CAD_volume_x_specified_density</x:v>
      </x:c>
    </x:row>
    <x:row r="360" ht="32" customHeight="1">
      <x:c r="A360" s="33" t="n">
        <x:v>358</x:v>
      </x:c>
      <x:c r="B360" s="33" t="str">
        <x:v>TT10_M276</x:v>
      </x:c>
      <x:c r="C360" s="33" t="n">
        <x:v>1</x:v>
      </x:c>
      <x:c r="D360" s="34" t="str">
        <x:v>Brazo monolítico Strenx 700E t50; perfil 800 x 650; R50; agujero Ø65,5</x:v>
      </x:c>
      <x:c r="E360" s="34" t="str">
        <x:v>Strenx700E t50; Rp0.2min700MPa</x:v>
      </x:c>
      <x:c r="F360" s="35" t="n">
        <x:v>120.36311271566231</x:v>
      </x:c>
      <x:c r="G360" s="35" t="n">
        <x:f>IF(F360="","",C360*F360)</x:f>
        <x:v>120.36311271566231</x:v>
      </x:c>
      <x:c r="H360" s="33" t="str">
        <x:v>Fabricación</x:v>
      </x:c>
      <x:c r="I360" s="36" t="n">
        <x:v>0.015332880600721313</x:v>
      </x:c>
      <x:c r="J360" s="33" t="str">
        <x:v>C05E_TT10_M276.SLDPRT</x:v>
      </x:c>
      <x:c r="K360" s="33" t="str">
        <x:v>BRep nativo SolidWorks; densidad7850 kg/m³; 25/10/2026</x:v>
      </x:c>
    </x:row>
    <x:row r="361" ht="32" customHeight="1">
      <x:c r="A361" s="33" t="n">
        <x:v>359</x:v>
      </x:c>
      <x:c r="B361" s="33" t="str">
        <x:v>TT10_M281</x:v>
      </x:c>
      <x:c r="C361" s="33" t="n">
        <x:v>1</x:v>
      </x:c>
      <x:c r="D361" s="34" t="str">
        <x:v>Pieza TT10_M281</x:v>
      </x:c>
      <x:c r="E361" s="34" t="str">
        <x:v>ASTM A36</x:v>
      </x:c>
      <x:c r="F361" s="35" t="n">
        <x:v>18.760782390358038</x:v>
      </x:c>
      <x:c r="G361" s="35" t="n">
        <x:f>IF(F361="","",C361*F361)</x:f>
        <x:v>18.760782390358038</x:v>
      </x:c>
      <x:c r="H361" s="33" t="str">
        <x:v>Fabricación</x:v>
      </x:c>
      <x:c r="I361" s="36" t="n">
        <x:v>0.0023899085847589856</x:v>
      </x:c>
      <x:c r="J361" s="33" t="str">
        <x:v>C05E_TT10_M281.SLDPRT</x:v>
      </x:c>
      <x:c r="K361" s="33" t="str">
        <x:v>CAD_volume_x_specified_density</x:v>
      </x:c>
    </x:row>
    <x:row r="362" ht="32" customHeight="1">
      <x:c r="A362" s="33" t="n">
        <x:v>360</x:v>
      </x:c>
      <x:c r="B362" s="33" t="str">
        <x:v>TT10_M286</x:v>
      </x:c>
      <x:c r="C362" s="33" t="n">
        <x:v>1</x:v>
      </x:c>
      <x:c r="D362" s="34" t="str">
        <x:v>Pieza TT10_M286</x:v>
      </x:c>
      <x:c r="E362" s="34" t="str">
        <x:v>ASTM A36</x:v>
      </x:c>
      <x:c r="F362" s="35" t="n">
        <x:v>19.317060272583753</x:v>
      </x:c>
      <x:c r="G362" s="35" t="n">
        <x:f>IF(F362="","",C362*F362)</x:f>
        <x:v>19.317060272583753</x:v>
      </x:c>
      <x:c r="H362" s="33" t="str">
        <x:v>Fabricación</x:v>
      </x:c>
      <x:c r="I362" s="36" t="n">
        <x:v>0.002460772009246338</x:v>
      </x:c>
      <x:c r="J362" s="33" t="str">
        <x:v>C05E_TT10_M286.SLDPRT</x:v>
      </x:c>
      <x:c r="K362" s="33" t="str">
        <x:v>CAD_volume_x_specified_density</x:v>
      </x:c>
    </x:row>
    <x:row r="363" ht="32" customHeight="1">
      <x:c r="A363" s="33" t="n">
        <x:v>361</x:v>
      </x:c>
      <x:c r="B363" s="33" t="str">
        <x:v>TT10_M291</x:v>
      </x:c>
      <x:c r="C363" s="33" t="n">
        <x:v>1</x:v>
      </x:c>
      <x:c r="D363" s="34" t="str">
        <x:v>Pieza TT10_M291</x:v>
      </x:c>
      <x:c r="E363" s="34" t="str">
        <x:v>ASTM A36</x:v>
      </x:c>
      <x:c r="F363" s="35" t="n">
        <x:v>18.116973709531237</x:v>
      </x:c>
      <x:c r="G363" s="35" t="n">
        <x:f>IF(F363="","",C363*F363)</x:f>
        <x:v>18.116973709531237</x:v>
      </x:c>
      <x:c r="H363" s="33" t="str">
        <x:v>Fabricación</x:v>
      </x:c>
      <x:c r="I363" s="36" t="n">
        <x:v>0.0023078947400676734</x:v>
      </x:c>
      <x:c r="J363" s="33" t="str">
        <x:v>C05E_TT10_M291.SLDPRT</x:v>
      </x:c>
      <x:c r="K363" s="33" t="str">
        <x:v>CAD_volume_x_specified_density</x:v>
      </x:c>
    </x:row>
    <x:row r="364" ht="32" customHeight="1">
      <x:c r="A364" s="33" t="n">
        <x:v>362</x:v>
      </x:c>
      <x:c r="B364" s="33" t="str">
        <x:v>TT10_M296</x:v>
      </x:c>
      <x:c r="C364" s="33" t="n">
        <x:v>1</x:v>
      </x:c>
      <x:c r="D364" s="34" t="str">
        <x:v>Pieza TT10_M296</x:v>
      </x:c>
      <x:c r="E364" s="34" t="str">
        <x:v>ASTM A36</x:v>
      </x:c>
      <x:c r="F364" s="35" t="n">
        <x:v>18.13592529726782</x:v>
      </x:c>
      <x:c r="G364" s="35" t="n">
        <x:f>IF(F364="","",C364*F364)</x:f>
        <x:v>18.13592529726782</x:v>
      </x:c>
      <x:c r="H364" s="33" t="str">
        <x:v>Fabricación</x:v>
      </x:c>
      <x:c r="I364" s="36" t="n">
        <x:v>0.0023103089550659643</x:v>
      </x:c>
      <x:c r="J364" s="33" t="str">
        <x:v>C05E_TT10_M296.SLDPRT</x:v>
      </x:c>
      <x:c r="K364" s="33" t="str">
        <x:v>CAD_volume_x_specified_density</x:v>
      </x:c>
    </x:row>
    <x:row r="365" ht="32" customHeight="1">
      <x:c r="A365" s="33" t="n">
        <x:v>363</x:v>
      </x:c>
      <x:c r="B365" s="33" t="str">
        <x:v>TT10_M301</x:v>
      </x:c>
      <x:c r="C365" s="33" t="n">
        <x:v>1</x:v>
      </x:c>
      <x:c r="D365" s="34" t="str">
        <x:v>Pieza TT10_M301</x:v>
      </x:c>
      <x:c r="E365" s="34" t="str">
        <x:v>ASTM A36</x:v>
      </x:c>
      <x:c r="F365" s="35" t="n">
        <x:v>19.317060272556375</x:v>
      </x:c>
      <x:c r="G365" s="35" t="n">
        <x:f>IF(F365="","",C365*F365)</x:f>
        <x:v>19.317060272556375</x:v>
      </x:c>
      <x:c r="H365" s="33" t="str">
        <x:v>Fabricación</x:v>
      </x:c>
      <x:c r="I365" s="36" t="n">
        <x:v>0.0024607720092428504</x:v>
      </x:c>
      <x:c r="J365" s="33" t="str">
        <x:v>C05E_TT10_M301.SLDPRT</x:v>
      </x:c>
      <x:c r="K365" s="33" t="str">
        <x:v>CAD_volume_x_specified_density</x:v>
      </x:c>
    </x:row>
    <x:row r="366" ht="32" customHeight="1">
      <x:c r="A366" s="33" t="n">
        <x:v>365</x:v>
      </x:c>
      <x:c r="B366" s="33" t="str">
        <x:v>TT10_M311</x:v>
      </x:c>
      <x:c r="C366" s="33" t="n">
        <x:v>1</x:v>
      </x:c>
      <x:c r="D366" s="34" t="str">
        <x:v>Yugo cajón 400 x 200 x 1116, t30; 2 diafragmas 340 x 140 x 30; agujero Ø202</x:v>
      </x:c>
      <x:c r="E366" s="34" t="str">
        <x:v>Strenx700E t30; Rp0.2min700MPa</x:v>
      </x:c>
      <x:c r="F366" s="35" t="n">
        <x:v>291.1687208834828</x:v>
      </x:c>
      <x:c r="G366" s="35" t="n">
        <x:f>IF(F366="","",C366*F366)</x:f>
        <x:v>291.1687208834828</x:v>
      </x:c>
      <x:c r="H366" s="33" t="str">
        <x:v>Fabricación</x:v>
      </x:c>
      <x:c r="I366" s="36" t="n">
        <x:v>0.037091556800443674</x:v>
      </x:c>
      <x:c r="J366" s="33" t="str">
        <x:v>C05E_TT10_M311.SLDPRT</x:v>
      </x:c>
      <x:c r="K366" s="33" t="str">
        <x:v>BRep nativo SolidWorks; densidad7850 kg/m³; 25/10/2026</x:v>
      </x:c>
    </x:row>
    <x:row r="367" ht="32" customHeight="1">
      <x:c r="A367" s="33" t="n">
        <x:v>366</x:v>
      </x:c>
      <x:c r="B367" s="33" t="str">
        <x:v>TT10_M316</x:v>
      </x:c>
      <x:c r="C367" s="33" t="n">
        <x:v>1</x:v>
      </x:c>
      <x:c r="D367" s="34" t="str">
        <x:v>Pieza TT10_M316</x:v>
      </x:c>
      <x:c r="E367" s="34" t="str">
        <x:v>ASTM A36</x:v>
      </x:c>
      <x:c r="F367" s="35" t="n">
        <x:v>18.76078239036315</x:v>
      </x:c>
      <x:c r="G367" s="35" t="n">
        <x:f>IF(F367="","",C367*F367)</x:f>
        <x:v>18.76078239036315</x:v>
      </x:c>
      <x:c r="H367" s="33" t="str">
        <x:v>Fabricación</x:v>
      </x:c>
      <x:c r="I367" s="36" t="n">
        <x:v>0.002389908584759637</x:v>
      </x:c>
      <x:c r="J367" s="33" t="str">
        <x:v>C05E_TT10_M316.SLDPRT</x:v>
      </x:c>
      <x:c r="K367" s="33" t="str">
        <x:v>CAD_volume_x_specified_density</x:v>
      </x:c>
    </x:row>
    <x:row r="368" ht="32" customHeight="1">
      <x:c r="A368" s="33" t="n">
        <x:v>367</x:v>
      </x:c>
      <x:c r="B368" s="33" t="str">
        <x:v>TT10_M326</x:v>
      </x:c>
      <x:c r="C368" s="33" t="n">
        <x:v>1</x:v>
      </x:c>
      <x:c r="D368" s="34" t="str">
        <x:v>Pieza TT10_M326</x:v>
      </x:c>
      <x:c r="E368" s="34" t="str">
        <x:v>ASTM A36</x:v>
      </x:c>
      <x:c r="F368" s="35" t="n">
        <x:v>539.5629159939346</x:v>
      </x:c>
      <x:c r="G368" s="35" t="n">
        <x:f>IF(F368="","",C368*F368)</x:f>
        <x:v>539.5629159939346</x:v>
      </x:c>
      <x:c r="H368" s="33" t="str">
        <x:v>Fabricación</x:v>
      </x:c>
      <x:c r="I368" s="36" t="n">
        <x:v>0.06873412942597892</x:v>
      </x:c>
      <x:c r="J368" s="33" t="str">
        <x:v>C05E_TT10_M326.SLDPRT</x:v>
      </x:c>
      <x:c r="K368" s="33" t="str">
        <x:v>CAD_volume_x_specified_density</x:v>
      </x:c>
    </x:row>
    <x:row r="369" ht="32" customHeight="1">
      <x:c r="A369" s="33" t="n">
        <x:v>368</x:v>
      </x:c>
      <x:c r="B369" s="33" t="str">
        <x:v>TT10_M331</x:v>
      </x:c>
      <x:c r="C369" s="33" t="n">
        <x:v>1</x:v>
      </x:c>
      <x:c r="D369" s="34" t="str">
        <x:v>Pieza TT10_M331</x:v>
      </x:c>
      <x:c r="E369" s="34" t="str">
        <x:v>ASTM A36</x:v>
      </x:c>
      <x:c r="F369" s="35" t="n">
        <x:v>18.086399999999987</x:v>
      </x:c>
      <x:c r="G369" s="35" t="n">
        <x:f>IF(F369="","",C369*F369)</x:f>
        <x:v>18.086399999999987</x:v>
      </x:c>
      <x:c r="H369" s="33" t="str">
        <x:v>Fabricación</x:v>
      </x:c>
      <x:c r="I369" s="36" t="n">
        <x:v>0.0023039999999999983</x:v>
      </x:c>
      <x:c r="J369" s="33" t="str">
        <x:v>C05E_TT10_M331.SLDPRT</x:v>
      </x:c>
      <x:c r="K369" s="33" t="str">
        <x:v>CAD_volume_x_specified_density</x:v>
      </x:c>
    </x:row>
    <x:row r="370" ht="32" customHeight="1">
      <x:c r="A370" s="33" t="n">
        <x:v>369</x:v>
      </x:c>
      <x:c r="B370" s="33" t="str">
        <x:v>TT10_M336</x:v>
      </x:c>
      <x:c r="C370" s="33" t="n">
        <x:v>1</x:v>
      </x:c>
      <x:c r="D370" s="34" t="str">
        <x:v>Perfil tubular 200 x 100 x 10; L 250</x:v>
      </x:c>
      <x:c r="E370" s="34" t="str">
        <x:v>S275J0H / EN 10219-1</x:v>
      </x:c>
      <x:c r="F370" s="35" t="n">
        <x:v>10.990000000000684</x:v>
      </x:c>
      <x:c r="G370" s="35" t="n">
        <x:f>IF(F370="","",C370*F370)</x:f>
        <x:v>10.990000000000684</x:v>
      </x:c>
      <x:c r="H370" s="33" t="str">
        <x:v>Fabricación</x:v>
      </x:c>
      <x:c r="I370" s="36" t="n">
        <x:v>0.0014000000000000872</x:v>
      </x:c>
      <x:c r="J370" s="33" t="str">
        <x:v>C05E_TT10_M336.SLDPRT</x:v>
      </x:c>
      <x:c r="K370" s="33" t="str">
        <x:v>CAD_volume_x_specified_density</x:v>
      </x:c>
    </x:row>
    <x:row r="371" ht="32" customHeight="1">
      <x:c r="A371" s="33" t="n">
        <x:v>370</x:v>
      </x:c>
      <x:c r="B371" s="33" t="str">
        <x:v>TT10_M341</x:v>
      </x:c>
      <x:c r="C371" s="33" t="n">
        <x:v>1</x:v>
      </x:c>
      <x:c r="D371" s="34" t="str">
        <x:v>Pieza TT10_M341</x:v>
      </x:c>
      <x:c r="E371" s="34" t="str">
        <x:v>ASTM A36</x:v>
      </x:c>
      <x:c r="F371" s="35" t="n">
        <x:v>18.135925297269793</x:v>
      </x:c>
      <x:c r="G371" s="35" t="n">
        <x:f>IF(F371="","",C371*F371)</x:f>
        <x:v>18.135925297269793</x:v>
      </x:c>
      <x:c r="H371" s="33" t="str">
        <x:v>Fabricación</x:v>
      </x:c>
      <x:c r="I371" s="36" t="n">
        <x:v>0.002310308955066216</x:v>
      </x:c>
      <x:c r="J371" s="33" t="str">
        <x:v>C05E_TT10_M341.SLDPRT</x:v>
      </x:c>
      <x:c r="K371" s="33" t="str">
        <x:v>CAD_volume_x_specified_density</x:v>
      </x:c>
    </x:row>
    <x:row r="372" ht="32" customHeight="1">
      <x:c r="A372" s="33" t="n">
        <x:v>371</x:v>
      </x:c>
      <x:c r="B372" s="33" t="str">
        <x:v>TT10_M346</x:v>
      </x:c>
      <x:c r="C372" s="33" t="n">
        <x:v>1</x:v>
      </x:c>
      <x:c r="D372" s="34" t="str">
        <x:v>Pieza TT10_M346</x:v>
      </x:c>
      <x:c r="E372" s="34" t="str">
        <x:v>ASTM A36</x:v>
      </x:c>
      <x:c r="F372" s="35" t="n">
        <x:v>18.363242386311075</x:v>
      </x:c>
      <x:c r="G372" s="35" t="n">
        <x:f>IF(F372="","",C372*F372)</x:f>
        <x:v>18.363242386311075</x:v>
      </x:c>
      <x:c r="H372" s="33" t="str">
        <x:v>Fabricación</x:v>
      </x:c>
      <x:c r="I372" s="36" t="n">
        <x:v>0.0023392665460268886</x:v>
      </x:c>
      <x:c r="J372" s="33" t="str">
        <x:v>C05E_TT10_M346.SLDPRT</x:v>
      </x:c>
      <x:c r="K372" s="33" t="str">
        <x:v>CAD_volume_x_specified_density</x:v>
      </x:c>
    </x:row>
    <x:row r="373" ht="32" customHeight="1">
      <x:c r="A373" s="33" t="n">
        <x:v>372</x:v>
      </x:c>
      <x:c r="B373" s="33" t="str">
        <x:v>TT10_M351</x:v>
      </x:c>
      <x:c r="C373" s="33" t="n">
        <x:v>1</x:v>
      </x:c>
      <x:c r="D373" s="34" t="str">
        <x:v>Brazo monolítico Strenx 700E t50; perfil 800 x 650; R50; agujero Ø65,5</x:v>
      </x:c>
      <x:c r="E373" s="34" t="str">
        <x:v>Strenx700E t50; Rp0.2min700MPa</x:v>
      </x:c>
      <x:c r="F373" s="35" t="n">
        <x:v>120.3631127156623</x:v>
      </x:c>
      <x:c r="G373" s="35" t="n">
        <x:f>IF(F373="","",C373*F373)</x:f>
        <x:v>120.3631127156623</x:v>
      </x:c>
      <x:c r="H373" s="33" t="str">
        <x:v>Fabricación</x:v>
      </x:c>
      <x:c r="I373" s="36" t="n">
        <x:v>0.015332880600721311</x:v>
      </x:c>
      <x:c r="J373" s="33" t="str">
        <x:v>C05E_TT10_M351.SLDPRT</x:v>
      </x:c>
      <x:c r="K373" s="33" t="str">
        <x:v>BRep nativo SolidWorks; densidad7850 kg/m³; 25/10/2026</x:v>
      </x:c>
    </x:row>
    <x:row r="374" ht="32" customHeight="1">
      <x:c r="A374" s="33" t="n">
        <x:v>373</x:v>
      </x:c>
      <x:c r="B374" s="33" t="str">
        <x:v>TT10_M356</x:v>
      </x:c>
      <x:c r="C374" s="33" t="n">
        <x:v>1</x:v>
      </x:c>
      <x:c r="D374" s="34" t="str">
        <x:v>Perfil tubular 400 x 200 x 16; L 5600</x:v>
      </x:c>
      <x:c r="E374" s="34" t="str">
        <x:v>S275J0H / EN 10219-1</x:v>
      </x:c>
      <x:c r="F374" s="35" t="n">
        <x:v>799.0169600000079</x:v>
      </x:c>
      <x:c r="G374" s="35" t="n">
        <x:f>IF(F374="","",C374*F374)</x:f>
        <x:v>799.0169600000079</x:v>
      </x:c>
      <x:c r="H374" s="33" t="str">
        <x:v>Fabricación</x:v>
      </x:c>
      <x:c r="I374" s="36" t="n">
        <x:v>0.101785600000001</x:v>
      </x:c>
      <x:c r="J374" s="33" t="str">
        <x:v>C05E_TT10_M356.SLDPRT</x:v>
      </x:c>
      <x:c r="K374" s="33" t="str">
        <x:v>CAD_volume_x_specified_density</x:v>
      </x:c>
    </x:row>
    <x:row r="375" ht="32" customHeight="1">
      <x:c r="A375" s="33" t="n">
        <x:v>374</x:v>
      </x:c>
      <x:c r="B375" s="33" t="str">
        <x:v>TT10_M361</x:v>
      </x:c>
      <x:c r="C375" s="33" t="n">
        <x:v>1</x:v>
      </x:c>
      <x:c r="D375" s="34" t="str">
        <x:v>Pieza TT10_M361</x:v>
      </x:c>
      <x:c r="E375" s="34" t="str">
        <x:v>ASTM A36</x:v>
      </x:c>
      <x:c r="F375" s="35" t="n">
        <x:v>18.304140391762505</x:v>
      </x:c>
      <x:c r="G375" s="35" t="n">
        <x:f>IF(F375="","",C375*F375)</x:f>
        <x:v>18.304140391762505</x:v>
      </x:c>
      <x:c r="H375" s="33" t="str">
        <x:v>Fabricación</x:v>
      </x:c>
      <x:c r="I375" s="36" t="n">
        <x:v>0.002331737629523886</x:v>
      </x:c>
      <x:c r="J375" s="33" t="str">
        <x:v>C05E_TT10_M361.SLDPRT</x:v>
      </x:c>
      <x:c r="K375" s="33" t="str">
        <x:v>CAD_volume_x_specified_density</x:v>
      </x:c>
    </x:row>
    <x:row r="376" ht="32" customHeight="1">
      <x:c r="A376" s="33" t="n">
        <x:v>376</x:v>
      </x:c>
      <x:c r="B376" s="33" t="str">
        <x:v>TT10_M371</x:v>
      </x:c>
      <x:c r="C376" s="33" t="n">
        <x:v>1</x:v>
      </x:c>
      <x:c r="D376" s="34" t="str">
        <x:v>Pieza TT10_M371</x:v>
      </x:c>
      <x:c r="E376" s="34" t="str">
        <x:v>ASTM A36</x:v>
      </x:c>
      <x:c r="F376" s="35" t="n">
        <x:v>14.718750000000053</x:v>
      </x:c>
      <x:c r="G376" s="35" t="n">
        <x:f>IF(F376="","",C376*F376)</x:f>
        <x:v>14.718750000000053</x:v>
      </x:c>
      <x:c r="H376" s="33" t="str">
        <x:v>Fabricación</x:v>
      </x:c>
      <x:c r="I376" s="36" t="n">
        <x:v>0.0018750000000000069</x:v>
      </x:c>
      <x:c r="J376" s="33" t="str">
        <x:v>C05E_TT10_M371.SLDPRT</x:v>
      </x:c>
      <x:c r="K376" s="33" t="str">
        <x:v>CAD_volume_x_specified_density</x:v>
      </x:c>
    </x:row>
    <x:row r="377" ht="32" customHeight="1">
      <x:c r="A377" s="33" t="n">
        <x:v>377</x:v>
      </x:c>
      <x:c r="B377" s="33" t="str">
        <x:v>TT10_M376</x:v>
      </x:c>
      <x:c r="C377" s="33" t="n">
        <x:v>1</x:v>
      </x:c>
      <x:c r="D377" s="34" t="str">
        <x:v>Contraplaca80 con doce M30 ciegas78 PCD450, apriete desde exterior</x:v>
      </x:c>
      <x:c r="E377" s="34" t="str">
        <x:v>ASTM A36</x:v>
      </x:c>
      <x:c r="F377" s="35" t="n">
        <x:v>201.15708574461485</x:v>
      </x:c>
      <x:c r="G377" s="35" t="n">
        <x:f>IF(F377="","",C377*F377)</x:f>
        <x:v>201.15708574461485</x:v>
      </x:c>
      <x:c r="H377" s="33" t="str">
        <x:v>Fabricación</x:v>
      </x:c>
      <x:c r="I377" s="36" t="n">
        <x:v>0.025625106464282146</x:v>
      </x:c>
      <x:c r="J377" s="33" t="str">
        <x:v>C05E_TT10_M376.SLDPRT</x:v>
      </x:c>
      <x:c r="K377" s="33" t="str">
        <x:v>CAD_volume_x_specified_density</x:v>
      </x:c>
    </x:row>
    <x:row r="378" ht="32" customHeight="1">
      <x:c r="A378" s="33" t="n">
        <x:v>378</x:v>
      </x:c>
      <x:c r="B378" s="33" t="str">
        <x:v>TT10_M381</x:v>
      </x:c>
      <x:c r="C378" s="33" t="n">
        <x:v>1</x:v>
      </x:c>
      <x:c r="D378" s="34" t="str">
        <x:v>Perfil tubular 200 x 150 x 10; L 2200</x:v>
      </x:c>
      <x:c r="E378" s="34" t="str">
        <x:v>S275J0H / EN 10219-1</x:v>
      </x:c>
      <x:c r="F378" s="35" t="n">
        <x:v>113.98200000000051</x:v>
      </x:c>
      <x:c r="G378" s="35" t="n">
        <x:f>IF(F378="","",C378*F378)</x:f>
        <x:v>113.98200000000051</x:v>
      </x:c>
      <x:c r="H378" s="33" t="str">
        <x:v>Fabricación</x:v>
      </x:c>
      <x:c r="I378" s="36" t="n">
        <x:v>0.014520000000000066</x:v>
      </x:c>
      <x:c r="J378" s="33" t="str">
        <x:v>C05E_TT10_M381.SLDPRT</x:v>
      </x:c>
      <x:c r="K378" s="33" t="str">
        <x:v>CAD_volume_x_specified_density</x:v>
      </x:c>
    </x:row>
    <x:row r="379" ht="32" customHeight="1">
      <x:c r="A379" s="33" t="n">
        <x:v>379</x:v>
      </x:c>
      <x:c r="B379" s="33" t="str">
        <x:v>TT10_M386</x:v>
      </x:c>
      <x:c r="C379" s="33" t="n">
        <x:v>1</x:v>
      </x:c>
      <x:c r="D379" s="34" t="str">
        <x:v>Revestimiento AR400 t12 con ocho M16 avellanados desmontables</x:v>
      </x:c>
      <x:c r="E379" s="34" t="str">
        <x:v>Hardox 400</x:v>
      </x:c>
      <x:c r="F379" s="35" t="n">
        <x:v>157.07938888331617</x:v>
      </x:c>
      <x:c r="G379" s="35" t="n">
        <x:f>IF(F379="","",C379*F379)</x:f>
        <x:v>157.07938888331617</x:v>
      </x:c>
      <x:c r="H379" s="33" t="str">
        <x:v>Fabricación</x:v>
      </x:c>
      <x:c r="I379" s="36" t="n">
        <x:v>0.020010113233543462</x:v>
      </x:c>
      <x:c r="J379" s="33" t="str">
        <x:v>C05E_TT10_M386.SLDPRT</x:v>
      </x:c>
      <x:c r="K379" s="33" t="str">
        <x:v>CAD_volume_x_specified_density</x:v>
      </x:c>
    </x:row>
    <x:row r="380" ht="32" customHeight="1">
      <x:c r="A380" s="33" t="n">
        <x:v>380</x:v>
      </x:c>
      <x:c r="B380" s="33" t="str">
        <x:v>TT10_M391</x:v>
      </x:c>
      <x:c r="C380" s="33" t="n">
        <x:v>1</x:v>
      </x:c>
      <x:c r="D380" s="34" t="str">
        <x:v>Revestimiento AR400 t12 con ocho M16 avellanados desmontables</x:v>
      </x:c>
      <x:c r="E380" s="34" t="str">
        <x:v>Hardox 400</x:v>
      </x:c>
      <x:c r="F380" s="35" t="n">
        <x:v>157.07938888331617</x:v>
      </x:c>
      <x:c r="G380" s="35" t="n">
        <x:f>IF(F380="","",C380*F380)</x:f>
        <x:v>157.07938888331617</x:v>
      </x:c>
      <x:c r="H380" s="33" t="str">
        <x:v>Fabricación</x:v>
      </x:c>
      <x:c r="I380" s="36" t="n">
        <x:v>0.020010113233543462</x:v>
      </x:c>
      <x:c r="J380" s="33" t="str">
        <x:v>C05E_TT10_M391.SLDPRT</x:v>
      </x:c>
      <x:c r="K380" s="33" t="str">
        <x:v>CAD_volume_x_specified_density</x:v>
      </x:c>
    </x:row>
    <x:row r="381" ht="32" customHeight="1">
      <x:c r="A381" s="33" t="n">
        <x:v>381</x:v>
      </x:c>
      <x:c r="B381" s="33" t="str">
        <x:v>TT10_M396</x:v>
      </x:c>
      <x:c r="C381" s="33" t="n">
        <x:v>1</x:v>
      </x:c>
      <x:c r="D381" s="34" t="str">
        <x:v>Pieza TT10_M396</x:v>
      </x:c>
      <x:c r="E381" s="34" t="str">
        <x:v>ASTM A36</x:v>
      </x:c>
      <x:c r="F381" s="35" t="n">
        <x:v>19.317060272550478</x:v>
      </x:c>
      <x:c r="G381" s="35" t="n">
        <x:f>IF(F381="","",C381*F381)</x:f>
        <x:v>19.317060272550478</x:v>
      </x:c>
      <x:c r="H381" s="33" t="str">
        <x:v>Fabricación</x:v>
      </x:c>
      <x:c r="I381" s="36" t="n">
        <x:v>0.0024607720092420992</x:v>
      </x:c>
      <x:c r="J381" s="33" t="str">
        <x:v>C05E_TT10_M396.SLDPRT</x:v>
      </x:c>
      <x:c r="K381" s="33" t="str">
        <x:v>CAD_volume_x_specified_density</x:v>
      </x:c>
    </x:row>
    <x:row r="382" ht="32" customHeight="1">
      <x:c r="A382" s="33" t="n">
        <x:v>382</x:v>
      </x:c>
      <x:c r="B382" s="33" t="str">
        <x:v>TT10_M401</x:v>
      </x:c>
      <x:c r="C382" s="33" t="n">
        <x:v>1</x:v>
      </x:c>
      <x:c r="D382" s="34" t="str">
        <x:v>Pieza TT10_M401</x:v>
      </x:c>
      <x:c r="E382" s="34" t="str">
        <x:v>ASTM A36</x:v>
      </x:c>
      <x:c r="F382" s="35" t="n">
        <x:v>393.19019316356645</x:v>
      </x:c>
      <x:c r="G382" s="35" t="n">
        <x:f>IF(F382="","",C382*F382)</x:f>
        <x:v>393.19019316356645</x:v>
      </x:c>
      <x:c r="H382" s="33" t="str">
        <x:v>Fabricación</x:v>
      </x:c>
      <x:c r="I382" s="36" t="n">
        <x:v>0.050087922695995726</x:v>
      </x:c>
      <x:c r="J382" s="33" t="str">
        <x:v>C05E_TT10_M401.SLDPRT</x:v>
      </x:c>
      <x:c r="K382" s="33" t="str">
        <x:v>CAD_volume_x_specified_density</x:v>
      </x:c>
    </x:row>
    <x:row r="383" ht="32" customHeight="1">
      <x:c r="A383" s="33" t="n">
        <x:v>383</x:v>
      </x:c>
      <x:c r="B383" s="33" t="str">
        <x:v>TT10_M406</x:v>
      </x:c>
      <x:c r="C383" s="33" t="n">
        <x:v>1</x:v>
      </x:c>
      <x:c r="D383" s="34" t="str">
        <x:v>Pieza TT10_M406</x:v>
      </x:c>
      <x:c r="E383" s="34" t="str">
        <x:v>ASTM A36</x:v>
      </x:c>
      <x:c r="F383" s="35" t="n">
        <x:v>18.304140391760974</x:v>
      </x:c>
      <x:c r="G383" s="35" t="n">
        <x:f>IF(F383="","",C383*F383)</x:f>
        <x:v>18.304140391760974</x:v>
      </x:c>
      <x:c r="H383" s="33" t="str">
        <x:v>Fabricación</x:v>
      </x:c>
      <x:c r="I383" s="36" t="n">
        <x:v>0.002331737629523691</x:v>
      </x:c>
      <x:c r="J383" s="33" t="str">
        <x:v>C05E_TT10_M406.SLDPRT</x:v>
      </x:c>
      <x:c r="K383" s="33" t="str">
        <x:v>CAD_volume_x_specified_density</x:v>
      </x:c>
    </x:row>
    <x:row r="384" ht="32" customHeight="1">
      <x:c r="A384" s="33" t="n">
        <x:v>384</x:v>
      </x:c>
      <x:c r="B384" s="33" t="str">
        <x:v>TT10_M411</x:v>
      </x:c>
      <x:c r="C384" s="33" t="n">
        <x:v>1</x:v>
      </x:c>
      <x:c r="D384" s="34" t="str">
        <x:v>Pieza TT10_M411</x:v>
      </x:c>
      <x:c r="E384" s="34" t="str">
        <x:v>ASTM A36</x:v>
      </x:c>
      <x:c r="F384" s="35" t="n">
        <x:v>393.1901931638319</x:v>
      </x:c>
      <x:c r="G384" s="35" t="n">
        <x:f>IF(F384="","",C384*F384)</x:f>
        <x:v>393.1901931638319</x:v>
      </x:c>
      <x:c r="H384" s="33" t="str">
        <x:v>Fabricación</x:v>
      </x:c>
      <x:c r="I384" s="36" t="n">
        <x:v>0.05008792269602954</x:v>
      </x:c>
      <x:c r="J384" s="33" t="str">
        <x:v>C05E_TT10_M411.SLDPRT</x:v>
      </x:c>
      <x:c r="K384" s="33" t="str">
        <x:v>CAD_volume_x_specified_density</x:v>
      </x:c>
    </x:row>
    <x:row r="385" ht="32" customHeight="1">
      <x:c r="A385" s="33" t="n">
        <x:v>385</x:v>
      </x:c>
      <x:c r="B385" s="33" t="str">
        <x:v>TT10_MB40_N</x:v>
      </x:c>
      <x:c r="C385" s="33" t="n">
        <x:v>1</x:v>
      </x:c>
      <x:c r="D385" s="34" t="str">
        <x:v>MB40 comprada: una pestana plegada nominal en KM40; restantes18 planas</x:v>
      </x:c>
      <x:c r="E385" s="34" t="str">
        <x:v>Acero arandela comercial Timken MB40; variante a confirmar</x:v>
      </x:c>
      <x:c r="F385" s="35" t="n">
        <x:v>0.28</x:v>
      </x:c>
      <x:c r="G385" s="35" t="n">
        <x:f>IF(F385="","",C385*F385)</x:f>
        <x:v>0.28</x:v>
      </x:c>
      <x:c r="H385" s="33" t="str">
        <x:v>Compra</x:v>
      </x:c>
      <x:c r="I385" s="36" t="n">
        <x:v>0.00003738146626038725</x:v>
      </x:c>
      <x:c r="J385" s="33" t="str">
        <x:v>C05E_TT10_MB40_N.SLDPRT</x:v>
      </x:c>
      <x:c r="K385" s="33" t="str">
        <x:v>Catálogo/fuente conservada</x:v>
      </x:c>
    </x:row>
    <x:row r="386" ht="32" customHeight="1">
      <x:c r="A386" s="33" t="n">
        <x:v>386</x:v>
      </x:c>
      <x:c r="B386" s="33" t="str">
        <x:v>TT10_MB40_P</x:v>
      </x:c>
      <x:c r="C386" s="33" t="n">
        <x:v>1</x:v>
      </x:c>
      <x:c r="D386" s="34" t="str">
        <x:v>MB40 comprada: una pestana plegada nominal en KM40; restantes18 planas</x:v>
      </x:c>
      <x:c r="E386" s="34" t="str">
        <x:v>Acero arandela comercial Timken MB40; variante a confirmar</x:v>
      </x:c>
      <x:c r="F386" s="35" t="n">
        <x:v>0.28</x:v>
      </x:c>
      <x:c r="G386" s="35" t="n">
        <x:f>IF(F386="","",C386*F386)</x:f>
        <x:v>0.28</x:v>
      </x:c>
      <x:c r="H386" s="33" t="str">
        <x:v>Compra</x:v>
      </x:c>
      <x:c r="I386" s="36" t="n">
        <x:v>0.0000373814662603872</x:v>
      </x:c>
      <x:c r="J386" s="33" t="str">
        <x:v>C05E_TT10_MB40_P.SLDPRT</x:v>
      </x:c>
      <x:c r="K386" s="33" t="str">
        <x:v>Catálogo/fuente conservada</x:v>
      </x:c>
    </x:row>
    <x:row r="387" ht="32" customHeight="1">
      <x:c r="A387" s="33" t="n">
        <x:v>387</x:v>
      </x:c>
      <x:c r="B387" s="33" t="str">
        <x:v>TT10_N20_P1I</x:v>
      </x:c>
      <x:c r="C387" s="33" t="n">
        <x:v>16</x:v>
      </x:c>
      <x:c r="D387" s="34" t="str">
        <x:v>Tuerca M20 clase8; rosca simplificada</x:v>
      </x:c>
      <x:c r="E387" s="34" t="str">
        <x:v>Tuerca clase 8 / ISO 898-2</x:v>
      </x:c>
      <x:c r="F387" s="35" t="n">
        <x:v>0.05843710791470515</x:v>
      </x:c>
      <x:c r="G387" s="35" t="n">
        <x:f>IF(F387="","",C387*F387)</x:f>
        <x:v>0.9349937266352824</x:v>
      </x:c>
      <x:c r="H387" s="33" t="str">
        <x:v>Compra</x:v>
      </x:c>
      <x:c r="I387" s="36" t="n">
        <x:v>0.000007444217568752248</x:v>
      </x:c>
      <x:c r="J387" s="33" t="str">
        <x:v>C05E_TT10_N20_P1I.SLDPRT</x:v>
      </x:c>
      <x:c r="K387" s="33" t="str">
        <x:v>CAD_volume_x_specified_density</x:v>
      </x:c>
    </x:row>
    <x:row r="388" ht="32" customHeight="1">
      <x:c r="A388" s="33" t="n">
        <x:v>388</x:v>
      </x:c>
      <x:c r="B388" s="33" t="str">
        <x:v>TT10_NODO_N</x:v>
      </x:c>
      <x:c r="C388" s="33" t="n">
        <x:v>1</x:v>
      </x:c>
      <x:c r="D388" s="34" t="str">
        <x:v>Placa de nodo20: unión entre puente desplazado y columna principal</x:v>
      </x:c>
      <x:c r="E388" s="34" t="str">
        <x:v>ASTM A36</x:v>
      </x:c>
      <x:c r="F388" s="35" t="n">
        <x:v>17.073750000000018</x:v>
      </x:c>
      <x:c r="G388" s="35" t="n">
        <x:f>IF(F388="","",C388*F388)</x:f>
        <x:v>17.073750000000018</x:v>
      </x:c>
      <x:c r="H388" s="33" t="str">
        <x:v>Fabricación</x:v>
      </x:c>
      <x:c r="I388" s="36" t="n">
        <x:v>0.0021750000000000025</x:v>
      </x:c>
      <x:c r="J388" s="33" t="str">
        <x:v>C05E_TT10_NODO_N.SLDPRT</x:v>
      </x:c>
      <x:c r="K388" s="33" t="str">
        <x:v>CAD_volume_x_specified_density</x:v>
      </x:c>
    </x:row>
    <x:row r="389" ht="32" customHeight="1">
      <x:c r="A389" s="33" t="n">
        <x:v>389</x:v>
      </x:c>
      <x:c r="B389" s="33" t="str">
        <x:v>TT10_NODO_P</x:v>
      </x:c>
      <x:c r="C389" s="33" t="n">
        <x:v>1</x:v>
      </x:c>
      <x:c r="D389" s="34" t="str">
        <x:v>Placa de nodo20: unión entre puente desplazado y columna principal</x:v>
      </x:c>
      <x:c r="E389" s="34" t="str">
        <x:v>ASTM A36</x:v>
      </x:c>
      <x:c r="F389" s="35" t="n">
        <x:v>17.073750000000015</x:v>
      </x:c>
      <x:c r="G389" s="35" t="n">
        <x:f>IF(F389="","",C389*F389)</x:f>
        <x:v>17.073750000000015</x:v>
      </x:c>
      <x:c r="H389" s="33" t="str">
        <x:v>Fabricación</x:v>
      </x:c>
      <x:c r="I389" s="36" t="n">
        <x:v>0.002175000000000002</x:v>
      </x:c>
      <x:c r="J389" s="33" t="str">
        <x:v>C05E_TT10_NODO_P.SLDPRT</x:v>
      </x:c>
      <x:c r="K389" s="33" t="str">
        <x:v>CAD_volume_x_specified_density</x:v>
      </x:c>
    </x:row>
    <x:row r="390" ht="32" customHeight="1">
      <x:c r="A390" s="33" t="n">
        <x:v>390</x:v>
      </x:c>
      <x:c r="B390" s="33" t="str">
        <x:v>TT10_PE_ACT_CUERPO</x:v>
      </x:c>
      <x:c r="C390" s="33" t="n">
        <x:v>2</x:v>
      </x:c>
      <x:c r="D390" s="34" t="str">
        <x:v>Thomson HD24B026-0250LPS2MMSD: interfaces nominales y envolvente conservadora, NO CAD oficial</x:v>
      </x:c>
      <x:c r="E390" s="34" t="str">
        <x:v>Conjunto comercial; selección condicionada</x:v>
      </x:c>
      <x:c r="F390" s="35"/>
      <x:c r="G390" s="35" t="str">
        <x:f>IF(F390="","",C390*F390)</x:f>
      </x:c>
      <x:c r="H390" s="33" t="str">
        <x:v>Compra</x:v>
      </x:c>
      <x:c r="I390" s="36" t="n">
        <x:v>0.0032862833898049644</x:v>
      </x:c>
      <x:c r="J390" s="33" t="str">
        <x:v>C05E_TT10_PE_ACT_CUERPO.SLDPRT</x:v>
      </x:c>
      <x:c r="K390" s="33" t="str">
        <x:v>OEM_mass_required</x:v>
      </x:c>
    </x:row>
    <x:row r="391" ht="32" customHeight="1">
      <x:c r="A391" s="33" t="n">
        <x:v>391</x:v>
      </x:c>
      <x:c r="B391" s="33" t="str">
        <x:v>TT10_PE_ACT_VASTAGO</x:v>
      </x:c>
      <x:c r="C391" s="33" t="n">
        <x:v>2</x:v>
      </x:c>
      <x:c r="D391" s="34" t="str">
        <x:v>Extremo y vástago comercial nominal D30.2; taladro12.2; parte móvil de candidato Thomson</x:v>
      </x:c>
      <x:c r="E391" s="34" t="str">
        <x:v>Subcomponente de actuador comercial</x:v>
      </x:c>
      <x:c r="F391" s="35"/>
      <x:c r="G391" s="35" t="str">
        <x:f>IF(F391="","",C391*F391)</x:f>
      </x:c>
      <x:c r="H391" s="33" t="str">
        <x:v>Compra</x:v>
      </x:c>
      <x:c r="I391" s="36" t="n">
        <x:v>0.00018529190853264663</x:v>
      </x:c>
      <x:c r="J391" s="33" t="str">
        <x:v>C05E_TT10_PE_ACT_VASTAGO.SLDPRT</x:v>
      </x:c>
      <x:c r="K391" s="33" t="str">
        <x:v>OEM_mass_required</x:v>
      </x:c>
    </x:row>
    <x:row r="392" ht="32" customHeight="1">
      <x:c r="A392" s="33" t="n">
        <x:v>392</x:v>
      </x:c>
      <x:c r="B392" s="33" t="str">
        <x:v>TT10_PE_BA0</x:v>
      </x:c>
      <x:c r="C392" s="33" t="n">
        <x:v>2</x:v>
      </x:c>
      <x:c r="D392" s="34" t="str">
        <x:v>Tornillo M8x40 clase8.8, rosca nominal; fijador de rosca según montaje</x:v>
      </x:c>
      <x:c r="E392" s="34" t="str">
        <x:v>Clase 8.8 / ISO 898-1</x:v>
      </x:c>
      <x:c r="F392" s="35" t="n">
        <x:v>0.02313999416296698</x:v>
      </x:c>
      <x:c r="G392" s="35" t="n">
        <x:f>IF(F392="","",C392*F392)</x:f>
        <x:v>0.04627998832593396</x:v>
      </x:c>
      <x:c r="H392" s="33" t="str">
        <x:v>Compra</x:v>
      </x:c>
      <x:c r="I392" s="36" t="n">
        <x:v>0.0000029477699570658574</x:v>
      </x:c>
      <x:c r="J392" s="33" t="str">
        <x:v>C05E_TT10_PE_BA0.SLDPRT</x:v>
      </x:c>
      <x:c r="K392" s="33" t="str">
        <x:v>CAD_volume_x_specified_density</x:v>
      </x:c>
    </x:row>
    <x:row r="393" ht="32" customHeight="1">
      <x:c r="A393" s="33" t="n">
        <x:v>393</x:v>
      </x:c>
      <x:c r="B393" s="33" t="str">
        <x:v>TT10_PE_BA1</x:v>
      </x:c>
      <x:c r="C393" s="33" t="n">
        <x:v>2</x:v>
      </x:c>
      <x:c r="D393" s="34" t="str">
        <x:v>Tornillo M8x40 clase8.8, rosca nominal; fijador de rosca según montaje</x:v>
      </x:c>
      <x:c r="E393" s="34" t="str">
        <x:v>Clase 8.8 / ISO 898-1</x:v>
      </x:c>
      <x:c r="F393" s="35" t="n">
        <x:v>0.02313999416296698</x:v>
      </x:c>
      <x:c r="G393" s="35" t="n">
        <x:f>IF(F393="","",C393*F393)</x:f>
        <x:v>0.04627998832593396</x:v>
      </x:c>
      <x:c r="H393" s="33" t="str">
        <x:v>Compra</x:v>
      </x:c>
      <x:c r="I393" s="36" t="n">
        <x:v>0.0000029477699570658574</x:v>
      </x:c>
      <x:c r="J393" s="33" t="str">
        <x:v>C05E_TT10_PE_BA1.SLDPRT</x:v>
      </x:c>
      <x:c r="K393" s="33" t="str">
        <x:v>CAD_volume_x_specified_density</x:v>
      </x:c>
    </x:row>
    <x:row r="394" ht="32" customHeight="1">
      <x:c r="A394" s="33" t="n">
        <x:v>394</x:v>
      </x:c>
      <x:c r="B394" s="33" t="str">
        <x:v>TT10_PE_BA2</x:v>
      </x:c>
      <x:c r="C394" s="33" t="n">
        <x:v>2</x:v>
      </x:c>
      <x:c r="D394" s="34" t="str">
        <x:v>Tornillo M8x40 clase8.8, rosca nominal; fijador de rosca según montaje</x:v>
      </x:c>
      <x:c r="E394" s="34" t="str">
        <x:v>Clase 8.8 / ISO 898-1</x:v>
      </x:c>
      <x:c r="F394" s="35" t="n">
        <x:v>0.02313999416296698</x:v>
      </x:c>
      <x:c r="G394" s="35" t="n">
        <x:f>IF(F394="","",C394*F394)</x:f>
        <x:v>0.04627998832593396</x:v>
      </x:c>
      <x:c r="H394" s="33" t="str">
        <x:v>Compra</x:v>
      </x:c>
      <x:c r="I394" s="36" t="n">
        <x:v>0.0000029477699570658574</x:v>
      </x:c>
      <x:c r="J394" s="33" t="str">
        <x:v>C05E_TT10_PE_BA2.SLDPRT</x:v>
      </x:c>
      <x:c r="K394" s="33" t="str">
        <x:v>CAD_volume_x_specified_density</x:v>
      </x:c>
    </x:row>
    <x:row r="395" ht="32" customHeight="1">
      <x:c r="A395" s="33" t="n">
        <x:v>395</x:v>
      </x:c>
      <x:c r="B395" s="33" t="str">
        <x:v>TT10_PE_BA3</x:v>
      </x:c>
      <x:c r="C395" s="33" t="n">
        <x:v>2</x:v>
      </x:c>
      <x:c r="D395" s="34" t="str">
        <x:v>Tornillo M8x40 clase8.8, rosca nominal; fijador de rosca según montaje</x:v>
      </x:c>
      <x:c r="E395" s="34" t="str">
        <x:v>Clase 8.8 / ISO 898-1</x:v>
      </x:c>
      <x:c r="F395" s="35" t="n">
        <x:v>0.02313999416296698</x:v>
      </x:c>
      <x:c r="G395" s="35" t="n">
        <x:f>IF(F395="","",C395*F395)</x:f>
        <x:v>0.04627998832593396</x:v>
      </x:c>
      <x:c r="H395" s="33" t="str">
        <x:v>Compra</x:v>
      </x:c>
      <x:c r="I395" s="36" t="n">
        <x:v>0.0000029477699570658574</x:v>
      </x:c>
      <x:c r="J395" s="33" t="str">
        <x:v>C05E_TT10_PE_BA3.SLDPRT</x:v>
      </x:c>
      <x:c r="K395" s="33" t="str">
        <x:v>CAD_volume_x_specified_density</x:v>
      </x:c>
    </x:row>
    <x:row r="396" ht="32" customHeight="1">
      <x:c r="A396" s="33" t="n">
        <x:v>396</x:v>
      </x:c>
      <x:c r="B396" s="33" t="str">
        <x:v>TT10_PE_BEF</x:v>
      </x:c>
      <x:c r="C396" s="33" t="n">
        <x:v>2</x:v>
      </x:c>
      <x:c r="D396" s="34" t="str">
        <x:v>ISO7380-1 M6x10 8.8; cabeza baja D10.5 H3.3 envolvente; hexágono4; fijador de rosca requerido</x:v>
      </x:c>
      <x:c r="E396" s="34" t="str">
        <x:v>Clase 8.8 / ISO 898-1</x:v>
      </x:c>
      <x:c r="F396" s="35" t="n">
        <x:v>0.004283177876445801</x:v>
      </x:c>
      <x:c r="G396" s="35" t="n">
        <x:f>IF(F396="","",C396*F396)</x:f>
        <x:v>0.008566355752891603</x:v>
      </x:c>
      <x:c r="H396" s="33" t="str">
        <x:v>Compra</x:v>
      </x:c>
      <x:c r="I396" s="36" t="n">
        <x:v>5.456277549612486e-7</x:v>
      </x:c>
      <x:c r="J396" s="33" t="str">
        <x:v>C05E_TT10_PE_BEF.SLDPRT</x:v>
      </x:c>
      <x:c r="K396" s="33" t="str">
        <x:v>CAD_volume_x_specified_density</x:v>
      </x:c>
    </x:row>
    <x:row r="397" ht="32" customHeight="1">
      <x:c r="A397" s="33" t="n">
        <x:v>397</x:v>
      </x:c>
      <x:c r="B397" s="33" t="str">
        <x:v>TT10_PE_BER</x:v>
      </x:c>
      <x:c r="C397" s="33" t="n">
        <x:v>2</x:v>
      </x:c>
      <x:c r="D397" s="34" t="str">
        <x:v>Tornillo M8x12 clase8.8, rosca nominal; fijador de rosca según montaje</x:v>
      </x:c>
      <x:c r="E397" s="34" t="str">
        <x:v>Clase 8.8 / ISO 898-1</x:v>
      </x:c>
      <x:c r="F397" s="35" t="n">
        <x:v>0.012091641118822409</x:v>
      </x:c>
      <x:c r="G397" s="35" t="n">
        <x:f>IF(F397="","",C397*F397)</x:f>
        <x:v>0.024183282237644817</x:v>
      </x:c>
      <x:c r="H397" s="33" t="str">
        <x:v>Compra</x:v>
      </x:c>
      <x:c r="I397" s="36" t="n">
        <x:v>0.0000015403364482576316</x:v>
      </x:c>
      <x:c r="J397" s="33" t="str">
        <x:v>C05E_TT10_PE_BER.SLDPRT</x:v>
      </x:c>
      <x:c r="K397" s="33" t="str">
        <x:v>CAD_volume_x_specified_density</x:v>
      </x:c>
    </x:row>
    <x:row r="398" ht="32" customHeight="1">
      <x:c r="A398" s="33" t="n">
        <x:v>398</x:v>
      </x:c>
      <x:c r="B398" s="33" t="str">
        <x:v>TT10_PE_BF0</x:v>
      </x:c>
      <x:c r="C398" s="33" t="n">
        <x:v>2</x:v>
      </x:c>
      <x:c r="D398" s="34" t="str">
        <x:v>Tornillo M10x25 clase8.8, rosca nominal; fijador de rosca según montaje</x:v>
      </x:c>
      <x:c r="E398" s="34" t="str">
        <x:v>Clase 8.8 / ISO 898-1</x:v>
      </x:c>
      <x:c r="F398" s="35" t="n">
        <x:v>0.02902134463400354</x:v>
      </x:c>
      <x:c r="G398" s="35" t="n">
        <x:f>IF(F398="","",C398*F398)</x:f>
        <x:v>0.05804268926800708</x:v>
      </x:c>
      <x:c r="H398" s="33" t="str">
        <x:v>Compra</x:v>
      </x:c>
      <x:c r="I398" s="36" t="n">
        <x:v>0.000003696986577580069</x:v>
      </x:c>
      <x:c r="J398" s="33" t="str">
        <x:v>C05E_TT10_PE_BF0.SLDPRT</x:v>
      </x:c>
      <x:c r="K398" s="33" t="str">
        <x:v>CAD_volume_x_specified_density</x:v>
      </x:c>
    </x:row>
    <x:row r="399" ht="32" customHeight="1">
      <x:c r="A399" s="33" t="n">
        <x:v>399</x:v>
      </x:c>
      <x:c r="B399" s="33" t="str">
        <x:v>TT10_PE_BF1</x:v>
      </x:c>
      <x:c r="C399" s="33" t="n">
        <x:v>2</x:v>
      </x:c>
      <x:c r="D399" s="34" t="str">
        <x:v>Tornillo M10x25 clase8.8, rosca nominal; fijador de rosca según montaje</x:v>
      </x:c>
      <x:c r="E399" s="34" t="str">
        <x:v>Clase 8.8 / ISO 898-1</x:v>
      </x:c>
      <x:c r="F399" s="35" t="n">
        <x:v>0.02902134463400354</x:v>
      </x:c>
      <x:c r="G399" s="35" t="n">
        <x:f>IF(F399="","",C399*F399)</x:f>
        <x:v>0.05804268926800708</x:v>
      </x:c>
      <x:c r="H399" s="33" t="str">
        <x:v>Compra</x:v>
      </x:c>
      <x:c r="I399" s="36" t="n">
        <x:v>0.000003696986577580069</x:v>
      </x:c>
      <x:c r="J399" s="33" t="str">
        <x:v>C05E_TT10_PE_BF1.SLDPRT</x:v>
      </x:c>
      <x:c r="K399" s="33" t="str">
        <x:v>CAD_volume_x_specified_density</x:v>
      </x:c>
    </x:row>
    <x:row r="400" ht="32" customHeight="1">
      <x:c r="A400" s="33" t="n">
        <x:v>400</x:v>
      </x:c>
      <x:c r="B400" s="33" t="str">
        <x:v>TT10_PE_BR0</x:v>
      </x:c>
      <x:c r="C400" s="33" t="n">
        <x:v>2</x:v>
      </x:c>
      <x:c r="D400" s="34" t="str">
        <x:v>Tornillo M10x25 clase8.8, rosca nominal; fijador de rosca según montaje</x:v>
      </x:c>
      <x:c r="E400" s="34" t="str">
        <x:v>Clase 8.8 / ISO 898-1</x:v>
      </x:c>
      <x:c r="F400" s="35" t="n">
        <x:v>0.02902134463400354</x:v>
      </x:c>
      <x:c r="G400" s="35" t="n">
        <x:f>IF(F400="","",C400*F400)</x:f>
        <x:v>0.05804268926800708</x:v>
      </x:c>
      <x:c r="H400" s="33" t="str">
        <x:v>Compra</x:v>
      </x:c>
      <x:c r="I400" s="36" t="n">
        <x:v>0.000003696986577580069</x:v>
      </x:c>
      <x:c r="J400" s="33" t="str">
        <x:v>C05E_TT10_PE_BR0.SLDPRT</x:v>
      </x:c>
      <x:c r="K400" s="33" t="str">
        <x:v>CAD_volume_x_specified_density</x:v>
      </x:c>
    </x:row>
    <x:row r="401" ht="32" customHeight="1">
      <x:c r="A401" s="33" t="n">
        <x:v>401</x:v>
      </x:c>
      <x:c r="B401" s="33" t="str">
        <x:v>TT10_PE_BR1</x:v>
      </x:c>
      <x:c r="C401" s="33" t="n">
        <x:v>2</x:v>
      </x:c>
      <x:c r="D401" s="34" t="str">
        <x:v>Tornillo M10x25 clase8.8, rosca nominal; fijador de rosca según montaje</x:v>
      </x:c>
      <x:c r="E401" s="34" t="str">
        <x:v>Clase 8.8 / ISO 898-1</x:v>
      </x:c>
      <x:c r="F401" s="35" t="n">
        <x:v>0.02902134463400354</x:v>
      </x:c>
      <x:c r="G401" s="35" t="n">
        <x:f>IF(F401="","",C401*F401)</x:f>
        <x:v>0.05804268926800708</x:v>
      </x:c>
      <x:c r="H401" s="33" t="str">
        <x:v>Compra</x:v>
      </x:c>
      <x:c r="I401" s="36" t="n">
        <x:v>0.000003696986577580069</x:v>
      </x:c>
      <x:c r="J401" s="33" t="str">
        <x:v>C05E_TT10_PE_BR1.SLDPRT</x:v>
      </x:c>
      <x:c r="K401" s="33" t="str">
        <x:v>CAD_volume_x_specified_density</x:v>
      </x:c>
    </x:row>
    <x:row r="402" ht="32" customHeight="1">
      <x:c r="A402" s="33" t="n">
        <x:v>402</x:v>
      </x:c>
      <x:c r="B402" s="33" t="str">
        <x:v>TT10_PE_EJE_F</x:v>
      </x:c>
      <x:c r="C402" s="33" t="n">
        <x:v>2</x:v>
      </x:c>
      <x:c r="D402" s="34" t="str">
        <x:v>Bulón articulación D12 h8, cabeza20x4, M6-6H axial profundidad12; arandela y tornillo de retención</x:v>
      </x:c>
      <x:c r="E402" s="34" t="str">
        <x:v>Arandela endurecida 300 HV / ISO 7089</x:v>
      </x:c>
      <x:c r="F402" s="35" t="n">
        <x:v>0.05283480259324856</x:v>
      </x:c>
      <x:c r="G402" s="35" t="n">
        <x:f>IF(F402="","",C402*F402)</x:f>
        <x:v>0.10566960518649712</x:v>
      </x:c>
      <x:c r="H402" s="33" t="str">
        <x:v>Compra</x:v>
      </x:c>
      <x:c r="I402" s="36" t="n">
        <x:v>0.000006730548101050772</x:v>
      </x:c>
      <x:c r="J402" s="33" t="str">
        <x:v>C05E_TT10_PE_EJE_F.SLDPRT</x:v>
      </x:c>
      <x:c r="K402" s="33" t="str">
        <x:v>CAD_volume_x_specified_density</x:v>
      </x:c>
    </x:row>
    <x:row r="403" ht="32" customHeight="1">
      <x:c r="A403" s="33" t="n">
        <x:v>403</x:v>
      </x:c>
      <x:c r="B403" s="33" t="str">
        <x:v>TT10_PE_EJE_R</x:v>
      </x:c>
      <x:c r="C403" s="33" t="n">
        <x:v>2</x:v>
      </x:c>
      <x:c r="D403" s="34" t="str">
        <x:v>Bulón articulación D12 h8, cabeza20x4, M8-6H axial profundidad12; arandela y tornillo de retención</x:v>
      </x:c>
      <x:c r="E403" s="34" t="str">
        <x:v>Arandela endurecida 300 HV / ISO 7089</x:v>
      </x:c>
      <x:c r="F403" s="35" t="n">
        <x:v>0.04676807301990131</x:v>
      </x:c>
      <x:c r="G403" s="35" t="n">
        <x:f>IF(F403="","",C403*F403)</x:f>
        <x:v>0.09353614603980262</x:v>
      </x:c>
      <x:c r="H403" s="33" t="str">
        <x:v>Compra</x:v>
      </x:c>
      <x:c r="I403" s="36" t="n">
        <x:v>0.000005957716308267683</x:v>
      </x:c>
      <x:c r="J403" s="33" t="str">
        <x:v>C05E_TT10_PE_EJE_R.SLDPRT</x:v>
      </x:c>
      <x:c r="K403" s="33" t="str">
        <x:v>CAD_volume_x_specified_density</x:v>
      </x:c>
    </x:row>
    <x:row r="404" ht="32" customHeight="1">
      <x:c r="A404" s="33" t="n">
        <x:v>404</x:v>
      </x:c>
      <x:c r="B404" s="33" t="str">
        <x:v>TT10_PE_HORQ_F</x:v>
      </x:c>
      <x:c r="C404" s="33" t="n">
        <x:v>2</x:v>
      </x:c>
      <x:c r="D404" s="34" t="str">
        <x:v>Horquilla frontal integral S355: base60x10, separación31.2, dos orejas10, D12.2H8; 2M10 de fijación</x:v>
      </x:c>
      <x:c r="E404" s="34" t="str">
        <x:v>ASTM A36</x:v>
      </x:c>
      <x:c r="F404" s="35" t="n">
        <x:v>0.40220022203164274</x:v>
      </x:c>
      <x:c r="G404" s="35" t="n">
        <x:f>IF(F404="","",C404*F404)</x:f>
        <x:v>0.8044004440632855</x:v>
      </x:c>
      <x:c r="H404" s="33" t="str">
        <x:v>Fabricación</x:v>
      </x:c>
      <x:c r="I404" s="36" t="n">
        <x:v>0.000051235697074094613</x:v>
      </x:c>
      <x:c r="J404" s="33" t="str">
        <x:v>C05E_TT10_PE_HORQ_F.SLDPRT</x:v>
      </x:c>
      <x:c r="K404" s="33" t="str">
        <x:v>CAD_volume_x_specified_density</x:v>
      </x:c>
    </x:row>
    <x:row r="405" ht="32" customHeight="1">
      <x:c r="A405" s="33" t="n">
        <x:v>405</x:v>
      </x:c>
      <x:c r="B405" s="33" t="str">
        <x:v>TT10_PE_HORQ_R</x:v>
      </x:c>
      <x:c r="C405" s="33" t="n">
        <x:v>2</x:v>
      </x:c>
      <x:c r="D405" s="34" t="str">
        <x:v>Horquilla trasera mecanizada: base130x60x10; separación26.4; eje12; 2M10</x:v>
      </x:c>
      <x:c r="E405" s="34" t="str">
        <x:v>ASTM A36</x:v>
      </x:c>
      <x:c r="F405" s="35" t="n">
        <x:v>0.8302267010554469</x:v>
      </x:c>
      <x:c r="G405" s="35" t="n">
        <x:f>IF(F405="","",C405*F405)</x:f>
        <x:v>1.6604534021108939</x:v>
      </x:c>
      <x:c r="H405" s="33" t="str">
        <x:v>Fabricación</x:v>
      </x:c>
      <x:c r="I405" s="36" t="n">
        <x:v>0.00010576136319177668</x:v>
      </x:c>
      <x:c r="J405" s="33" t="str">
        <x:v>C05E_TT10_PE_HORQ_R.SLDPRT</x:v>
      </x:c>
      <x:c r="K405" s="33" t="str">
        <x:v>CAD_volume_x_specified_density</x:v>
      </x:c>
    </x:row>
    <x:row r="406" ht="32" customHeight="1">
      <x:c r="A406" s="33" t="n">
        <x:v>406</x:v>
      </x:c>
      <x:c r="B406" s="33" t="str">
        <x:v>TT10_PE_LARG_L</x:v>
      </x:c>
      <x:c r="C406" s="33" t="n">
        <x:v>2</x:v>
      </x:c>
      <x:c r="D406" s="34" t="str">
        <x:v>Larguero S355 plano12x80; corte a longitud503.0</x:v>
      </x:c>
      <x:c r="E406" s="34" t="str">
        <x:v>ASTM A36</x:v>
      </x:c>
      <x:c r="F406" s="35" t="n">
        <x:v>3.790607999999999</x:v>
      </x:c>
      <x:c r="G406" s="35" t="n">
        <x:f>IF(F406="","",C406*F406)</x:f>
        <x:v>7.581215999999998</x:v>
      </x:c>
      <x:c r="H406" s="33" t="str">
        <x:v>Fabricación</x:v>
      </x:c>
      <x:c r="I406" s="36" t="n">
        <x:v>0.0004828799999999999</x:v>
      </x:c>
      <x:c r="J406" s="33" t="str">
        <x:v>C05E_TT10_PE_LARG_L.SLDPRT</x:v>
      </x:c>
      <x:c r="K406" s="33" t="str">
        <x:v>CAD_volume_x_specified_density</x:v>
      </x:c>
    </x:row>
    <x:row r="407" ht="32" customHeight="1">
      <x:c r="A407" s="33" t="n">
        <x:v>407</x:v>
      </x:c>
      <x:c r="B407" s="33" t="str">
        <x:v>TT10_PE_LARG_R</x:v>
      </x:c>
      <x:c r="C407" s="33" t="n">
        <x:v>2</x:v>
      </x:c>
      <x:c r="D407" s="34" t="str">
        <x:v>Larguero S355 plano12x80; corte a longitud503.0</x:v>
      </x:c>
      <x:c r="E407" s="34" t="str">
        <x:v>ASTM A36</x:v>
      </x:c>
      <x:c r="F407" s="35" t="n">
        <x:v>3.790607999999999</x:v>
      </x:c>
      <x:c r="G407" s="35" t="n">
        <x:f>IF(F407="","",C407*F407)</x:f>
        <x:v>7.581215999999998</x:v>
      </x:c>
      <x:c r="H407" s="33" t="str">
        <x:v>Fabricación</x:v>
      </x:c>
      <x:c r="I407" s="36" t="n">
        <x:v>0.0004828799999999999</x:v>
      </x:c>
      <x:c r="J407" s="33" t="str">
        <x:v>C05E_TT10_PE_LARG_R.SLDPRT</x:v>
      </x:c>
      <x:c r="K407" s="33" t="str">
        <x:v>CAD_volume_x_specified_density</x:v>
      </x:c>
    </x:row>
    <x:row r="408" ht="32" customHeight="1">
      <x:c r="A408" s="33" t="n">
        <x:v>408</x:v>
      </x:c>
      <x:c r="B408" s="33" t="str">
        <x:v>TT10_PE_NA0</x:v>
      </x:c>
      <x:c r="C408" s="33" t="n">
        <x:v>2</x:v>
      </x:c>
      <x:c r="D408" s="34" t="str">
        <x:v>Tuerca M8 clase8; rosca nominal, retención por fijador especificado</x:v>
      </x:c>
      <x:c r="E408" s="34" t="str">
        <x:v>Tuerca clase 8 / ISO 898-2</x:v>
      </x:c>
      <x:c r="F408" s="35" t="n">
        <x:v>0.004903135670158359</x:v>
      </x:c>
      <x:c r="G408" s="35" t="n">
        <x:f>IF(F408="","",C408*F408)</x:f>
        <x:v>0.009806271340316718</x:v>
      </x:c>
      <x:c r="H408" s="33" t="str">
        <x:v>Compra</x:v>
      </x:c>
      <x:c r="I408" s="36" t="n">
        <x:v>6.246032700838674e-7</x:v>
      </x:c>
      <x:c r="J408" s="33" t="str">
        <x:v>C05E_TT10_PE_NA0.SLDPRT</x:v>
      </x:c>
      <x:c r="K408" s="33" t="str">
        <x:v>CAD_volume_x_specified_density</x:v>
      </x:c>
    </x:row>
    <x:row r="409" ht="32" customHeight="1">
      <x:c r="A409" s="33" t="n">
        <x:v>409</x:v>
      </x:c>
      <x:c r="B409" s="33" t="str">
        <x:v>TT10_PE_NA1</x:v>
      </x:c>
      <x:c r="C409" s="33" t="n">
        <x:v>2</x:v>
      </x:c>
      <x:c r="D409" s="34" t="str">
        <x:v>Tuerca M8 clase8; rosca nominal, retención por fijador especificado</x:v>
      </x:c>
      <x:c r="E409" s="34" t="str">
        <x:v>Tuerca clase 8 / ISO 898-2</x:v>
      </x:c>
      <x:c r="F409" s="35" t="n">
        <x:v>0.004903135670158359</x:v>
      </x:c>
      <x:c r="G409" s="35" t="n">
        <x:f>IF(F409="","",C409*F409)</x:f>
        <x:v>0.009806271340316718</x:v>
      </x:c>
      <x:c r="H409" s="33" t="str">
        <x:v>Compra</x:v>
      </x:c>
      <x:c r="I409" s="36" t="n">
        <x:v>6.246032700838674e-7</x:v>
      </x:c>
      <x:c r="J409" s="33" t="str">
        <x:v>C05E_TT10_PE_NA1.SLDPRT</x:v>
      </x:c>
      <x:c r="K409" s="33" t="str">
        <x:v>CAD_volume_x_specified_density</x:v>
      </x:c>
    </x:row>
    <x:row r="410" ht="32" customHeight="1">
      <x:c r="A410" s="33" t="n">
        <x:v>410</x:v>
      </x:c>
      <x:c r="B410" s="33" t="str">
        <x:v>TT10_PE_NA2</x:v>
      </x:c>
      <x:c r="C410" s="33" t="n">
        <x:v>2</x:v>
      </x:c>
      <x:c r="D410" s="34" t="str">
        <x:v>Tuerca M8 clase8; rosca nominal, retención por fijador especificado</x:v>
      </x:c>
      <x:c r="E410" s="34" t="str">
        <x:v>Tuerca clase 8 / ISO 898-2</x:v>
      </x:c>
      <x:c r="F410" s="35" t="n">
        <x:v>0.004903135670158359</x:v>
      </x:c>
      <x:c r="G410" s="35" t="n">
        <x:f>IF(F410="","",C410*F410)</x:f>
        <x:v>0.009806271340316718</x:v>
      </x:c>
      <x:c r="H410" s="33" t="str">
        <x:v>Compra</x:v>
      </x:c>
      <x:c r="I410" s="36" t="n">
        <x:v>6.246032700838674e-7</x:v>
      </x:c>
      <x:c r="J410" s="33" t="str">
        <x:v>C05E_TT10_PE_NA2.SLDPRT</x:v>
      </x:c>
      <x:c r="K410" s="33" t="str">
        <x:v>CAD_volume_x_specified_density</x:v>
      </x:c>
    </x:row>
    <x:row r="411" ht="32" customHeight="1">
      <x:c r="A411" s="33" t="n">
        <x:v>411</x:v>
      </x:c>
      <x:c r="B411" s="33" t="str">
        <x:v>TT10_PE_NA3</x:v>
      </x:c>
      <x:c r="C411" s="33" t="n">
        <x:v>2</x:v>
      </x:c>
      <x:c r="D411" s="34" t="str">
        <x:v>Tuerca M8 clase8; rosca nominal, retención por fijador especificado</x:v>
      </x:c>
      <x:c r="E411" s="34" t="str">
        <x:v>Tuerca clase 8 / ISO 898-2</x:v>
      </x:c>
      <x:c r="F411" s="35" t="n">
        <x:v>0.004903135670158359</x:v>
      </x:c>
      <x:c r="G411" s="35" t="n">
        <x:f>IF(F411="","",C411*F411)</x:f>
        <x:v>0.009806271340316718</x:v>
      </x:c>
      <x:c r="H411" s="33" t="str">
        <x:v>Compra</x:v>
      </x:c>
      <x:c r="I411" s="36" t="n">
        <x:v>6.246032700838674e-7</x:v>
      </x:c>
      <x:c r="J411" s="33" t="str">
        <x:v>C05E_TT10_PE_NA3.SLDPRT</x:v>
      </x:c>
      <x:c r="K411" s="33" t="str">
        <x:v>CAD_volume_x_specified_density</x:v>
      </x:c>
    </x:row>
    <x:row r="412" ht="32" customHeight="1">
      <x:c r="A412" s="33" t="n">
        <x:v>412</x:v>
      </x:c>
      <x:c r="B412" s="33" t="str">
        <x:v>TT10_PE_PIN</x:v>
      </x:c>
      <x:c r="C412" s="33" t="n">
        <x:v>2</x:v>
      </x:c>
      <x:c r="D412" s="34" t="str">
        <x:v>Pasador Ø65 f7 x 330; cabeza Ø90 x 15; R3; 34CrNiMo6+QT Rp0,2 mín.800 MPa</x:v>
      </x:c>
      <x:c r="E412" s="34" t="str">
        <x:v>34CrNiMo6+QT; Rp0,2 mín.800 MPa, sección&lt;=100mm</x:v>
      </x:c>
      <x:c r="F412" s="35" t="n">
        <x:v>9.325587971597121</x:v>
      </x:c>
      <x:c r="G412" s="35" t="n">
        <x:f>IF(F412="","",C412*F412)</x:f>
        <x:v>18.651175943194243</x:v>
      </x:c>
      <x:c r="H412" s="33" t="str">
        <x:v>Fabricación</x:v>
      </x:c>
      <x:c r="I412" s="36" t="n">
        <x:v>0.0011879729900123722</x:v>
      </x:c>
      <x:c r="J412" s="33" t="str">
        <x:v>C05E_TT10_PE_PIN.SLDPRT</x:v>
      </x:c>
      <x:c r="K412" s="33" t="str">
        <x:v>BRep nativo SolidWorks; densidad7850 kg/m³; 25/10/2026</x:v>
      </x:c>
    </x:row>
    <x:row r="413" ht="32" customHeight="1">
      <x:c r="A413" s="33" t="n">
        <x:v>413</x:v>
      </x:c>
      <x:c r="B413" s="33" t="str">
        <x:v>TT10_PE_PLACA_F</x:v>
      </x:c>
      <x:c r="C413" s="33" t="n">
        <x:v>2</x:v>
      </x:c>
      <x:c r="D413" s="34" t="str">
        <x:v>Placa de bastidor160x160x12; D70;4D9 y4aliviosD42 abiertos en esquinas para tuercas existentes</x:v>
      </x:c>
      <x:c r="E413" s="34" t="str">
        <x:v>ASTM A36</x:v>
      </x:c>
      <x:c r="F413" s="35" t="n">
        <x:v>1.4860114921907153</x:v>
      </x:c>
      <x:c r="G413" s="35" t="n">
        <x:f>IF(F413="","",C413*F413)</x:f>
        <x:v>2.9720229843814305</x:v>
      </x:c>
      <x:c r="H413" s="33" t="str">
        <x:v>Fabricación</x:v>
      </x:c>
      <x:c r="I413" s="36" t="n">
        <x:v>0.00018930082703066438</x:v>
      </x:c>
      <x:c r="J413" s="33" t="str">
        <x:v>C05E_TT10_PE_PLACA_F.SLDPRT</x:v>
      </x:c>
      <x:c r="K413" s="33" t="str">
        <x:v>CAD_volume_x_specified_density</x:v>
      </x:c>
    </x:row>
    <x:row r="414" ht="32" customHeight="1">
      <x:c r="A414" s="33" t="n">
        <x:v>414</x:v>
      </x:c>
      <x:c r="B414" s="33" t="str">
        <x:v>TT10_PE_PLACA_R</x:v>
      </x:c>
      <x:c r="C414" s="33" t="n">
        <x:v>2</x:v>
      </x:c>
      <x:c r="D414" s="34" t="str">
        <x:v>Travesaño160x80x12; 2M10-6H pasantes en X±45; frentes soldados a largueros</x:v>
      </x:c>
      <x:c r="E414" s="34" t="str">
        <x:v>ASTM A36</x:v>
      </x:c>
      <x:c r="F414" s="35" t="n">
        <x:v>1.190963098601592</x:v>
      </x:c>
      <x:c r="G414" s="35" t="n">
        <x:f>IF(F414="","",C414*F414)</x:f>
        <x:v>2.381926197203184</x:v>
      </x:c>
      <x:c r="H414" s="33" t="str">
        <x:v>Fabricación</x:v>
      </x:c>
      <x:c r="I414" s="36" t="n">
        <x:v>0.00015171504440784613</x:v>
      </x:c>
      <x:c r="J414" s="33" t="str">
        <x:v>C05E_TT10_PE_PLACA_R.SLDPRT</x:v>
      </x:c>
      <x:c r="K414" s="33" t="str">
        <x:v>CAD_volume_x_specified_density</x:v>
      </x:c>
    </x:row>
    <x:row r="415" ht="32" customHeight="1">
      <x:c r="A415" s="33" t="n">
        <x:v>415</x:v>
      </x:c>
      <x:c r="B415" s="33" t="str">
        <x:v>TT10_PE_RETEN</x:v>
      </x:c>
      <x:c r="C415" s="33" t="n">
        <x:v>2</x:v>
      </x:c>
      <x:c r="D415" s="34" t="str">
        <x:v>Placa cautiva160x160x15: amplía paso aD68,4D22 original; añade4D9 en X±45 Z±30</x:v>
      </x:c>
      <x:c r="E415" s="34" t="str">
        <x:v>ASTM A36</x:v>
      </x:c>
      <x:c r="F415" s="35" t="n">
        <x:v>2.377763317333499</x:v>
      </x:c>
      <x:c r="G415" s="35" t="n">
        <x:f>IF(F415="","",C415*F415)</x:f>
        <x:v>4.755526634666998</x:v>
      </x:c>
      <x:c r="H415" s="33" t="str">
        <x:v>Fabricación</x:v>
      </x:c>
      <x:c r="I415" s="36" t="n">
        <x:v>0.00030289978564757947</x:v>
      </x:c>
      <x:c r="J415" s="33" t="str">
        <x:v>C05E_TT10_PE_RETEN.SLDPRT</x:v>
      </x:c>
      <x:c r="K415" s="33" t="str">
        <x:v>CAD_volume_x_specified_density</x:v>
      </x:c>
    </x:row>
    <x:row r="416" ht="32" customHeight="1">
      <x:c r="A416" s="33" t="n">
        <x:v>416</x:v>
      </x:c>
      <x:c r="B416" s="33" t="str">
        <x:v>TT10_PE_WA0</x:v>
      </x:c>
      <x:c r="C416" s="33" t="n">
        <x:v>2</x:v>
      </x:c>
      <x:c r="D416" s="34" t="str">
        <x:v>Arandela D16/d8.4/t1.6</x:v>
      </x:c>
      <x:c r="E416" s="34" t="str">
        <x:v>Arandela endurecida 300 HV / ISO 7089</x:v>
      </x:c>
      <x:c r="F416" s="35" t="n">
        <x:v>0.0018292915968805101</x:v>
      </x:c>
      <x:c r="G416" s="35" t="n">
        <x:f>IF(F416="","",C416*F416)</x:f>
        <x:v>0.0036585831937610202</x:v>
      </x:c>
      <x:c r="H416" s="33" t="str">
        <x:v>Compra</x:v>
      </x:c>
      <x:c r="I416" s="36" t="n">
        <x:v>2.3303077667267645e-7</x:v>
      </x:c>
      <x:c r="J416" s="33" t="str">
        <x:v>C05E_TT10_PE_WA0.SLDPRT</x:v>
      </x:c>
      <x:c r="K416" s="33" t="str">
        <x:v>CAD_volume_x_specified_density</x:v>
      </x:c>
    </x:row>
    <x:row r="417" ht="32" customHeight="1">
      <x:c r="A417" s="33" t="n">
        <x:v>417</x:v>
      </x:c>
      <x:c r="B417" s="33" t="str">
        <x:v>TT10_PE_WA1</x:v>
      </x:c>
      <x:c r="C417" s="33" t="n">
        <x:v>2</x:v>
      </x:c>
      <x:c r="D417" s="34" t="str">
        <x:v>Arandela D16/d8.4/t1.6</x:v>
      </x:c>
      <x:c r="E417" s="34" t="str">
        <x:v>Arandela endurecida 300 HV / ISO 7089</x:v>
      </x:c>
      <x:c r="F417" s="35" t="n">
        <x:v>0.0018292915968805101</x:v>
      </x:c>
      <x:c r="G417" s="35" t="n">
        <x:f>IF(F417="","",C417*F417)</x:f>
        <x:v>0.0036585831937610202</x:v>
      </x:c>
      <x:c r="H417" s="33" t="str">
        <x:v>Compra</x:v>
      </x:c>
      <x:c r="I417" s="36" t="n">
        <x:v>2.3303077667267645e-7</x:v>
      </x:c>
      <x:c r="J417" s="33" t="str">
        <x:v>C05E_TT10_PE_WA1.SLDPRT</x:v>
      </x:c>
      <x:c r="K417" s="33" t="str">
        <x:v>CAD_volume_x_specified_density</x:v>
      </x:c>
    </x:row>
    <x:row r="418" ht="32" customHeight="1">
      <x:c r="A418" s="33" t="n">
        <x:v>418</x:v>
      </x:c>
      <x:c r="B418" s="33" t="str">
        <x:v>TT10_PE_WA2</x:v>
      </x:c>
      <x:c r="C418" s="33" t="n">
        <x:v>2</x:v>
      </x:c>
      <x:c r="D418" s="34" t="str">
        <x:v>Arandela D16/d8.4/t1.6</x:v>
      </x:c>
      <x:c r="E418" s="34" t="str">
        <x:v>Arandela endurecida 300 HV / ISO 7089</x:v>
      </x:c>
      <x:c r="F418" s="35" t="n">
        <x:v>0.0018292915968805101</x:v>
      </x:c>
      <x:c r="G418" s="35" t="n">
        <x:f>IF(F418="","",C418*F418)</x:f>
        <x:v>0.0036585831937610202</x:v>
      </x:c>
      <x:c r="H418" s="33" t="str">
        <x:v>Compra</x:v>
      </x:c>
      <x:c r="I418" s="36" t="n">
        <x:v>2.3303077667267645e-7</x:v>
      </x:c>
      <x:c r="J418" s="33" t="str">
        <x:v>C05E_TT10_PE_WA2.SLDPRT</x:v>
      </x:c>
      <x:c r="K418" s="33" t="str">
        <x:v>CAD_volume_x_specified_density</x:v>
      </x:c>
    </x:row>
    <x:row r="419" ht="32" customHeight="1">
      <x:c r="A419" s="33" t="n">
        <x:v>419</x:v>
      </x:c>
      <x:c r="B419" s="33" t="str">
        <x:v>TT10_PE_WA3</x:v>
      </x:c>
      <x:c r="C419" s="33" t="n">
        <x:v>2</x:v>
      </x:c>
      <x:c r="D419" s="34" t="str">
        <x:v>Arandela D16/d8.4/t1.6</x:v>
      </x:c>
      <x:c r="E419" s="34" t="str">
        <x:v>Arandela endurecida 300 HV / ISO 7089</x:v>
      </x:c>
      <x:c r="F419" s="35" t="n">
        <x:v>0.0018292915968805101</x:v>
      </x:c>
      <x:c r="G419" s="35" t="n">
        <x:f>IF(F419="","",C419*F419)</x:f>
        <x:v>0.0036585831937610202</x:v>
      </x:c>
      <x:c r="H419" s="33" t="str">
        <x:v>Compra</x:v>
      </x:c>
      <x:c r="I419" s="36" t="n">
        <x:v>2.3303077667267645e-7</x:v>
      </x:c>
      <x:c r="J419" s="33" t="str">
        <x:v>C05E_TT10_PE_WA3.SLDPRT</x:v>
      </x:c>
      <x:c r="K419" s="33" t="str">
        <x:v>CAD_volume_x_specified_density</x:v>
      </x:c>
    </x:row>
    <x:row r="420" ht="32" customHeight="1">
      <x:c r="A420" s="33" t="n">
        <x:v>420</x:v>
      </x:c>
      <x:c r="B420" s="33" t="str">
        <x:v>TT10_PE_WEF</x:v>
      </x:c>
      <x:c r="C420" s="33" t="n">
        <x:v>2</x:v>
      </x:c>
      <x:c r="D420" s="34" t="str">
        <x:v>Arandela D12/d6.4/t1.6</x:v>
      </x:c>
      <x:c r="E420" s="34" t="str">
        <x:v>Arandela endurecida 300 HV / ISO 7089</x:v>
      </x:c>
      <x:c r="F420" s="35" t="n">
        <x:v>0.001016448480061302</x:v>
      </x:c>
      <x:c r="G420" s="35" t="n">
        <x:f>IF(F420="","",C420*F420)</x:f>
        <x:v>0.002032896960122604</x:v>
      </x:c>
      <x:c r="H420" s="33" t="str">
        <x:v>Compra</x:v>
      </x:c>
      <x:c r="I420" s="36" t="n">
        <x:v>1.2948388281035694e-7</x:v>
      </x:c>
      <x:c r="J420" s="33" t="str">
        <x:v>C05E_TT10_PE_WEF.SLDPRT</x:v>
      </x:c>
      <x:c r="K420" s="33" t="str">
        <x:v>CAD_volume_x_specified_density</x:v>
      </x:c>
    </x:row>
    <x:row r="421" ht="32" customHeight="1">
      <x:c r="A421" s="33" t="n">
        <x:v>421</x:v>
      </x:c>
      <x:c r="B421" s="33" t="str">
        <x:v>TT10_PE_WER</x:v>
      </x:c>
      <x:c r="C421" s="33" t="n">
        <x:v>2</x:v>
      </x:c>
      <x:c r="D421" s="34" t="str">
        <x:v>Arandela D20/d8.4/t2</x:v>
      </x:c>
      <x:c r="E421" s="34" t="str">
        <x:v>Arandela endurecida 300 HV / ISO 7089</x:v>
      </x:c>
      <x:c r="F421" s="35" t="n">
        <x:v>0.00406224266390959</x:v>
      </x:c>
      <x:c r="G421" s="35" t="n">
        <x:f>IF(F421="","",C421*F421)</x:f>
        <x:v>0.00812448532781918</x:v>
      </x:c>
      <x:c r="H421" s="33" t="str">
        <x:v>Compra</x:v>
      </x:c>
      <x:c r="I421" s="36" t="n">
        <x:v>5.174831418993108e-7</x:v>
      </x:c>
      <x:c r="J421" s="33" t="str">
        <x:v>C05E_TT10_PE_WER.SLDPRT</x:v>
      </x:c>
      <x:c r="K421" s="33" t="str">
        <x:v>CAD_volume_x_specified_density</x:v>
      </x:c>
    </x:row>
    <x:row r="422" ht="32" customHeight="1">
      <x:c r="A422" s="33" t="n">
        <x:v>422</x:v>
      </x:c>
      <x:c r="B422" s="33" t="str">
        <x:v>TT10_PE_WF0</x:v>
      </x:c>
      <x:c r="C422" s="33" t="n">
        <x:v>2</x:v>
      </x:c>
      <x:c r="D422" s="34" t="str">
        <x:v>Arandela D20/d10.5/t2</x:v>
      </x:c>
      <x:c r="E422" s="34" t="str">
        <x:v>Arandela endurecida 300 HV / ISO 7089</x:v>
      </x:c>
      <x:c r="F422" s="35" t="n">
        <x:v>0.003572835150157247</x:v>
      </x:c>
      <x:c r="G422" s="35" t="n">
        <x:f>IF(F422="","",C422*F422)</x:f>
        <x:v>0.007145670300314494</x:v>
      </x:c>
      <x:c r="H422" s="33" t="str">
        <x:v>Compra</x:v>
      </x:c>
      <x:c r="I422" s="36" t="n">
        <x:v>4.551382356888213e-7</x:v>
      </x:c>
      <x:c r="J422" s="33" t="str">
        <x:v>C05E_TT10_PE_WF0.SLDPRT</x:v>
      </x:c>
      <x:c r="K422" s="33" t="str">
        <x:v>CAD_volume_x_specified_density</x:v>
      </x:c>
    </x:row>
    <x:row r="423" ht="32" customHeight="1">
      <x:c r="A423" s="33" t="n">
        <x:v>423</x:v>
      </x:c>
      <x:c r="B423" s="33" t="str">
        <x:v>TT10_PE_WF1</x:v>
      </x:c>
      <x:c r="C423" s="33" t="n">
        <x:v>2</x:v>
      </x:c>
      <x:c r="D423" s="34" t="str">
        <x:v>Arandela D20/d10.5/t2</x:v>
      </x:c>
      <x:c r="E423" s="34" t="str">
        <x:v>Arandela endurecida 300 HV / ISO 7089</x:v>
      </x:c>
      <x:c r="F423" s="35" t="n">
        <x:v>0.003572835150157247</x:v>
      </x:c>
      <x:c r="G423" s="35" t="n">
        <x:f>IF(F423="","",C423*F423)</x:f>
        <x:v>0.007145670300314494</x:v>
      </x:c>
      <x:c r="H423" s="33" t="str">
        <x:v>Compra</x:v>
      </x:c>
      <x:c r="I423" s="36" t="n">
        <x:v>4.551382356888213e-7</x:v>
      </x:c>
      <x:c r="J423" s="33" t="str">
        <x:v>C05E_TT10_PE_WF1.SLDPRT</x:v>
      </x:c>
      <x:c r="K423" s="33" t="str">
        <x:v>CAD_volume_x_specified_density</x:v>
      </x:c>
    </x:row>
    <x:row r="424" ht="32" customHeight="1">
      <x:c r="A424" s="33" t="n">
        <x:v>424</x:v>
      </x:c>
      <x:c r="B424" s="33" t="str">
        <x:v>TT10_PE_WN0</x:v>
      </x:c>
      <x:c r="C424" s="33" t="n">
        <x:v>2</x:v>
      </x:c>
      <x:c r="D424" s="34" t="str">
        <x:v>Arandela D16/d8.4/t1.6</x:v>
      </x:c>
      <x:c r="E424" s="34" t="str">
        <x:v>Arandela endurecida 300 HV / ISO 7089</x:v>
      </x:c>
      <x:c r="F424" s="35" t="n">
        <x:v>0.0018292915968805101</x:v>
      </x:c>
      <x:c r="G424" s="35" t="n">
        <x:f>IF(F424="","",C424*F424)</x:f>
        <x:v>0.0036585831937610202</x:v>
      </x:c>
      <x:c r="H424" s="33" t="str">
        <x:v>Compra</x:v>
      </x:c>
      <x:c r="I424" s="36" t="n">
        <x:v>2.3303077667267645e-7</x:v>
      </x:c>
      <x:c r="J424" s="33" t="str">
        <x:v>C05E_TT10_PE_WN0.SLDPRT</x:v>
      </x:c>
      <x:c r="K424" s="33" t="str">
        <x:v>CAD_volume_x_specified_density</x:v>
      </x:c>
    </x:row>
    <x:row r="425" ht="32" customHeight="1">
      <x:c r="A425" s="33" t="n">
        <x:v>425</x:v>
      </x:c>
      <x:c r="B425" s="33" t="str">
        <x:v>TT10_PE_WN1</x:v>
      </x:c>
      <x:c r="C425" s="33" t="n">
        <x:v>2</x:v>
      </x:c>
      <x:c r="D425" s="34" t="str">
        <x:v>Arandela D16/d8.4/t1.6</x:v>
      </x:c>
      <x:c r="E425" s="34" t="str">
        <x:v>Arandela endurecida 300 HV / ISO 7089</x:v>
      </x:c>
      <x:c r="F425" s="35" t="n">
        <x:v>0.0018292915968805101</x:v>
      </x:c>
      <x:c r="G425" s="35" t="n">
        <x:f>IF(F425="","",C425*F425)</x:f>
        <x:v>0.0036585831937610202</x:v>
      </x:c>
      <x:c r="H425" s="33" t="str">
        <x:v>Compra</x:v>
      </x:c>
      <x:c r="I425" s="36" t="n">
        <x:v>2.3303077667267645e-7</x:v>
      </x:c>
      <x:c r="J425" s="33" t="str">
        <x:v>C05E_TT10_PE_WN1.SLDPRT</x:v>
      </x:c>
      <x:c r="K425" s="33" t="str">
        <x:v>CAD_volume_x_specified_density</x:v>
      </x:c>
    </x:row>
    <x:row r="426" ht="32" customHeight="1">
      <x:c r="A426" s="33" t="n">
        <x:v>426</x:v>
      </x:c>
      <x:c r="B426" s="33" t="str">
        <x:v>TT10_PE_WN2</x:v>
      </x:c>
      <x:c r="C426" s="33" t="n">
        <x:v>2</x:v>
      </x:c>
      <x:c r="D426" s="34" t="str">
        <x:v>Arandela D16/d8.4/t1.6</x:v>
      </x:c>
      <x:c r="E426" s="34" t="str">
        <x:v>Arandela endurecida 300 HV / ISO 7089</x:v>
      </x:c>
      <x:c r="F426" s="35" t="n">
        <x:v>0.0018292915968805101</x:v>
      </x:c>
      <x:c r="G426" s="35" t="n">
        <x:f>IF(F426="","",C426*F426)</x:f>
        <x:v>0.0036585831937610202</x:v>
      </x:c>
      <x:c r="H426" s="33" t="str">
        <x:v>Compra</x:v>
      </x:c>
      <x:c r="I426" s="36" t="n">
        <x:v>2.3303077667267645e-7</x:v>
      </x:c>
      <x:c r="J426" s="33" t="str">
        <x:v>C05E_TT10_PE_WN2.SLDPRT</x:v>
      </x:c>
      <x:c r="K426" s="33" t="str">
        <x:v>CAD_volume_x_specified_density</x:v>
      </x:c>
    </x:row>
    <x:row r="427" ht="32" customHeight="1">
      <x:c r="A427" s="33" t="n">
        <x:v>427</x:v>
      </x:c>
      <x:c r="B427" s="33" t="str">
        <x:v>TT10_PE_WN3</x:v>
      </x:c>
      <x:c r="C427" s="33" t="n">
        <x:v>2</x:v>
      </x:c>
      <x:c r="D427" s="34" t="str">
        <x:v>Arandela D16/d8.4/t1.6</x:v>
      </x:c>
      <x:c r="E427" s="34" t="str">
        <x:v>Arandela endurecida 300 HV / ISO 7089</x:v>
      </x:c>
      <x:c r="F427" s="35" t="n">
        <x:v>0.0018292915968805101</x:v>
      </x:c>
      <x:c r="G427" s="35" t="n">
        <x:f>IF(F427="","",C427*F427)</x:f>
        <x:v>0.0036585831937610202</x:v>
      </x:c>
      <x:c r="H427" s="33" t="str">
        <x:v>Compra</x:v>
      </x:c>
      <x:c r="I427" s="36" t="n">
        <x:v>2.3303077667267645e-7</x:v>
      </x:c>
      <x:c r="J427" s="33" t="str">
        <x:v>C05E_TT10_PE_WN3.SLDPRT</x:v>
      </x:c>
      <x:c r="K427" s="33" t="str">
        <x:v>CAD_volume_x_specified_density</x:v>
      </x:c>
    </x:row>
    <x:row r="428" ht="32" customHeight="1">
      <x:c r="A428" s="33" t="n">
        <x:v>428</x:v>
      </x:c>
      <x:c r="B428" s="33" t="str">
        <x:v>TT10_PE_WR0</x:v>
      </x:c>
      <x:c r="C428" s="33" t="n">
        <x:v>2</x:v>
      </x:c>
      <x:c r="D428" s="34" t="str">
        <x:v>Arandela D20/d10.5/t2</x:v>
      </x:c>
      <x:c r="E428" s="34" t="str">
        <x:v>Arandela endurecida 300 HV / ISO 7089</x:v>
      </x:c>
      <x:c r="F428" s="35" t="n">
        <x:v>0.003572835150157247</x:v>
      </x:c>
      <x:c r="G428" s="35" t="n">
        <x:f>IF(F428="","",C428*F428)</x:f>
        <x:v>0.007145670300314494</x:v>
      </x:c>
      <x:c r="H428" s="33" t="str">
        <x:v>Compra</x:v>
      </x:c>
      <x:c r="I428" s="36" t="n">
        <x:v>4.551382356888213e-7</x:v>
      </x:c>
      <x:c r="J428" s="33" t="str">
        <x:v>C05E_TT10_PE_WR0.SLDPRT</x:v>
      </x:c>
      <x:c r="K428" s="33" t="str">
        <x:v>CAD_volume_x_specified_density</x:v>
      </x:c>
    </x:row>
    <x:row r="429" ht="32" customHeight="1">
      <x:c r="A429" s="33" t="n">
        <x:v>429</x:v>
      </x:c>
      <x:c r="B429" s="33" t="str">
        <x:v>TT10_PE_WR1</x:v>
      </x:c>
      <x:c r="C429" s="33" t="n">
        <x:v>2</x:v>
      </x:c>
      <x:c r="D429" s="34" t="str">
        <x:v>Arandela D20/d10.5/t2</x:v>
      </x:c>
      <x:c r="E429" s="34" t="str">
        <x:v>Arandela endurecida 300 HV / ISO 7089</x:v>
      </x:c>
      <x:c r="F429" s="35" t="n">
        <x:v>0.003572835150157247</x:v>
      </x:c>
      <x:c r="G429" s="35" t="n">
        <x:f>IF(F429="","",C429*F429)</x:f>
        <x:v>0.007145670300314494</x:v>
      </x:c>
      <x:c r="H429" s="33" t="str">
        <x:v>Compra</x:v>
      </x:c>
      <x:c r="I429" s="36" t="n">
        <x:v>4.551382356888213e-7</x:v>
      </x:c>
      <x:c r="J429" s="33" t="str">
        <x:v>C05E_TT10_PE_WR1.SLDPRT</x:v>
      </x:c>
      <x:c r="K429" s="33" t="str">
        <x:v>CAD_volume_x_specified_density</x:v>
      </x:c>
    </x:row>
    <x:row r="430" ht="32" customHeight="1">
      <x:c r="A430" s="33" t="n">
        <x:v>430</x:v>
      </x:c>
      <x:c r="B430" s="33" t="str">
        <x:v>TT10_PUENTE_N</x:v>
      </x:c>
      <x:c r="C430" s="33" t="n">
        <x:v>1</x:v>
      </x:c>
      <x:c r="D430" s="34" t="str">
        <x:v>Puente guía A36 525 x 125 x 25; recorte 225 x 10 junto al poste</x:v>
      </x:c>
      <x:c r="E430" s="34" t="str">
        <x:v>ASTM A36 t25</x:v>
      </x:c>
      <x:c r="F430" s="35" t="n">
        <x:v>12.43734375000001</x:v>
      </x:c>
      <x:c r="G430" s="35" t="n">
        <x:f>IF(F430="","",C430*F430)</x:f>
        <x:v>12.43734375000001</x:v>
      </x:c>
      <x:c r="H430" s="33" t="str">
        <x:v>Fabricación</x:v>
      </x:c>
      <x:c r="I430" s="36" t="n">
        <x:v>0.0015843750000000014</x:v>
      </x:c>
      <x:c r="J430" s="33" t="str">
        <x:v>C05E_TT10_PUENTE_N.SLDPRT</x:v>
      </x:c>
      <x:c r="K430" s="33" t="str">
        <x:v>BRep nativo SolidWorks; densidad7850 kg/m³; 25/10/2026</x:v>
      </x:c>
    </x:row>
    <x:row r="431" ht="32" customHeight="1">
      <x:c r="A431" s="33" t="n">
        <x:v>431</x:v>
      </x:c>
      <x:c r="B431" s="33" t="str">
        <x:v>TT10_PUENTE_P</x:v>
      </x:c>
      <x:c r="C431" s="33" t="n">
        <x:v>1</x:v>
      </x:c>
      <x:c r="D431" s="34" t="str">
        <x:v>Puente guía A36 525 x 125 x 25; recorte 225 x 10 junto al poste</x:v>
      </x:c>
      <x:c r="E431" s="34" t="str">
        <x:v>ASTM A36 t25</x:v>
      </x:c>
      <x:c r="F431" s="35" t="n">
        <x:v>12.437343750000009</x:v>
      </x:c>
      <x:c r="G431" s="35" t="n">
        <x:f>IF(F431="","",C431*F431)</x:f>
        <x:v>12.437343750000009</x:v>
      </x:c>
      <x:c r="H431" s="33" t="str">
        <x:v>Fabricación</x:v>
      </x:c>
      <x:c r="I431" s="36" t="n">
        <x:v>0.0015843750000000011</x:v>
      </x:c>
      <x:c r="J431" s="33" t="str">
        <x:v>C05E_TT10_PUENTE_P.SLDPRT</x:v>
      </x:c>
      <x:c r="K431" s="33" t="str">
        <x:v>BRep nativo SolidWorks; densidad7850 kg/m³; 25/10/2026</x:v>
      </x:c>
    </x:row>
    <x:row r="432" ht="32" customHeight="1">
      <x:c r="A432" s="33" t="n">
        <x:v>432</x:v>
      </x:c>
      <x:c r="B432" s="33" t="str">
        <x:v>TT10_R6M_BRAZO_SENSOR_N_INSERTADO</x:v>
      </x:c>
      <x:c r="C432" s="33" t="n">
        <x:v>1</x:v>
      </x:c>
      <x:c r="D432" s="34" t="str">
        <x:v>Brazo fijo de detector; unión soldada a pie sobre larguero</x:v>
      </x:c>
      <x:c r="E432" s="34" t="str">
        <x:v>ASTM A36</x:v>
      </x:c>
      <x:c r="F432" s="35" t="n">
        <x:v>0.4752390000000002</x:v>
      </x:c>
      <x:c r="G432" s="35" t="n">
        <x:f>IF(F432="","",C432*F432)</x:f>
        <x:v>0.4752390000000002</x:v>
      </x:c>
      <x:c r="H432" s="33" t="str">
        <x:v>Fabricación</x:v>
      </x:c>
      <x:c r="I432" s="36" t="n">
        <x:v>0.00006054000000000003</x:v>
      </x:c>
      <x:c r="J432" s="33" t="str">
        <x:v>C05E_TT10_R6M_BRAZO_SENSOR_N_INSERTADO.SLDPRT</x:v>
      </x:c>
      <x:c r="K432" s="33" t="str">
        <x:v>CAD_volume_x_specified_density</x:v>
      </x:c>
    </x:row>
    <x:row r="433" ht="32" customHeight="1">
      <x:c r="A433" s="33" t="n">
        <x:v>433</x:v>
      </x:c>
      <x:c r="B433" s="33" t="str">
        <x:v>TT10_R6M_BRAZO_SENSOR_N_RETIRADO</x:v>
      </x:c>
      <x:c r="C433" s="33" t="n">
        <x:v>1</x:v>
      </x:c>
      <x:c r="D433" s="34" t="str">
        <x:v>Brazo fijo de detector; unión soldada a pie sobre larguero</x:v>
      </x:c>
      <x:c r="E433" s="34" t="str">
        <x:v>ASTM A36</x:v>
      </x:c>
      <x:c r="F433" s="35" t="n">
        <x:v>0.07959899999999955</x:v>
      </x:c>
      <x:c r="G433" s="35" t="n">
        <x:f>IF(F433="","",C433*F433)</x:f>
        <x:v>0.07959899999999955</x:v>
      </x:c>
      <x:c r="H433" s="33" t="str">
        <x:v>Fabricación</x:v>
      </x:c>
      <x:c r="I433" s="36" t="n">
        <x:v>0.000010139999999999942</x:v>
      </x:c>
      <x:c r="J433" s="33" t="str">
        <x:v>C05E_TT10_R6M_BRAZO_SENSOR_N_RETIRADO.SLDPRT</x:v>
      </x:c>
      <x:c r="K433" s="33" t="str">
        <x:v>CAD_volume_x_specified_density</x:v>
      </x:c>
    </x:row>
    <x:row r="434" ht="32" customHeight="1">
      <x:c r="A434" s="33" t="n">
        <x:v>434</x:v>
      </x:c>
      <x:c r="B434" s="33" t="str">
        <x:v>TT10_R6M_BRAZO_SENSOR_P_INSERTADO</x:v>
      </x:c>
      <x:c r="C434" s="33" t="n">
        <x:v>1</x:v>
      </x:c>
      <x:c r="D434" s="34" t="str">
        <x:v>Brazo fijo de detector; unión soldada a pie sobre larguero</x:v>
      </x:c>
      <x:c r="E434" s="34" t="str">
        <x:v>ASTM A36</x:v>
      </x:c>
      <x:c r="F434" s="35" t="n">
        <x:v>0.475239000000001</x:v>
      </x:c>
      <x:c r="G434" s="35" t="n">
        <x:f>IF(F434="","",C434*F434)</x:f>
        <x:v>0.475239000000001</x:v>
      </x:c>
      <x:c r="H434" s="33" t="str">
        <x:v>Fabricación</x:v>
      </x:c>
      <x:c r="I434" s="36" t="n">
        <x:v>0.00006054000000000013</x:v>
      </x:c>
      <x:c r="J434" s="33" t="str">
        <x:v>C05E_TT10_R6M_BRAZO_SENSOR_P_INSERTADO.SLDPRT</x:v>
      </x:c>
      <x:c r="K434" s="33" t="str">
        <x:v>CAD_volume_x_specified_density</x:v>
      </x:c>
    </x:row>
    <x:row r="435" ht="32" customHeight="1">
      <x:c r="A435" s="33" t="n">
        <x:v>435</x:v>
      </x:c>
      <x:c r="B435" s="33" t="str">
        <x:v>TT10_R6M_BRAZO_SENSOR_P_RETIRADO</x:v>
      </x:c>
      <x:c r="C435" s="33" t="n">
        <x:v>1</x:v>
      </x:c>
      <x:c r="D435" s="34" t="str">
        <x:v>Brazo fijo de detector; unión soldada a pie sobre larguero</x:v>
      </x:c>
      <x:c r="E435" s="34" t="str">
        <x:v>ASTM A36</x:v>
      </x:c>
      <x:c r="F435" s="35" t="n">
        <x:v>0.07959900000000036</x:v>
      </x:c>
      <x:c r="G435" s="35" t="n">
        <x:f>IF(F435="","",C435*F435)</x:f>
        <x:v>0.07959900000000036</x:v>
      </x:c>
      <x:c r="H435" s="33" t="str">
        <x:v>Fabricación</x:v>
      </x:c>
      <x:c r="I435" s="36" t="n">
        <x:v>0.000010140000000000047</x:v>
      </x:c>
      <x:c r="J435" s="33" t="str">
        <x:v>C05E_TT10_R6M_BRAZO_SENSOR_P_RETIRADO.SLDPRT</x:v>
      </x:c>
      <x:c r="K435" s="33" t="str">
        <x:v>CAD_volume_x_specified_density</x:v>
      </x:c>
    </x:row>
    <x:row r="436" ht="32" customHeight="1">
      <x:c r="A436" s="33" t="n">
        <x:v>436</x:v>
      </x:c>
      <x:c r="B436" s="33" t="str">
        <x:v>TT10_R6M_CHAVETA_FRENO_TIMON</x:v>
      </x:c>
      <x:c r="C436" s="33" t="n">
        <x:v>1</x:v>
      </x:c>
      <x:c r="D436" s="34" t="str">
        <x:v>ChavetaDIN6885/1 8x7x25 C45E</x:v>
      </x:c>
      <x:c r="E436" s="34" t="str">
        <x:v>AISI 4140 bonificado</x:v>
      </x:c>
      <x:c r="F436" s="35" t="n">
        <x:v>0.01099</x:v>
      </x:c>
      <x:c r="G436" s="35" t="n">
        <x:f>IF(F436="","",C436*F436)</x:f>
        <x:v>0.01099</x:v>
      </x:c>
      <x:c r="H436" s="33" t="str">
        <x:v>Compra</x:v>
      </x:c>
      <x:c r="I436" s="36" t="n">
        <x:v>0.0000014</x:v>
      </x:c>
      <x:c r="J436" s="33" t="str">
        <x:v>C05E_TT10_R6M_CHAVETA_FRENO_TIMON.SLDPRT</x:v>
      </x:c>
      <x:c r="K436" s="33" t="str">
        <x:v>CAD_volume_x_specified_density</x:v>
      </x:c>
    </x:row>
    <x:row r="437" ht="32" customHeight="1">
      <x:c r="A437" s="33" t="n">
        <x:v>437</x:v>
      </x:c>
      <x:c r="B437" s="33" t="str">
        <x:v>TT10_R6M_CUBO_FRENO_TIMON</x:v>
      </x:c>
      <x:c r="C437" s="33" t="n">
        <x:v>1</x:v>
      </x:c>
      <x:c r="D437" s="34" t="str">
        <x:v>Cubo comercial simplificado: Ø30H7,8JS9;L25; verificar suministro con referencia mayr</x:v>
      </x:c>
      <x:c r="E437" s="34" t="str">
        <x:v>AISI 4140 bonificado</x:v>
      </x:c>
      <x:c r="F437" s="35" t="n">
        <x:v>0.2727657154255368</x:v>
      </x:c>
      <x:c r="G437" s="35" t="n">
        <x:f>IF(F437="","",C437*F437)</x:f>
        <x:v>0.2727657154255368</x:v>
      </x:c>
      <x:c r="H437" s="33" t="str">
        <x:v>Compra</x:v>
      </x:c>
      <x:c r="I437" s="36" t="n">
        <x:v>0.00003474722489497284</x:v>
      </x:c>
      <x:c r="J437" s="33" t="str">
        <x:v>C05E_TT10_R6M_CUBO_FRENO_TIMON.SLDPRT</x:v>
      </x:c>
      <x:c r="K437" s="33" t="str">
        <x:v>CAD_volume_x_specified_density</x:v>
      </x:c>
    </x:row>
    <x:row r="438" ht="32" customHeight="1">
      <x:c r="A438" s="33" t="n">
        <x:v>438</x:v>
      </x:c>
      <x:c r="B438" s="33" t="str">
        <x:v>TT10_R6M_IE5338_N_INSERTADO</x:v>
      </x:c>
      <x:c r="C438" s="33" t="n">
        <x:v>1</x:v>
      </x:c>
      <x:c r="D438" s="34" t="str">
        <x:v>ifmIE5338,M8x1L40,SN3mm;N INSERTADO</x:v>
      </x:c>
      <x:c r="E438" s="34" t="str">
        <x:v>Conjunto comercial ifm</x:v>
      </x:c>
      <x:c r="F438" s="35"/>
      <x:c r="G438" s="35" t="str">
        <x:f>IF(F438="","",C438*F438)</x:f>
      </x:c>
      <x:c r="H438" s="33" t="str">
        <x:v>Compra</x:v>
      </x:c>
      <x:c r="I438" s="36" t="n">
        <x:v>0.0000020106192982974722</x:v>
      </x:c>
      <x:c r="J438" s="33" t="str">
        <x:v>C05E_TT10_R6M_IE5338_N_INSERTADO.SLDPRT</x:v>
      </x:c>
      <x:c r="K438" s="33" t="str">
        <x:v>OEM_mass_required</x:v>
      </x:c>
    </x:row>
    <x:row r="439" ht="32" customHeight="1">
      <x:c r="A439" s="33" t="n">
        <x:v>439</x:v>
      </x:c>
      <x:c r="B439" s="33" t="str">
        <x:v>TT10_R6M_IE5338_N_RETIRADO</x:v>
      </x:c>
      <x:c r="C439" s="33" t="n">
        <x:v>1</x:v>
      </x:c>
      <x:c r="D439" s="34" t="str">
        <x:v>ifmIE5338,M8x1L40,SN3mm;N RETIRADO</x:v>
      </x:c>
      <x:c r="E439" s="34" t="str">
        <x:v>Conjunto comercial ifm</x:v>
      </x:c>
      <x:c r="F439" s="35"/>
      <x:c r="G439" s="35" t="str">
        <x:f>IF(F439="","",C439*F439)</x:f>
      </x:c>
      <x:c r="H439" s="33" t="str">
        <x:v>Compra</x:v>
      </x:c>
      <x:c r="I439" s="36" t="n">
        <x:v>0.0000020106192982974722</x:v>
      </x:c>
      <x:c r="J439" s="33" t="str">
        <x:v>C05E_TT10_R6M_IE5338_N_RETIRADO.SLDPRT</x:v>
      </x:c>
      <x:c r="K439" s="33" t="str">
        <x:v>OEM_mass_required</x:v>
      </x:c>
    </x:row>
    <x:row r="440" ht="32" customHeight="1">
      <x:c r="A440" s="33" t="n">
        <x:v>440</x:v>
      </x:c>
      <x:c r="B440" s="33" t="str">
        <x:v>TT10_R6M_IE5338_P_INSERTADO</x:v>
      </x:c>
      <x:c r="C440" s="33" t="n">
        <x:v>1</x:v>
      </x:c>
      <x:c r="D440" s="34" t="str">
        <x:v>ifmIE5338,M8x1L40,SN3mm;P INSERTADO</x:v>
      </x:c>
      <x:c r="E440" s="34" t="str">
        <x:v>Conjunto comercial ifm</x:v>
      </x:c>
      <x:c r="F440" s="35"/>
      <x:c r="G440" s="35" t="str">
        <x:f>IF(F440="","",C440*F440)</x:f>
      </x:c>
      <x:c r="H440" s="33" t="str">
        <x:v>Compra</x:v>
      </x:c>
      <x:c r="I440" s="36" t="n">
        <x:v>0.0000020106192982974667</x:v>
      </x:c>
      <x:c r="J440" s="33" t="str">
        <x:v>C05E_TT10_R6M_IE5338_P_INSERTADO.SLDPRT</x:v>
      </x:c>
      <x:c r="K440" s="33" t="str">
        <x:v>OEM_mass_required</x:v>
      </x:c>
    </x:row>
    <x:row r="441" ht="32" customHeight="1">
      <x:c r="A441" s="33" t="n">
        <x:v>441</x:v>
      </x:c>
      <x:c r="B441" s="33" t="str">
        <x:v>TT10_R6M_IE5338_P_RETIRADO</x:v>
      </x:c>
      <x:c r="C441" s="33" t="n">
        <x:v>1</x:v>
      </x:c>
      <x:c r="D441" s="34" t="str">
        <x:v>ifmIE5338,M8x1L40,SN3mm;P RETIRADO</x:v>
      </x:c>
      <x:c r="E441" s="34" t="str">
        <x:v>Conjunto comercial ifm</x:v>
      </x:c>
      <x:c r="F441" s="35"/>
      <x:c r="G441" s="35" t="str">
        <x:f>IF(F441="","",C441*F441)</x:f>
      </x:c>
      <x:c r="H441" s="33" t="str">
        <x:v>Compra</x:v>
      </x:c>
      <x:c r="I441" s="36" t="n">
        <x:v>0.0000020106192982974667</x:v>
      </x:c>
      <x:c r="J441" s="33" t="str">
        <x:v>C05E_TT10_R6M_IE5338_P_RETIRADO.SLDPRT</x:v>
      </x:c>
      <x:c r="K441" s="33" t="str">
        <x:v>OEM_mass_required</x:v>
      </x:c>
    </x:row>
    <x:row r="442" ht="32" customHeight="1">
      <x:c r="A442" s="33" t="n">
        <x:v>442</x:v>
      </x:c>
      <x:c r="B442" s="33" t="str">
        <x:v>TT10_R6M_MAYR_32</x:v>
      </x:c>
      <x:c r="C442" s="33" t="n">
        <x:v>1</x:v>
      </x:c>
      <x:c r="D442" s="34" t="str">
        <x:v>mayr32/891.101.0/24/30/6885/1 JS9;64Nm; rotor metálico; liberación manual</x:v>
      </x:c>
      <x:c r="E442" s="34" t="str">
        <x:v>Conjunto comercial mayr</x:v>
      </x:c>
      <x:c r="F442" s="35" t="n">
        <x:v>4.5</x:v>
      </x:c>
      <x:c r="G442" s="35" t="n">
        <x:f>IF(F442="","",C442*F442)</x:f>
        <x:v>4.5</x:v>
      </x:c>
      <x:c r="H442" s="33" t="str">
        <x:v>Compra</x:v>
      </x:c>
      <x:c r="I442" s="36" t="n">
        <x:v>0.0009240814494531952</x:v>
      </x:c>
      <x:c r="J442" s="33" t="str">
        <x:v>C05E_TT10_R6M_MAYR_32.SLDPRT</x:v>
      </x:c>
      <x:c r="K442" s="33" t="str">
        <x:v>Catálogo/fuente conservada</x:v>
      </x:c>
    </x:row>
    <x:row r="443" ht="32" customHeight="1">
      <x:c r="A443" s="33" t="n">
        <x:v>443</x:v>
      </x:c>
      <x:c r="B443" s="33" t="str">
        <x:v>TT10_R6M_PEDESTAL_FRENO</x:v>
      </x:c>
      <x:c r="C443" s="33" t="n">
        <x:v>1</x:v>
      </x:c>
      <x:c r="D443" s="34" t="str">
        <x:v>Travesaño108x40x10 entre caras interiores del poste existente; soldadura a3,40mm por extremo</x:v>
      </x:c>
      <x:c r="E443" s="34" t="str">
        <x:v>ASTM A36</x:v>
      </x:c>
      <x:c r="F443" s="35" t="n">
        <x:v>0.339120000000001</x:v>
      </x:c>
      <x:c r="G443" s="35" t="n">
        <x:f>IF(F443="","",C443*F443)</x:f>
        <x:v>0.339120000000001</x:v>
      </x:c>
      <x:c r="H443" s="33" t="str">
        <x:v>Fabricación</x:v>
      </x:c>
      <x:c r="I443" s="36" t="n">
        <x:v>0.00004320000000000012</x:v>
      </x:c>
      <x:c r="J443" s="33" t="str">
        <x:v>C05E_TT10_R6M_PEDESTAL_FRENO.SLDPRT</x:v>
      </x:c>
      <x:c r="K443" s="33" t="str">
        <x:v>CAD_volume_x_specified_density</x:v>
      </x:c>
    </x:row>
    <x:row r="444" ht="32" customHeight="1">
      <x:c r="A444" s="33" t="n">
        <x:v>444</x:v>
      </x:c>
      <x:c r="B444" s="33" t="str">
        <x:v>TT10_R6M_PIE_SENSORES_N</x:v>
      </x:c>
      <x:c r="C444" s="33" t="n">
        <x:v>1</x:v>
      </x:c>
      <x:c r="D444" s="34" t="str">
        <x:v>Pie12 sobre cara superior del larguero; soldadura a3,20mm por ambas caras</x:v>
      </x:c>
      <x:c r="E444" s="34" t="str">
        <x:v>ASTM A36</x:v>
      </x:c>
      <x:c r="F444" s="35" t="n">
        <x:v>0.2355000000000004</x:v>
      </x:c>
      <x:c r="G444" s="35" t="n">
        <x:f>IF(F444="","",C444*F444)</x:f>
        <x:v>0.2355000000000004</x:v>
      </x:c>
      <x:c r="H444" s="33" t="str">
        <x:v>Fabricación</x:v>
      </x:c>
      <x:c r="I444" s="36" t="n">
        <x:v>0.00003000000000000005</x:v>
      </x:c>
      <x:c r="J444" s="33" t="str">
        <x:v>C05E_TT10_R6M_PIE_SENSORES_N.SLDPRT</x:v>
      </x:c>
      <x:c r="K444" s="33" t="str">
        <x:v>CAD_volume_x_specified_density</x:v>
      </x:c>
    </x:row>
    <x:row r="445" ht="32" customHeight="1">
      <x:c r="A445" s="33" t="n">
        <x:v>445</x:v>
      </x:c>
      <x:c r="B445" s="33" t="str">
        <x:v>TT10_R6M_PIE_SENSORES_P</x:v>
      </x:c>
      <x:c r="C445" s="33" t="n">
        <x:v>1</x:v>
      </x:c>
      <x:c r="D445" s="34" t="str">
        <x:v>Pie12 sobre cara superior del larguero; soldadura a3,20mm por ambas caras</x:v>
      </x:c>
      <x:c r="E445" s="34" t="str">
        <x:v>ASTM A36</x:v>
      </x:c>
      <x:c r="F445" s="35" t="n">
        <x:v>0.23550000000000043</x:v>
      </x:c>
      <x:c r="G445" s="35" t="n">
        <x:f>IF(F445="","",C445*F445)</x:f>
        <x:v>0.23550000000000043</x:v>
      </x:c>
      <x:c r="H445" s="33" t="str">
        <x:v>Fabricación</x:v>
      </x:c>
      <x:c r="I445" s="36" t="n">
        <x:v>0.000030000000000000055</x:v>
      </x:c>
      <x:c r="J445" s="33" t="str">
        <x:v>C05E_TT10_R6M_PIE_SENSORES_P.SLDPRT</x:v>
      </x:c>
      <x:c r="K445" s="33" t="str">
        <x:v>CAD_volume_x_specified_density</x:v>
      </x:c>
    </x:row>
    <x:row r="446" ht="32" customHeight="1">
      <x:c r="A446" s="33" t="n">
        <x:v>446</x:v>
      </x:c>
      <x:c r="B446" s="33" t="str">
        <x:v>TT10_R6M_PLACA_FRENO_TIMON</x:v>
      </x:c>
      <x:c r="C446" s="33" t="n">
        <x:v>1</x:v>
      </x:c>
      <x:c r="D446" s="34" t="str">
        <x:v>Placa12, caraX1127; centrado y3M6PCD132; sujeción a pedestal por cartelas</x:v>
      </x:c>
      <x:c r="E446" s="34" t="str">
        <x:v>ASTM A36</x:v>
      </x:c>
      <x:c r="F446" s="35" t="n">
        <x:v>1.8943573006754062</x:v>
      </x:c>
      <x:c r="G446" s="35" t="n">
        <x:f>IF(F446="","",C446*F446)</x:f>
        <x:v>1.8943573006754062</x:v>
      </x:c>
      <x:c r="H446" s="33" t="str">
        <x:v>Fabricación</x:v>
      </x:c>
      <x:c r="I446" s="36" t="n">
        <x:v>0.00024131940135992437</x:v>
      </x:c>
      <x:c r="J446" s="33" t="str">
        <x:v>C05E_TT10_R6M_PLACA_FRENO_TIMON.SLDPRT</x:v>
      </x:c>
      <x:c r="K446" s="33" t="str">
        <x:v>CAD_volume_x_specified_density</x:v>
      </x:c>
    </x:row>
    <x:row r="447" ht="32" customHeight="1">
      <x:c r="A447" s="33" t="n">
        <x:v>447</x:v>
      </x:c>
      <x:c r="B447" s="33" t="str">
        <x:v>TT10_R6M_SOP_SENSOR_N_INSERTADO</x:v>
      </x:c>
      <x:c r="C447" s="33" t="n">
        <x:v>1</x:v>
      </x:c>
      <x:c r="D447" s="34" t="str">
        <x:v>Escuadra6;taladroØ8.5 para sensorM8;frente de detección a1mm del blanco</x:v>
      </x:c>
      <x:c r="E447" s="34" t="str">
        <x:v>ASTM A36</x:v>
      </x:c>
      <x:c r="F447" s="35" t="n">
        <x:v>0.11036730968491179</x:v>
      </x:c>
      <x:c r="G447" s="35" t="n">
        <x:f>IF(F447="","",C447*F447)</x:f>
        <x:v>0.11036730968491179</x:v>
      </x:c>
      <x:c r="H447" s="33" t="str">
        <x:v>Fabricación</x:v>
      </x:c>
      <x:c r="I447" s="36" t="n">
        <x:v>0.000014059529896167107</x:v>
      </x:c>
      <x:c r="J447" s="33" t="str">
        <x:v>C05E_TT10_R6M_SOP_SENSOR_N_INSERTADO.SLDPRT</x:v>
      </x:c>
      <x:c r="K447" s="33" t="str">
        <x:v>CAD_volume_x_specified_density</x:v>
      </x:c>
    </x:row>
    <x:row r="448" ht="32" customHeight="1">
      <x:c r="A448" s="33" t="n">
        <x:v>448</x:v>
      </x:c>
      <x:c r="B448" s="33" t="str">
        <x:v>TT10_R6M_SOP_SENSOR_N_RETIRADO</x:v>
      </x:c>
      <x:c r="C448" s="33" t="n">
        <x:v>1</x:v>
      </x:c>
      <x:c r="D448" s="34" t="str">
        <x:v>Escuadra6;taladroØ8.5 para sensorM8;frente de detección a1mm del blanco</x:v>
      </x:c>
      <x:c r="E448" s="34" t="str">
        <x:v>ASTM A36</x:v>
      </x:c>
      <x:c r="F448" s="35" t="n">
        <x:v>0.11036730968491304</x:v>
      </x:c>
      <x:c r="G448" s="35" t="n">
        <x:f>IF(F448="","",C448*F448)</x:f>
        <x:v>0.11036730968491304</x:v>
      </x:c>
      <x:c r="H448" s="33" t="str">
        <x:v>Fabricación</x:v>
      </x:c>
      <x:c r="I448" s="36" t="n">
        <x:v>0.000014059529896167266</x:v>
      </x:c>
      <x:c r="J448" s="33" t="str">
        <x:v>C05E_TT10_R6M_SOP_SENSOR_N_RETIRADO.SLDPRT</x:v>
      </x:c>
      <x:c r="K448" s="33" t="str">
        <x:v>CAD_volume_x_specified_density</x:v>
      </x:c>
    </x:row>
    <x:row r="449" ht="32" customHeight="1">
      <x:c r="A449" s="33" t="n">
        <x:v>449</x:v>
      </x:c>
      <x:c r="B449" s="33" t="str">
        <x:v>TT10_R6M_SOP_SENSOR_P_INSERTADO</x:v>
      </x:c>
      <x:c r="C449" s="33" t="n">
        <x:v>1</x:v>
      </x:c>
      <x:c r="D449" s="34" t="str">
        <x:v>Escuadra6;taladroØ8.5 para sensorM8;frente de detección a1mm del blanco</x:v>
      </x:c>
      <x:c r="E449" s="34" t="str">
        <x:v>ASTM A36</x:v>
      </x:c>
      <x:c r="F449" s="35" t="n">
        <x:v>0.11036730968491304</x:v>
      </x:c>
      <x:c r="G449" s="35" t="n">
        <x:f>IF(F449="","",C449*F449)</x:f>
        <x:v>0.11036730968491304</x:v>
      </x:c>
      <x:c r="H449" s="33" t="str">
        <x:v>Fabricación</x:v>
      </x:c>
      <x:c r="I449" s="36" t="n">
        <x:v>0.000014059529896167266</x:v>
      </x:c>
      <x:c r="J449" s="33" t="str">
        <x:v>C05E_TT10_R6M_SOP_SENSOR_P_INSERTADO.SLDPRT</x:v>
      </x:c>
      <x:c r="K449" s="33" t="str">
        <x:v>CAD_volume_x_specified_density</x:v>
      </x:c>
    </x:row>
    <x:row r="450" ht="32" customHeight="1">
      <x:c r="A450" s="33" t="n">
        <x:v>450</x:v>
      </x:c>
      <x:c r="B450" s="33" t="str">
        <x:v>TT10_R6M_SOP_SENSOR_P_RETIRADO</x:v>
      </x:c>
      <x:c r="C450" s="33" t="n">
        <x:v>1</x:v>
      </x:c>
      <x:c r="D450" s="34" t="str">
        <x:v>Escuadra6;taladroØ8.5 para sensorM8;frente de detección a1mm del blanco</x:v>
      </x:c>
      <x:c r="E450" s="34" t="str">
        <x:v>ASTM A36</x:v>
      </x:c>
      <x:c r="F450" s="35" t="n">
        <x:v>0.11036730968491304</x:v>
      </x:c>
      <x:c r="G450" s="35" t="n">
        <x:f>IF(F450="","",C450*F450)</x:f>
        <x:v>0.11036730968491304</x:v>
      </x:c>
      <x:c r="H450" s="33" t="str">
        <x:v>Fabricación</x:v>
      </x:c>
      <x:c r="I450" s="36" t="n">
        <x:v>0.000014059529896167266</x:v>
      </x:c>
      <x:c r="J450" s="33" t="str">
        <x:v>C05E_TT10_R6M_SOP_SENSOR_P_RETIRADO.SLDPRT</x:v>
      </x:c>
      <x:c r="K450" s="33" t="str">
        <x:v>CAD_volume_x_specified_density</x:v>
      </x:c>
    </x:row>
    <x:row r="451" ht="32" customHeight="1">
      <x:c r="A451" s="33" t="n">
        <x:v>451</x:v>
      </x:c>
      <x:c r="B451" s="33" t="str">
        <x:v>TT10_SEN_B6_P0</x:v>
      </x:c>
      <x:c r="C451" s="33" t="n">
        <x:v>4</x:v>
      </x:c>
      <x:c r="D451" s="34" t="str">
        <x:v>Tornillo ISO4762 M6x16 8.8, cabeza D10 H6, hexágono5; rosca nominal</x:v>
      </x:c>
      <x:c r="E451" s="34" t="str">
        <x:v>Clase 8.8 / ISO 898-1</x:v>
      </x:c>
      <x:c r="F451" s="35" t="n">
        <x:v>0.006740609228741795</x:v>
      </x:c>
      <x:c r="G451" s="35" t="n">
        <x:f>IF(F451="","",C451*F451)</x:f>
        <x:v>0.02696243691496718</x:v>
      </x:c>
      <x:c r="H451" s="33" t="str">
        <x:v>Compra</x:v>
      </x:c>
      <x:c r="I451" s="36" t="n">
        <x:v>8.586763348715663e-7</x:v>
      </x:c>
      <x:c r="J451" s="33" t="str">
        <x:v>C05E_TT10_SEN_B6_P0.SLDPRT</x:v>
      </x:c>
      <x:c r="K451" s="33" t="str">
        <x:v>CAD_volume_x_specified_density</x:v>
      </x:c>
    </x:row>
    <x:row r="452" ht="32" customHeight="1">
      <x:c r="A452" s="33" t="n">
        <x:v>452</x:v>
      </x:c>
      <x:c r="B452" s="33" t="str">
        <x:v>TT10_SEN_P_IN</x:v>
      </x:c>
      <x:c r="C452" s="33" t="n">
        <x:v>4</x:v>
      </x:c>
      <x:c r="D452" s="34" t="str">
        <x:v>IFM IE5338 M8x1 L40, Sn3, NO PNP/NPN, 10-30VDC; incluye dos contratuercas</x:v>
      </x:c>
      <x:c r="E452" s="34" t="str">
        <x:v>Conjunto comercial IFM; latón y polímeros</x:v>
      </x:c>
      <x:c r="F452" s="35" t="n">
        <x:v>0.0165</x:v>
      </x:c>
      <x:c r="G452" s="35" t="n">
        <x:f>IF(F452="","",C452*F452)</x:f>
        <x:v>0.066</x:v>
      </x:c>
      <x:c r="H452" s="33" t="str">
        <x:v>Compra</x:v>
      </x:c>
      <x:c r="I452" s="36" t="n">
        <x:v>0.000002779361784554536</x:v>
      </x:c>
      <x:c r="J452" s="33" t="str">
        <x:v>C05E_TT10_SEN_P_IN.SLDPRT</x:v>
      </x:c>
      <x:c r="K452" s="33" t="str">
        <x:v>Catálogo/fuente conservada</x:v>
      </x:c>
    </x:row>
    <x:row r="453" ht="32" customHeight="1">
      <x:c r="A453" s="33" t="n">
        <x:v>453</x:v>
      </x:c>
      <x:c r="B453" s="33" t="str">
        <x:v>TT10_SEN_SOP_P</x:v>
      </x:c>
      <x:c r="C453" s="33" t="n">
        <x:v>2</x:v>
      </x:c>
      <x:c r="D453" s="34" t="str">
        <x:v>Soporte soldado desmontable: carril6x40x229 y pie4x40x16.5; dos M6x16; dos D8.5</x:v>
      </x:c>
      <x:c r="E453" s="34" t="str">
        <x:v>ASTM A36</x:v>
      </x:c>
      <x:c r="F453" s="35" t="n">
        <x:v>0.44466610928677675</x:v>
      </x:c>
      <x:c r="G453" s="35" t="n">
        <x:f>IF(F453="","",C453*F453)</x:f>
        <x:v>0.8893322185735535</x:v>
      </x:c>
      <x:c r="H453" s="33" t="str">
        <x:v>Fabricación</x:v>
      </x:c>
      <x:c r="I453" s="36" t="n">
        <x:v>0.00005664536424035372</x:v>
      </x:c>
      <x:c r="J453" s="33" t="str">
        <x:v>C05E_TT10_SEN_SOP_P.SLDPRT</x:v>
      </x:c>
      <x:c r="K453" s="33" t="str">
        <x:v>CAD_volume_x_specified_density</x:v>
      </x:c>
    </x:row>
    <x:row r="454" ht="32" customHeight="1">
      <x:c r="A454" s="33" t="n">
        <x:v>454</x:v>
      </x:c>
      <x:c r="B454" s="33" t="str">
        <x:v>TT10_TIR_N1</x:v>
      </x:c>
      <x:c r="C454" s="33" t="n">
        <x:v>1</x:v>
      </x:c>
      <x:c r="D454" s="34" t="str">
        <x:v>Tirante M20 propuesto, L380; rosca simplificada</x:v>
      </x:c>
      <x:c r="E454" s="34" t="str">
        <x:v>ASTM A36</x:v>
      </x:c>
      <x:c r="F454" s="35" t="n">
        <x:v>0.9371370885658354</x:v>
      </x:c>
      <x:c r="G454" s="35" t="n">
        <x:f>IF(F454="","",C454*F454)</x:f>
        <x:v>0.9371370885658354</x:v>
      </x:c>
      <x:c r="H454" s="33" t="str">
        <x:v>Compra</x:v>
      </x:c>
      <x:c r="I454" s="36" t="n">
        <x:v>0.00011938052083641215</x:v>
      </x:c>
      <x:c r="J454" s="33" t="str">
        <x:v>C05E_TT10_TIR_N1.SLDPRT</x:v>
      </x:c>
      <x:c r="K454" s="33" t="str">
        <x:v>CAD_volume_x_specified_density</x:v>
      </x:c>
    </x:row>
    <x:row r="455" ht="32" customHeight="1">
      <x:c r="A455" s="33" t="n">
        <x:v>455</x:v>
      </x:c>
      <x:c r="B455" s="33" t="str">
        <x:v>TT10_TIR_N2</x:v>
      </x:c>
      <x:c r="C455" s="33" t="n">
        <x:v>1</x:v>
      </x:c>
      <x:c r="D455" s="34" t="str">
        <x:v>Tirante M20 propuesto, L380; rosca simplificada</x:v>
      </x:c>
      <x:c r="E455" s="34" t="str">
        <x:v>ASTM A36</x:v>
      </x:c>
      <x:c r="F455" s="35" t="n">
        <x:v>0.9371370885658354</x:v>
      </x:c>
      <x:c r="G455" s="35" t="n">
        <x:f>IF(F455="","",C455*F455)</x:f>
        <x:v>0.9371370885658354</x:v>
      </x:c>
      <x:c r="H455" s="33" t="str">
        <x:v>Compra</x:v>
      </x:c>
      <x:c r="I455" s="36" t="n">
        <x:v>0.00011938052083641215</x:v>
      </x:c>
      <x:c r="J455" s="33" t="str">
        <x:v>C05E_TT10_TIR_N2.SLDPRT</x:v>
      </x:c>
      <x:c r="K455" s="33" t="str">
        <x:v>CAD_volume_x_specified_density</x:v>
      </x:c>
    </x:row>
    <x:row r="456" ht="32" customHeight="1">
      <x:c r="A456" s="33" t="n">
        <x:v>456</x:v>
      </x:c>
      <x:c r="B456" s="33" t="str">
        <x:v>TT10_TIR_N3</x:v>
      </x:c>
      <x:c r="C456" s="33" t="n">
        <x:v>1</x:v>
      </x:c>
      <x:c r="D456" s="34" t="str">
        <x:v>Tirante M20 propuesto, L380; rosca simplificada</x:v>
      </x:c>
      <x:c r="E456" s="34" t="str">
        <x:v>ASTM A36</x:v>
      </x:c>
      <x:c r="F456" s="35" t="n">
        <x:v>0.9371370885658354</x:v>
      </x:c>
      <x:c r="G456" s="35" t="n">
        <x:f>IF(F456="","",C456*F456)</x:f>
        <x:v>0.9371370885658354</x:v>
      </x:c>
      <x:c r="H456" s="33" t="str">
        <x:v>Compra</x:v>
      </x:c>
      <x:c r="I456" s="36" t="n">
        <x:v>0.00011938052083641215</x:v>
      </x:c>
      <x:c r="J456" s="33" t="str">
        <x:v>C05E_TT10_TIR_N3.SLDPRT</x:v>
      </x:c>
      <x:c r="K456" s="33" t="str">
        <x:v>CAD_volume_x_specified_density</x:v>
      </x:c>
    </x:row>
    <x:row r="457" ht="32" customHeight="1">
      <x:c r="A457" s="33" t="n">
        <x:v>457</x:v>
      </x:c>
      <x:c r="B457" s="33" t="str">
        <x:v>TT10_TIR_N4</x:v>
      </x:c>
      <x:c r="C457" s="33" t="n">
        <x:v>1</x:v>
      </x:c>
      <x:c r="D457" s="34" t="str">
        <x:v>Tirante M20 propuesto, L380; rosca simplificada</x:v>
      </x:c>
      <x:c r="E457" s="34" t="str">
        <x:v>ASTM A36</x:v>
      </x:c>
      <x:c r="F457" s="35" t="n">
        <x:v>0.9371370885658354</x:v>
      </x:c>
      <x:c r="G457" s="35" t="n">
        <x:f>IF(F457="","",C457*F457)</x:f>
        <x:v>0.9371370885658354</x:v>
      </x:c>
      <x:c r="H457" s="33" t="str">
        <x:v>Compra</x:v>
      </x:c>
      <x:c r="I457" s="36" t="n">
        <x:v>0.00011938052083641215</x:v>
      </x:c>
      <x:c r="J457" s="33" t="str">
        <x:v>C05E_TT10_TIR_N4.SLDPRT</x:v>
      </x:c>
      <x:c r="K457" s="33" t="str">
        <x:v>CAD_volume_x_specified_density</x:v>
      </x:c>
    </x:row>
    <x:row r="458" ht="32" customHeight="1">
      <x:c r="A458" s="33" t="n">
        <x:v>458</x:v>
      </x:c>
      <x:c r="B458" s="33" t="str">
        <x:v>TT10_TIR_P1</x:v>
      </x:c>
      <x:c r="C458" s="33" t="n">
        <x:v>1</x:v>
      </x:c>
      <x:c r="D458" s="34" t="str">
        <x:v>Tirante M20 propuesto, L380; rosca simplificada</x:v>
      </x:c>
      <x:c r="E458" s="34" t="str">
        <x:v>ASTM A36</x:v>
      </x:c>
      <x:c r="F458" s="35" t="n">
        <x:v>0.9371370885658354</x:v>
      </x:c>
      <x:c r="G458" s="35" t="n">
        <x:f>IF(F458="","",C458*F458)</x:f>
        <x:v>0.9371370885658354</x:v>
      </x:c>
      <x:c r="H458" s="33" t="str">
        <x:v>Fabricación</x:v>
      </x:c>
      <x:c r="I458" s="36" t="n">
        <x:v>0.00011938052083641217</x:v>
      </x:c>
      <x:c r="J458" s="33" t="str">
        <x:v>C05E_TT10_TIR_P1.SLDPRT</x:v>
      </x:c>
      <x:c r="K458" s="33" t="str">
        <x:v>CAD_volume_x_specified_density</x:v>
      </x:c>
    </x:row>
    <x:row r="459" ht="32" customHeight="1">
      <x:c r="A459" s="33" t="n">
        <x:v>459</x:v>
      </x:c>
      <x:c r="B459" s="33" t="str">
        <x:v>TT10_TIR_P2</x:v>
      </x:c>
      <x:c r="C459" s="33" t="n">
        <x:v>1</x:v>
      </x:c>
      <x:c r="D459" s="34" t="str">
        <x:v>Tirante M20 propuesto, L380; rosca simplificada</x:v>
      </x:c>
      <x:c r="E459" s="34" t="str">
        <x:v>ASTM A36</x:v>
      </x:c>
      <x:c r="F459" s="35" t="n">
        <x:v>0.9371370885658354</x:v>
      </x:c>
      <x:c r="G459" s="35" t="n">
        <x:f>IF(F459="","",C459*F459)</x:f>
        <x:v>0.9371370885658354</x:v>
      </x:c>
      <x:c r="H459" s="33" t="str">
        <x:v>Fabricación</x:v>
      </x:c>
      <x:c r="I459" s="36" t="n">
        <x:v>0.00011938052083641217</x:v>
      </x:c>
      <x:c r="J459" s="33" t="str">
        <x:v>C05E_TT10_TIR_P2.SLDPRT</x:v>
      </x:c>
      <x:c r="K459" s="33" t="str">
        <x:v>CAD_volume_x_specified_density</x:v>
      </x:c>
    </x:row>
    <x:row r="460" ht="32" customHeight="1">
      <x:c r="A460" s="33" t="n">
        <x:v>460</x:v>
      </x:c>
      <x:c r="B460" s="33" t="str">
        <x:v>TT10_TIR_P3</x:v>
      </x:c>
      <x:c r="C460" s="33" t="n">
        <x:v>1</x:v>
      </x:c>
      <x:c r="D460" s="34" t="str">
        <x:v>Tirante M20 propuesto, L380; rosca simplificada</x:v>
      </x:c>
      <x:c r="E460" s="34" t="str">
        <x:v>ASTM A36</x:v>
      </x:c>
      <x:c r="F460" s="35" t="n">
        <x:v>0.9371370885658354</x:v>
      </x:c>
      <x:c r="G460" s="35" t="n">
        <x:f>IF(F460="","",C460*F460)</x:f>
        <x:v>0.9371370885658354</x:v>
      </x:c>
      <x:c r="H460" s="33" t="str">
        <x:v>Fabricación</x:v>
      </x:c>
      <x:c r="I460" s="36" t="n">
        <x:v>0.00011938052083641215</x:v>
      </x:c>
      <x:c r="J460" s="33" t="str">
        <x:v>C05E_TT10_TIR_P3.SLDPRT</x:v>
      </x:c>
      <x:c r="K460" s="33" t="str">
        <x:v>CAD_volume_x_specified_density</x:v>
      </x:c>
    </x:row>
    <x:row r="461" ht="32" customHeight="1">
      <x:c r="A461" s="33" t="n">
        <x:v>461</x:v>
      </x:c>
      <x:c r="B461" s="33" t="str">
        <x:v>TT10_TIR_P4</x:v>
      </x:c>
      <x:c r="C461" s="33" t="n">
        <x:v>1</x:v>
      </x:c>
      <x:c r="D461" s="34" t="str">
        <x:v>Tirante M20 propuesto, L380; rosca simplificada</x:v>
      </x:c>
      <x:c r="E461" s="34" t="str">
        <x:v>ASTM A36</x:v>
      </x:c>
      <x:c r="F461" s="35" t="n">
        <x:v>0.9371370885658354</x:v>
      </x:c>
      <x:c r="G461" s="35" t="n">
        <x:f>IF(F461="","",C461*F461)</x:f>
        <x:v>0.9371370885658354</x:v>
      </x:c>
      <x:c r="H461" s="33" t="str">
        <x:v>Fabricación</x:v>
      </x:c>
      <x:c r="I461" s="36" t="n">
        <x:v>0.00011938052083641217</x:v>
      </x:c>
      <x:c r="J461" s="33" t="str">
        <x:v>C05E_TT10_TIR_P4.SLDPRT</x:v>
      </x:c>
      <x:c r="K461" s="33" t="str">
        <x:v>CAD_volume_x_specified_density</x:v>
      </x:c>
    </x:row>
    <x:row r="462" ht="32" customHeight="1">
      <x:c r="A462" s="33" t="n">
        <x:v>462</x:v>
      </x:c>
      <x:c r="B462" s="33" t="str">
        <x:v>TT10_TM_ARANDELA16</x:v>
      </x:c>
      <x:c r="C462" s="33" t="n">
        <x:v>1</x:v>
      </x:c>
      <x:c r="D462" s="34" t="str">
        <x:v>Arandela de retención D44/d17/t4</x:v>
      </x:c>
      <x:c r="E462" s="34" t="str">
        <x:v>Arandela endurecida 300 HV / ISO 7089</x:v>
      </x:c>
      <x:c r="F462" s="35" t="n">
        <x:v>0.04061749433863142</x:v>
      </x:c>
      <x:c r="G462" s="35" t="n">
        <x:f>IF(F462="","",C462*F462)</x:f>
        <x:v>0.04061749433863142</x:v>
      </x:c>
      <x:c r="H462" s="33" t="str">
        <x:v>Compra</x:v>
      </x:c>
      <x:c r="I462" s="36" t="n">
        <x:v>0.000005174203100462601</x:v>
      </x:c>
      <x:c r="J462" s="33" t="str">
        <x:v>C05E_TT10_TM_ARANDELA16.SLDPRT</x:v>
      </x:c>
      <x:c r="K462" s="33" t="str">
        <x:v>CAD_volume_x_specified_density</x:v>
      </x:c>
    </x:row>
    <x:row r="463" ht="32" customHeight="1">
      <x:c r="A463" s="33" t="n">
        <x:v>463</x:v>
      </x:c>
      <x:c r="B463" s="33" t="str">
        <x:v>TT10_TM_B12_0</x:v>
      </x:c>
      <x:c r="C463" s="33" t="n">
        <x:v>1</x:v>
      </x:c>
      <x:c r="D463" s="34" t="str">
        <x:v>Tornillo M12x40 8.8, s18, rosca nominal; enganche20.5mm en placa</x:v>
      </x:c>
      <x:c r="E463" s="34" t="str">
        <x:v>Clase 8.8 / ISO 898-1</x:v>
      </x:c>
      <x:c r="F463" s="35" t="n">
        <x:v>0.05203243094606924</x:v>
      </x:c>
      <x:c r="G463" s="35" t="n">
        <x:f>IF(F463="","",C463*F463)</x:f>
        <x:v>0.05203243094606924</x:v>
      </x:c>
      <x:c r="H463" s="33" t="str">
        <x:v>Compra</x:v>
      </x:c>
      <x:c r="I463" s="36" t="n">
        <x:v>0.0000066283351523655084</x:v>
      </x:c>
      <x:c r="J463" s="33" t="str">
        <x:v>C05E_TT10_TM_B12_0.SLDPRT</x:v>
      </x:c>
      <x:c r="K463" s="33" t="str">
        <x:v>CAD_volume_x_specified_density</x:v>
      </x:c>
    </x:row>
    <x:row r="464" ht="32" customHeight="1">
      <x:c r="A464" s="33" t="n">
        <x:v>464</x:v>
      </x:c>
      <x:c r="B464" s="33" t="str">
        <x:v>TT10_TM_B12_1</x:v>
      </x:c>
      <x:c r="C464" s="33" t="n">
        <x:v>1</x:v>
      </x:c>
      <x:c r="D464" s="34" t="str">
        <x:v>Tornillo M12x40 8.8, s18, rosca nominal; enganche20.5mm en placa</x:v>
      </x:c>
      <x:c r="E464" s="34" t="str">
        <x:v>Clase 8.8 / ISO 898-1</x:v>
      </x:c>
      <x:c r="F464" s="35" t="n">
        <x:v>0.052032430946069255</x:v>
      </x:c>
      <x:c r="G464" s="35" t="n">
        <x:f>IF(F464="","",C464*F464)</x:f>
        <x:v>0.052032430946069255</x:v>
      </x:c>
      <x:c r="H464" s="33" t="str">
        <x:v>Compra</x:v>
      </x:c>
      <x:c r="I464" s="36" t="n">
        <x:v>0.00000662833515236551</x:v>
      </x:c>
      <x:c r="J464" s="33" t="str">
        <x:v>C05E_TT10_TM_B12_1.SLDPRT</x:v>
      </x:c>
      <x:c r="K464" s="33" t="str">
        <x:v>CAD_volume_x_specified_density</x:v>
      </x:c>
    </x:row>
    <x:row r="465" ht="32" customHeight="1">
      <x:c r="A465" s="33" t="n">
        <x:v>465</x:v>
      </x:c>
      <x:c r="B465" s="33" t="str">
        <x:v>TT10_TM_B12_2</x:v>
      </x:c>
      <x:c r="C465" s="33" t="n">
        <x:v>1</x:v>
      </x:c>
      <x:c r="D465" s="34" t="str">
        <x:v>Tornillo M12x40 8.8, s18, rosca nominal; enganche20.5mm en placa</x:v>
      </x:c>
      <x:c r="E465" s="34" t="str">
        <x:v>Clase 8.8 / ISO 898-1</x:v>
      </x:c>
      <x:c r="F465" s="35" t="n">
        <x:v>0.052032430946069255</x:v>
      </x:c>
      <x:c r="G465" s="35" t="n">
        <x:f>IF(F465="","",C465*F465)</x:f>
        <x:v>0.052032430946069255</x:v>
      </x:c>
      <x:c r="H465" s="33" t="str">
        <x:v>Compra</x:v>
      </x:c>
      <x:c r="I465" s="36" t="n">
        <x:v>0.00000662833515236551</x:v>
      </x:c>
      <x:c r="J465" s="33" t="str">
        <x:v>C05E_TT10_TM_B12_2.SLDPRT</x:v>
      </x:c>
      <x:c r="K465" s="33" t="str">
        <x:v>CAD_volume_x_specified_density</x:v>
      </x:c>
    </x:row>
    <x:row r="466" ht="32" customHeight="1">
      <x:c r="A466" s="33" t="n">
        <x:v>466</x:v>
      </x:c>
      <x:c r="B466" s="33" t="str">
        <x:v>TT10_TM_B12_3</x:v>
      </x:c>
      <x:c r="C466" s="33" t="n">
        <x:v>1</x:v>
      </x:c>
      <x:c r="D466" s="34" t="str">
        <x:v>Tornillo M12x40 8.8, s18, rosca nominal; enganche20.5mm en placa</x:v>
      </x:c>
      <x:c r="E466" s="34" t="str">
        <x:v>Clase 8.8 / ISO 898-1</x:v>
      </x:c>
      <x:c r="F466" s="35" t="n">
        <x:v>0.052032430946069276</x:v>
      </x:c>
      <x:c r="G466" s="35" t="n">
        <x:f>IF(F466="","",C466*F466)</x:f>
        <x:v>0.052032430946069276</x:v>
      </x:c>
      <x:c r="H466" s="33" t="str">
        <x:v>Compra</x:v>
      </x:c>
      <x:c r="I466" s="36" t="n">
        <x:v>0.000006628335152365513</x:v>
      </x:c>
      <x:c r="J466" s="33" t="str">
        <x:v>C05E_TT10_TM_B12_3.SLDPRT</x:v>
      </x:c>
      <x:c r="K466" s="33" t="str">
        <x:v>CAD_volume_x_specified_density</x:v>
      </x:c>
    </x:row>
    <x:row r="467" ht="32" customHeight="1">
      <x:c r="A467" s="33" t="n">
        <x:v>467</x:v>
      </x:c>
      <x:c r="B467" s="33" t="str">
        <x:v>TT10_TM_CHAVETA</x:v>
      </x:c>
      <x:c r="C467" s="33" t="n">
        <x:v>1</x:v>
      </x:c>
      <x:c r="D467" s="34" t="str">
        <x:v>Chaveta paralela8x7x40, extremos R4, formaA; acero C45E</x:v>
      </x:c>
      <x:c r="E467" s="34" t="str">
        <x:v>AISI 4140 bonificado</x:v>
      </x:c>
      <x:c r="F467" s="35" t="n">
        <x:v>0.016829288261036163</x:v>
      </x:c>
      <x:c r="G467" s="35" t="n">
        <x:f>IF(F467="","",C467*F467)</x:f>
        <x:v>0.016829288261036163</x:v>
      </x:c>
      <x:c r="H467" s="33" t="str">
        <x:v>Compra</x:v>
      </x:c>
      <x:c r="I467" s="36" t="n">
        <x:v>0.000002143858377202059</x:v>
      </x:c>
      <x:c r="J467" s="33" t="str">
        <x:v>C05E_TT10_TM_CHAVETA.SLDPRT</x:v>
      </x:c>
      <x:c r="K467" s="33" t="str">
        <x:v>CAD_volume_x_specified_density</x:v>
      </x:c>
    </x:row>
    <x:row r="468" ht="32" customHeight="1">
      <x:c r="A468" s="33" t="n">
        <x:v>468</x:v>
      </x:c>
      <x:c r="B468" s="33" t="str">
        <x:v>TT10_TM_CUBO</x:v>
      </x:c>
      <x:c r="C468" s="33" t="n">
        <x:v>1</x:v>
      </x:c>
      <x:c r="D468" s="34" t="str">
        <x:v>Cubo D80/D30 H7 L45; chavetero8 JS9, profundidad3.3 sobre radio nominal</x:v>
      </x:c>
      <x:c r="E468" s="34" t="str">
        <x:v>AISI 4140 bonificado</x:v>
      </x:c>
      <x:c r="F468" s="35" t="n">
        <x:v>1.515750381527295</x:v>
      </x:c>
      <x:c r="G468" s="35" t="n">
        <x:f>IF(F468="","",C468*F468)</x:f>
        <x:v>1.515750381527295</x:v>
      </x:c>
      <x:c r="H468" s="33" t="str">
        <x:v>Fabricación</x:v>
      </x:c>
      <x:c r="I468" s="36" t="n">
        <x:v>0.00019308922057672547</x:v>
      </x:c>
      <x:c r="J468" s="33" t="str">
        <x:v>C05E_TT10_TM_CUBO.SLDPRT</x:v>
      </x:c>
      <x:c r="K468" s="33" t="str">
        <x:v>CAD_volume_x_specified_density</x:v>
      </x:c>
    </x:row>
    <x:row r="469" ht="32" customHeight="1">
      <x:c r="A469" s="33" t="n">
        <x:v>469</x:v>
      </x:c>
      <x:c r="B469" s="33" t="str">
        <x:v>TT10_TM_EJE_PUNO</x:v>
      </x:c>
      <x:c r="C469" s="33" t="n">
        <x:v>1</x:v>
      </x:c>
      <x:c r="D469" s="34" t="str">
        <x:v>Perno escalonado: M8, hombro14, pistaD10 h9 L87.3 y cabeza16; pistaRa≤0.8</x:v>
      </x:c>
      <x:c r="E469" s="34" t="str">
        <x:v>Clase 10.9 / ISO 898-1</x:v>
      </x:c>
      <x:c r="F469" s="35" t="n">
        <x:v>0.07948648816200964</x:v>
      </x:c>
      <x:c r="G469" s="35" t="n">
        <x:f>IF(F469="","",C469*F469)</x:f>
        <x:v>0.07948648816200964</x:v>
      </x:c>
      <x:c r="H469" s="33" t="str">
        <x:v>Compra</x:v>
      </x:c>
      <x:c r="I469" s="36" t="n">
        <x:v>0.000010125667281784666</x:v>
      </x:c>
      <x:c r="J469" s="33" t="str">
        <x:v>C05E_TT10_TM_EJE_PUNO.SLDPRT</x:v>
      </x:c>
      <x:c r="K469" s="33" t="str">
        <x:v>CAD_volume_x_specified_density</x:v>
      </x:c>
    </x:row>
    <x:row r="470" ht="32" customHeight="1">
      <x:c r="A470" s="33" t="n">
        <x:v>470</x:v>
      </x:c>
      <x:c r="B470" s="33" t="str">
        <x:v>TT10_TM_PUNO</x:v>
      </x:c>
      <x:c r="C470" s="33" t="n">
        <x:v>1</x:v>
      </x:c>
      <x:c r="D470" s="34" t="str">
        <x:v>Empuñadura giratoria POM D32/d10.4 L85</x:v>
      </x:c>
      <x:c r="E470" s="34" t="str">
        <x:v>POM-C; ficha de proveedor requerida</x:v>
      </x:c>
      <x:c r="F470" s="35" t="n">
        <x:v>0.08620799161781428</x:v>
      </x:c>
      <x:c r="G470" s="35" t="n">
        <x:f>IF(F470="","",C470*F470)</x:f>
        <x:v>0.08620799161781428</x:v>
      </x:c>
      <x:c r="H470" s="33" t="str">
        <x:v>Fabricación</x:v>
      </x:c>
      <x:c r="I470" s="36" t="n">
        <x:v>0.00006114041958710233</x:v>
      </x:c>
      <x:c r="J470" s="33" t="str">
        <x:v>C05E_TT10_TM_PUNO.SLDPRT</x:v>
      </x:c>
      <x:c r="K470" s="33" t="str">
        <x:v>CAD_volume_x_specified_density</x:v>
      </x:c>
    </x:row>
    <x:row r="471" ht="32" customHeight="1">
      <x:c r="A471" s="33" t="n">
        <x:v>471</x:v>
      </x:c>
      <x:c r="B471" s="33" t="str">
        <x:v>TT10_TM_PUNO_N8</x:v>
      </x:c>
      <x:c r="C471" s="33" t="n">
        <x:v>1</x:v>
      </x:c>
      <x:c r="D471" s="34" t="str">
        <x:v>Tuerca autoblocante metálica M8 h8 s13; geometría nominal</x:v>
      </x:c>
      <x:c r="E471" s="34" t="str">
        <x:v>Tuerca clase 8 / ISO 898-2</x:v>
      </x:c>
      <x:c r="F471" s="35" t="n">
        <x:v>0.006034628517118863</x:v>
      </x:c>
      <x:c r="G471" s="35" t="n">
        <x:f>IF(F471="","",C471*F471)</x:f>
        <x:v>0.006034628517118863</x:v>
      </x:c>
      <x:c r="H471" s="33" t="str">
        <x:v>Compra</x:v>
      </x:c>
      <x:c r="I471" s="36" t="n">
        <x:v>7.6874248625718e-7</x:v>
      </x:c>
      <x:c r="J471" s="33" t="str">
        <x:v>C05E_TT10_TM_PUNO_N8.SLDPRT</x:v>
      </x:c>
      <x:c r="K471" s="33" t="str">
        <x:v>CAD_volume_x_specified_density</x:v>
      </x:c>
    </x:row>
    <x:row r="472" ht="32" customHeight="1">
      <x:c r="A472" s="33" t="n">
        <x:v>472</x:v>
      </x:c>
      <x:c r="B472" s="33" t="str">
        <x:v>TT10_TM_PUNO_W0</x:v>
      </x:c>
      <x:c r="C472" s="33" t="n">
        <x:v>1</x:v>
      </x:c>
      <x:c r="D472" s="34" t="str">
        <x:v>Arandela lisa D20/d10.5/t1 para empuñadura</x:v>
      </x:c>
      <x:c r="E472" s="34" t="str">
        <x:v>Arandela endurecida 300 HV / ISO 7089</x:v>
      </x:c>
      <x:c r="F472" s="35" t="n">
        <x:v>0.0017977960309702805</x:v>
      </x:c>
      <x:c r="G472" s="35" t="n">
        <x:f>IF(F472="","",C472*F472)</x:f>
        <x:v>0.0017977960309702805</x:v>
      </x:c>
      <x:c r="H472" s="33" t="str">
        <x:v>Compra</x:v>
      </x:c>
      <x:c r="I472" s="36" t="n">
        <x:v>2.2756911784433932e-7</x:v>
      </x:c>
      <x:c r="J472" s="33" t="str">
        <x:v>C05E_TT10_TM_PUNO_W0.SLDPRT</x:v>
      </x:c>
      <x:c r="K472" s="33" t="str">
        <x:v>CAD_volume_x_specified_density</x:v>
      </x:c>
    </x:row>
    <x:row r="473" ht="32" customHeight="1">
      <x:c r="A473" s="33" t="n">
        <x:v>473</x:v>
      </x:c>
      <x:c r="B473" s="33" t="str">
        <x:v>TT10_TM_PUNO_W1</x:v>
      </x:c>
      <x:c r="C473" s="33" t="n">
        <x:v>1</x:v>
      </x:c>
      <x:c r="D473" s="34" t="str">
        <x:v>Arandela lisa D20/d10.5/t1 para empuñadura</x:v>
      </x:c>
      <x:c r="E473" s="34" t="str">
        <x:v>Arandela endurecida 300 HV / ISO 7089</x:v>
      </x:c>
      <x:c r="F473" s="35" t="n">
        <x:v>0.0017977960309706897</x:v>
      </x:c>
      <x:c r="G473" s="35" t="n">
        <x:f>IF(F473="","",C473*F473)</x:f>
        <x:v>0.0017977960309706897</x:v>
      </x:c>
      <x:c r="H473" s="33" t="str">
        <x:v>Compra</x:v>
      </x:c>
      <x:c r="I473" s="36" t="n">
        <x:v>2.275691178443911e-7</x:v>
      </x:c>
      <x:c r="J473" s="33" t="str">
        <x:v>C05E_TT10_TM_PUNO_W1.SLDPRT</x:v>
      </x:c>
      <x:c r="K473" s="33" t="str">
        <x:v>CAD_volume_x_specified_density</x:v>
      </x:c>
    </x:row>
    <x:row r="474" ht="32" customHeight="1">
      <x:c r="A474" s="33" t="n">
        <x:v>474</x:v>
      </x:c>
      <x:c r="B474" s="33" t="str">
        <x:v>TT10_TM_PUNO_W8</x:v>
      </x:c>
      <x:c r="C474" s="33" t="n">
        <x:v>1</x:v>
      </x:c>
      <x:c r="D474" s="34" t="str">
        <x:v>Arandela M8 D16/d8.4/t1.6</x:v>
      </x:c>
      <x:c r="E474" s="34" t="str">
        <x:v>Arandela endurecida 300 HV / ISO 7089</x:v>
      </x:c>
      <x:c r="F474" s="35" t="n">
        <x:v>0.0018292915968804323</x:v>
      </x:c>
      <x:c r="G474" s="35" t="n">
        <x:f>IF(F474="","",C474*F474)</x:f>
        <x:v>0.0018292915968804323</x:v>
      </x:c>
      <x:c r="H474" s="33" t="str">
        <x:v>Compra</x:v>
      </x:c>
      <x:c r="I474" s="36" t="n">
        <x:v>2.3303077667266653e-7</x:v>
      </x:c>
      <x:c r="J474" s="33" t="str">
        <x:v>C05E_TT10_TM_PUNO_W8.SLDPRT</x:v>
      </x:c>
      <x:c r="K474" s="33" t="str">
        <x:v>CAD_volume_x_specified_density</x:v>
      </x:c>
    </x:row>
    <x:row r="475" ht="32" customHeight="1">
      <x:c r="A475" s="33" t="n">
        <x:v>475</x:v>
      </x:c>
      <x:c r="B475" s="33" t="str">
        <x:v>TT10_TM_SY30_0</x:v>
      </x:c>
      <x:c r="C475" s="33" t="n">
        <x:v>3</x:v>
      </x:c>
      <x:c r="D475" s="34" t="str">
        <x:v>SKF SY30TF, d30, H42.9, base152x40, pasos117.5; interfaces nominales</x:v>
      </x:c>
      <x:c r="E475" s="34" t="str">
        <x:v>Conjunto comprado; acero/ fundición según OEM</x:v>
      </x:c>
      <x:c r="F475" s="35" t="n">
        <x:v>1.1</x:v>
      </x:c>
      <x:c r="G475" s="35" t="n">
        <x:f>IF(F475="","",C475*F475)</x:f>
        <x:v>3.3000000000000003</x:v>
      </x:c>
      <x:c r="H475" s="33" t="str">
        <x:v>Compra</x:v>
      </x:c>
      <x:c r="I475" s="36" t="n">
        <x:v>0.00019551869434106088</x:v>
      </x:c>
      <x:c r="J475" s="33" t="str">
        <x:v>C05E_TT10_TM_SY30_0.SLDPRT</x:v>
      </x:c>
      <x:c r="K475" s="33" t="str">
        <x:v>Catálogo/fuente conservada</x:v>
      </x:c>
    </x:row>
    <x:row r="476" ht="32" customHeight="1">
      <x:c r="A476" s="33" t="n">
        <x:v>476</x:v>
      </x:c>
      <x:c r="B476" s="33" t="str">
        <x:v>TT10_TM_SY30_1</x:v>
      </x:c>
      <x:c r="C476" s="33" t="n">
        <x:v>1</x:v>
      </x:c>
      <x:c r="D476" s="34" t="str">
        <x:v>SKF SY30TF, d30, H42.9, base152x40, pasos117.5; interfaces nominales</x:v>
      </x:c>
      <x:c r="E476" s="34" t="str">
        <x:v>Conjunto comprado; acero/ fundición según OEM</x:v>
      </x:c>
      <x:c r="F476" s="35" t="n">
        <x:v>1.1</x:v>
      </x:c>
      <x:c r="G476" s="35" t="n">
        <x:f>IF(F476="","",C476*F476)</x:f>
        <x:v>1.1</x:v>
      </x:c>
      <x:c r="H476" s="33" t="str">
        <x:v>Compra</x:v>
      </x:c>
      <x:c r="I476" s="36" t="n">
        <x:v>0.00019551869434106164</x:v>
      </x:c>
      <x:c r="J476" s="33" t="str">
        <x:v>C05E_TT10_TM_SY30_1.SLDPRT</x:v>
      </x:c>
      <x:c r="K476" s="33" t="str">
        <x:v>Catálogo/fuente conservada</x:v>
      </x:c>
    </x:row>
    <x:row r="477" ht="32" customHeight="1">
      <x:c r="A477" s="33" t="n">
        <x:v>477</x:v>
      </x:c>
      <x:c r="B477" s="33" t="str">
        <x:v>TT10_TM_TORNILLO16</x:v>
      </x:c>
      <x:c r="C477" s="33" t="n">
        <x:v>1</x:v>
      </x:c>
      <x:c r="D477" s="34" t="str">
        <x:v>Tornillo M16x35 clase8.8, s24; retiene axialmente rueda y cubo</x:v>
      </x:c>
      <x:c r="E477" s="34" t="str">
        <x:v>Clase 8.8 / ISO 898-1</x:v>
      </x:c>
      <x:c r="F477" s="35" t="n">
        <x:v>0.0943999698782385</x:v>
      </x:c>
      <x:c r="G477" s="35" t="n">
        <x:f>IF(F477="","",C477*F477)</x:f>
        <x:v>0.0943999698782385</x:v>
      </x:c>
      <x:c r="H477" s="33" t="str">
        <x:v>Compra</x:v>
      </x:c>
      <x:c r="I477" s="36" t="n">
        <x:v>0.000012025473869839299</x:v>
      </x:c>
      <x:c r="J477" s="33" t="str">
        <x:v>C05E_TT10_TM_TORNILLO16.SLDPRT</x:v>
      </x:c>
      <x:c r="K477" s="33" t="str">
        <x:v>CAD_volume_x_specified_density</x:v>
      </x:c>
    </x:row>
    <x:row r="478" ht="32" customHeight="1">
      <x:c r="A478" s="33" t="n">
        <x:v>478</x:v>
      </x:c>
      <x:c r="B478" s="33" t="str">
        <x:v>TT10_TM_VOLANTE</x:v>
      </x:c>
      <x:c r="C478" s="33" t="n">
        <x:v>1</x:v>
      </x:c>
      <x:c r="D478" s="34" t="str">
        <x:v>Volante D500 t12, cuatro radios; D8.5 para empuñadura; soldado al cubo</x:v>
      </x:c>
      <x:c r="E478" s="34" t="str">
        <x:v>ASTM A36</x:v>
      </x:c>
      <x:c r="F478" s="35" t="n">
        <x:v>6.887870720603769</x:v>
      </x:c>
      <x:c r="G478" s="35" t="n">
        <x:f>IF(F478="","",C478*F478)</x:f>
        <x:v>6.887870720603769</x:v>
      </x:c>
      <x:c r="H478" s="33" t="str">
        <x:v>Fabricación</x:v>
      </x:c>
      <x:c r="I478" s="36" t="n">
        <x:v>0.0008774357605864674</x:v>
      </x:c>
      <x:c r="J478" s="33" t="str">
        <x:v>C05E_TT10_TM_VOLANTE.SLDPRT</x:v>
      </x:c>
      <x:c r="K478" s="33" t="str">
        <x:v>CAD_volume_x_specified_density</x:v>
      </x:c>
    </x:row>
    <x:row r="479" ht="32" customHeight="1">
      <x:c r="A479" s="33" t="n">
        <x:v>479</x:v>
      </x:c>
      <x:c r="B479" s="33" t="str">
        <x:v>TT10_TM_W12_0</x:v>
      </x:c>
      <x:c r="C479" s="33" t="n">
        <x:v>1</x:v>
      </x:c>
      <x:c r="D479" s="34" t="str">
        <x:v>Arandela M12 D24/d13/t2.5</x:v>
      </x:c>
      <x:c r="E479" s="34" t="str">
        <x:v>Arandela endurecida 300 HV / ISO 7089</x:v>
      </x:c>
      <x:c r="F479" s="35" t="n">
        <x:v>0.006273269655366703</x:v>
      </x:c>
      <x:c r="G479" s="35" t="n">
        <x:f>IF(F479="","",C479*F479)</x:f>
        <x:v>0.006273269655366703</x:v>
      </x:c>
      <x:c r="H479" s="33" t="str">
        <x:v>Compra</x:v>
      </x:c>
      <x:c r="I479" s="36" t="n">
        <x:v>7.991426312569048e-7</x:v>
      </x:c>
      <x:c r="J479" s="33" t="str">
        <x:v>C05E_TT10_TM_W12_0.SLDPRT</x:v>
      </x:c>
      <x:c r="K479" s="33" t="str">
        <x:v>CAD_volume_x_specified_density</x:v>
      </x:c>
    </x:row>
    <x:row r="480" ht="32" customHeight="1">
      <x:c r="A480" s="33" t="n">
        <x:v>480</x:v>
      </x:c>
      <x:c r="B480" s="33" t="str">
        <x:v>TT10_TM_W12_1</x:v>
      </x:c>
      <x:c r="C480" s="33" t="n">
        <x:v>1</x:v>
      </x:c>
      <x:c r="D480" s="34" t="str">
        <x:v>Arandela M12 D24/d13/t2.5</x:v>
      </x:c>
      <x:c r="E480" s="34" t="str">
        <x:v>Arandela endurecida 300 HV / ISO 7089</x:v>
      </x:c>
      <x:c r="F480" s="35" t="n">
        <x:v>0.006273269655366703</x:v>
      </x:c>
      <x:c r="G480" s="35" t="n">
        <x:f>IF(F480="","",C480*F480)</x:f>
        <x:v>0.006273269655366703</x:v>
      </x:c>
      <x:c r="H480" s="33" t="str">
        <x:v>Compra</x:v>
      </x:c>
      <x:c r="I480" s="36" t="n">
        <x:v>7.991426312569048e-7</x:v>
      </x:c>
      <x:c r="J480" s="33" t="str">
        <x:v>C05E_TT10_TM_W12_1.SLDPRT</x:v>
      </x:c>
      <x:c r="K480" s="33" t="str">
        <x:v>CAD_volume_x_specified_density</x:v>
      </x:c>
    </x:row>
    <x:row r="481" ht="32" customHeight="1">
      <x:c r="A481" s="33" t="n">
        <x:v>481</x:v>
      </x:c>
      <x:c r="B481" s="33" t="str">
        <x:v>TT10_TM_W12_2</x:v>
      </x:c>
      <x:c r="C481" s="33" t="n">
        <x:v>1</x:v>
      </x:c>
      <x:c r="D481" s="34" t="str">
        <x:v>Arandela M12 D24/d13/t2.5</x:v>
      </x:c>
      <x:c r="E481" s="34" t="str">
        <x:v>Arandela endurecida 300 HV / ISO 7089</x:v>
      </x:c>
      <x:c r="F481" s="35" t="n">
        <x:v>0.006273269655366703</x:v>
      </x:c>
      <x:c r="G481" s="35" t="n">
        <x:f>IF(F481="","",C481*F481)</x:f>
        <x:v>0.006273269655366703</x:v>
      </x:c>
      <x:c r="H481" s="33" t="str">
        <x:v>Compra</x:v>
      </x:c>
      <x:c r="I481" s="36" t="n">
        <x:v>7.991426312569048e-7</x:v>
      </x:c>
      <x:c r="J481" s="33" t="str">
        <x:v>C05E_TT10_TM_W12_2.SLDPRT</x:v>
      </x:c>
      <x:c r="K481" s="33" t="str">
        <x:v>CAD_volume_x_specified_density</x:v>
      </x:c>
    </x:row>
    <x:row r="482" ht="32" customHeight="1">
      <x:c r="A482" s="33" t="n">
        <x:v>482</x:v>
      </x:c>
      <x:c r="B482" s="33" t="str">
        <x:v>TT10_TM_W12_3</x:v>
      </x:c>
      <x:c r="C482" s="33" t="n">
        <x:v>1</x:v>
      </x:c>
      <x:c r="D482" s="34" t="str">
        <x:v>Arandela M12 D24/d13/t2.5</x:v>
      </x:c>
      <x:c r="E482" s="34" t="str">
        <x:v>Arandela endurecida 300 HV / ISO 7089</x:v>
      </x:c>
      <x:c r="F482" s="35" t="n">
        <x:v>0.006273269655366703</x:v>
      </x:c>
      <x:c r="G482" s="35" t="n">
        <x:f>IF(F482="","",C482*F482)</x:f>
        <x:v>0.006273269655366703</x:v>
      </x:c>
      <x:c r="H482" s="33" t="str">
        <x:v>Compra</x:v>
      </x:c>
      <x:c r="I482" s="36" t="n">
        <x:v>7.991426312569048e-7</x:v>
      </x:c>
      <x:c r="J482" s="33" t="str">
        <x:v>C05E_TT10_TM_W12_3.SLDPRT</x:v>
      </x:c>
      <x:c r="K482" s="33" t="str">
        <x:v>CAD_volume_x_specified_density</x:v>
      </x:c>
    </x:row>
    <x:row r="483" ht="32" customHeight="1">
      <x:c r="A483" s="33" t="n">
        <x:v>483</x:v>
      </x:c>
      <x:c r="B483" s="33" t="str">
        <x:v>TT10_TNF_N1</x:v>
      </x:c>
      <x:c r="C483" s="33" t="n">
        <x:v>1</x:v>
      </x:c>
      <x:c r="D483" s="34" t="str">
        <x:v>SKF TNF48; reserva dimensional axial A2=380</x:v>
      </x:c>
      <x:c r="E483" s="34" t="str">
        <x:v>Conjunto comprado; acero/ fundición según OEM</x:v>
      </x:c>
      <x:c r="F483" s="35"/>
      <x:c r="G483" s="35" t="str">
        <x:f>IF(F483="","",C483*F483)</x:f>
      </x:c>
      <x:c r="H483" s="33" t="str">
        <x:v>Compra</x:v>
      </x:c>
      <x:c r="I483" s="36" t="n">
        <x:v>0.0007464367596261585</x:v>
      </x:c>
      <x:c r="J483" s="33" t="str">
        <x:v>C05E_TT10_TNF_N1.SLDPRT</x:v>
      </x:c>
      <x:c r="K483" s="33" t="str">
        <x:v>OEM_mass_required</x:v>
      </x:c>
    </x:row>
    <x:row r="484" ht="32" customHeight="1">
      <x:c r="A484" s="33" t="n">
        <x:v>484</x:v>
      </x:c>
      <x:c r="B484" s="33" t="str">
        <x:v>TT10_TNF_N2</x:v>
      </x:c>
      <x:c r="C484" s="33" t="n">
        <x:v>1</x:v>
      </x:c>
      <x:c r="D484" s="34" t="str">
        <x:v>SKF TNF48; reserva dimensional axial A2=380</x:v>
      </x:c>
      <x:c r="E484" s="34" t="str">
        <x:v>Conjunto comprado; acero/ fundición según OEM</x:v>
      </x:c>
      <x:c r="F484" s="35"/>
      <x:c r="G484" s="35" t="str">
        <x:f>IF(F484="","",C484*F484)</x:f>
      </x:c>
      <x:c r="H484" s="33" t="str">
        <x:v>Compra</x:v>
      </x:c>
      <x:c r="I484" s="36" t="n">
        <x:v>0.0007464367596261585</x:v>
      </x:c>
      <x:c r="J484" s="33" t="str">
        <x:v>C05E_TT10_TNF_N2.SLDPRT</x:v>
      </x:c>
      <x:c r="K484" s="33" t="str">
        <x:v>OEM_mass_required</x:v>
      </x:c>
    </x:row>
    <x:row r="485" ht="32" customHeight="1">
      <x:c r="A485" s="33" t="n">
        <x:v>485</x:v>
      </x:c>
      <x:c r="B485" s="33" t="str">
        <x:v>TT10_TNF_P1</x:v>
      </x:c>
      <x:c r="C485" s="33" t="n">
        <x:v>1</x:v>
      </x:c>
      <x:c r="D485" s="34" t="str">
        <x:v>SKF TNF48; reserva dimensional axial A2=380</x:v>
      </x:c>
      <x:c r="E485" s="34" t="str">
        <x:v>Conjunto comprado; acero/ fundición según OEM</x:v>
      </x:c>
      <x:c r="F485" s="35"/>
      <x:c r="G485" s="35" t="str">
        <x:f>IF(F485="","",C485*F485)</x:f>
      </x:c>
      <x:c r="H485" s="33" t="str">
        <x:v>Compra</x:v>
      </x:c>
      <x:c r="I485" s="36" t="n">
        <x:v>0.0007464367596261657</x:v>
      </x:c>
      <x:c r="J485" s="33" t="str">
        <x:v>C05E_TT10_TNF_P1.SLDPRT</x:v>
      </x:c>
      <x:c r="K485" s="33" t="str">
        <x:v>OEM_mass_required</x:v>
      </x:c>
    </x:row>
    <x:row r="486" ht="32" customHeight="1">
      <x:c r="A486" s="33" t="n">
        <x:v>486</x:v>
      </x:c>
      <x:c r="B486" s="33" t="str">
        <x:v>TT10_TNF_P2</x:v>
      </x:c>
      <x:c r="C486" s="33" t="n">
        <x:v>1</x:v>
      </x:c>
      <x:c r="D486" s="34" t="str">
        <x:v>SKF TNF48; reserva dimensional axial A2=380</x:v>
      </x:c>
      <x:c r="E486" s="34" t="str">
        <x:v>Conjunto comprado; acero/ fundición según OEM</x:v>
      </x:c>
      <x:c r="F486" s="35"/>
      <x:c r="G486" s="35" t="str">
        <x:f>IF(F486="","",C486*F486)</x:f>
      </x:c>
      <x:c r="H486" s="33" t="str">
        <x:v>Compra</x:v>
      </x:c>
      <x:c r="I486" s="36" t="n">
        <x:v>0.0007464367596261657</x:v>
      </x:c>
      <x:c r="J486" s="33" t="str">
        <x:v>C05E_TT10_TNF_P2.SLDPRT</x:v>
      </x:c>
      <x:c r="K486" s="33" t="str">
        <x:v>OEM_mass_required</x:v>
      </x:c>
    </x:row>
    <x:row r="487" ht="32" customHeight="1">
      <x:c r="A487" s="33" t="n">
        <x:v>487</x:v>
      </x:c>
      <x:c r="B487" s="33" t="str">
        <x:v>TT10_TOPE70_N_INFD</x:v>
      </x:c>
      <x:c r="C487" s="33" t="n">
        <x:v>1</x:v>
      </x:c>
      <x:c r="D487" s="34" t="str">
        <x:v>Cartela horizontal20: transmite componente transversal del tope70</x:v>
      </x:c>
      <x:c r="E487" s="34" t="str">
        <x:v>ASTM A36</x:v>
      </x:c>
      <x:c r="F487" s="35" t="n">
        <x:v>1.491500000000001</x:v>
      </x:c>
      <x:c r="G487" s="35" t="n">
        <x:f>IF(F487="","",C487*F487)</x:f>
        <x:v>1.491500000000001</x:v>
      </x:c>
      <x:c r="H487" s="33" t="str">
        <x:v>Fabricación</x:v>
      </x:c>
      <x:c r="I487" s="36" t="n">
        <x:v>0.00019000000000000012</x:v>
      </x:c>
      <x:c r="J487" s="33" t="str">
        <x:v>C05E_TT10_TOPE70_N_INFD.SLDPRT</x:v>
      </x:c>
      <x:c r="K487" s="33" t="str">
        <x:v>CAD_volume_x_specified_density</x:v>
      </x:c>
    </x:row>
    <x:row r="488" ht="32" customHeight="1">
      <x:c r="A488" s="33" t="n">
        <x:v>488</x:v>
      </x:c>
      <x:c r="B488" s="33" t="str">
        <x:v>TT10_TOPE70_N_INFI</x:v>
      </x:c>
      <x:c r="C488" s="33" t="n">
        <x:v>1</x:v>
      </x:c>
      <x:c r="D488" s="34" t="str">
        <x:v>Cartela horizontal20: transmite componente transversal del tope70</x:v>
      </x:c>
      <x:c r="E488" s="34" t="str">
        <x:v>ASTM A36</x:v>
      </x:c>
      <x:c r="F488" s="35" t="n">
        <x:v>2.2372500000000013</x:v>
      </x:c>
      <x:c r="G488" s="35" t="n">
        <x:f>IF(F488="","",C488*F488)</x:f>
        <x:v>2.2372500000000013</x:v>
      </x:c>
      <x:c r="H488" s="33" t="str">
        <x:v>Fabricación</x:v>
      </x:c>
      <x:c r="I488" s="36" t="n">
        <x:v>0.00028500000000000015</x:v>
      </x:c>
      <x:c r="J488" s="33" t="str">
        <x:v>C05E_TT10_TOPE70_N_INFI.SLDPRT</x:v>
      </x:c>
      <x:c r="K488" s="33" t="str">
        <x:v>CAD_volume_x_specified_density</x:v>
      </x:c>
    </x:row>
    <x:row r="489" ht="32" customHeight="1">
      <x:c r="A489" s="33" t="n">
        <x:v>489</x:v>
      </x:c>
      <x:c r="B489" s="33" t="str">
        <x:v>TT10_TOPE70_N_SUPD</x:v>
      </x:c>
      <x:c r="C489" s="33" t="n">
        <x:v>1</x:v>
      </x:c>
      <x:c r="D489" s="34" t="str">
        <x:v>Cartela horizontal20: transmite componente transversal del tope70</x:v>
      </x:c>
      <x:c r="E489" s="34" t="str">
        <x:v>ASTM A36</x:v>
      </x:c>
      <x:c r="F489" s="35" t="n">
        <x:v>1.1186249999999978</x:v>
      </x:c>
      <x:c r="G489" s="35" t="n">
        <x:f>IF(F489="","",C489*F489)</x:f>
        <x:v>1.1186249999999978</x:v>
      </x:c>
      <x:c r="H489" s="33" t="str">
        <x:v>Fabricación</x:v>
      </x:c>
      <x:c r="I489" s="36" t="n">
        <x:v>0.00014249999999999972</x:v>
      </x:c>
      <x:c r="J489" s="33" t="str">
        <x:v>C05E_TT10_TOPE70_N_SUPD.SLDPRT</x:v>
      </x:c>
      <x:c r="K489" s="33" t="str">
        <x:v>CAD_volume_x_specified_density</x:v>
      </x:c>
    </x:row>
    <x:row r="490" ht="32" customHeight="1">
      <x:c r="A490" s="33" t="n">
        <x:v>490</x:v>
      </x:c>
      <x:c r="B490" s="33" t="str">
        <x:v>TT10_TOPE70_N_SUPI</x:v>
      </x:c>
      <x:c r="C490" s="33" t="n">
        <x:v>1</x:v>
      </x:c>
      <x:c r="D490" s="34" t="str">
        <x:v>Cartela horizontal20: transmite componente transversal del tope70</x:v>
      </x:c>
      <x:c r="E490" s="34" t="str">
        <x:v>ASTM A36</x:v>
      </x:c>
      <x:c r="F490" s="35" t="n">
        <x:v>2.237250000000001</x:v>
      </x:c>
      <x:c r="G490" s="35" t="n">
        <x:f>IF(F490="","",C490*F490)</x:f>
        <x:v>2.237250000000001</x:v>
      </x:c>
      <x:c r="H490" s="33" t="str">
        <x:v>Fabricación</x:v>
      </x:c>
      <x:c r="I490" s="36" t="n">
        <x:v>0.0002850000000000001</x:v>
      </x:c>
      <x:c r="J490" s="33" t="str">
        <x:v>C05E_TT10_TOPE70_N_SUPI.SLDPRT</x:v>
      </x:c>
      <x:c r="K490" s="33" t="str">
        <x:v>CAD_volume_x_specified_density</x:v>
      </x:c>
    </x:row>
    <x:row r="491" ht="32" customHeight="1">
      <x:c r="A491" s="33" t="n">
        <x:v>491</x:v>
      </x:c>
      <x:c r="B491" s="33" t="str">
        <x:v>TT10_TOPE70_N_V1</x:v>
      </x:c>
      <x:c r="C491" s="33" t="n">
        <x:v>1</x:v>
      </x:c>
      <x:c r="D491" s="34" t="str">
        <x:v>Cartela vertical20 de tope70; apoyo al bloque y cara de columna</x:v>
      </x:c>
      <x:c r="E491" s="34" t="str">
        <x:v>ASTM A36</x:v>
      </x:c>
      <x:c r="F491" s="35" t="n">
        <x:v>4.474499999999996</x:v>
      </x:c>
      <x:c r="G491" s="35" t="n">
        <x:f>IF(F491="","",C491*F491)</x:f>
        <x:v>4.474499999999996</x:v>
      </x:c>
      <x:c r="H491" s="33" t="str">
        <x:v>Fabricación</x:v>
      </x:c>
      <x:c r="I491" s="36" t="n">
        <x:v>0.0005699999999999995</x:v>
      </x:c>
      <x:c r="J491" s="33" t="str">
        <x:v>C05E_TT10_TOPE70_N_V1.SLDPRT</x:v>
      </x:c>
      <x:c r="K491" s="33" t="str">
        <x:v>CAD_volume_x_specified_density</x:v>
      </x:c>
    </x:row>
    <x:row r="492" ht="32" customHeight="1">
      <x:c r="A492" s="33" t="n">
        <x:v>492</x:v>
      </x:c>
      <x:c r="B492" s="33" t="str">
        <x:v>TT10_TOPE70_N_V2</x:v>
      </x:c>
      <x:c r="C492" s="33" t="n">
        <x:v>1</x:v>
      </x:c>
      <x:c r="D492" s="34" t="str">
        <x:v>Cartela vertical20 de tope70; apoyo al bloque y cara de columna</x:v>
      </x:c>
      <x:c r="E492" s="34" t="str">
        <x:v>ASTM A36</x:v>
      </x:c>
      <x:c r="F492" s="35" t="n">
        <x:v>4.474499999999996</x:v>
      </x:c>
      <x:c r="G492" s="35" t="n">
        <x:f>IF(F492="","",C492*F492)</x:f>
        <x:v>4.474499999999996</x:v>
      </x:c>
      <x:c r="H492" s="33" t="str">
        <x:v>Fabricación</x:v>
      </x:c>
      <x:c r="I492" s="36" t="n">
        <x:v>0.0005699999999999995</x:v>
      </x:c>
      <x:c r="J492" s="33" t="str">
        <x:v>C05E_TT10_TOPE70_N_V2.SLDPRT</x:v>
      </x:c>
      <x:c r="K492" s="33" t="str">
        <x:v>CAD_volume_x_specified_density</x:v>
      </x:c>
    </x:row>
    <x:row r="493" ht="32" customHeight="1">
      <x:c r="A493" s="33" t="n">
        <x:v>493</x:v>
      </x:c>
      <x:c r="B493" s="33" t="str">
        <x:v>TT10_TOPE70_P_INFD</x:v>
      </x:c>
      <x:c r="C493" s="33" t="n">
        <x:v>1</x:v>
      </x:c>
      <x:c r="D493" s="34" t="str">
        <x:v>Cartela horizontal20: transmite componente transversal del tope70</x:v>
      </x:c>
      <x:c r="E493" s="34" t="str">
        <x:v>ASTM A36</x:v>
      </x:c>
      <x:c r="F493" s="35" t="n">
        <x:v>1.491500000000001</x:v>
      </x:c>
      <x:c r="G493" s="35" t="n">
        <x:f>IF(F493="","",C493*F493)</x:f>
        <x:v>1.491500000000001</x:v>
      </x:c>
      <x:c r="H493" s="33" t="str">
        <x:v>Fabricación</x:v>
      </x:c>
      <x:c r="I493" s="36" t="n">
        <x:v>0.00019000000000000012</x:v>
      </x:c>
      <x:c r="J493" s="33" t="str">
        <x:v>C05E_TT10_TOPE70_P_INFD.SLDPRT</x:v>
      </x:c>
      <x:c r="K493" s="33" t="str">
        <x:v>CAD_volume_x_specified_density</x:v>
      </x:c>
    </x:row>
    <x:row r="494" ht="32" customHeight="1">
      <x:c r="A494" s="33" t="n">
        <x:v>494</x:v>
      </x:c>
      <x:c r="B494" s="33" t="str">
        <x:v>TT10_TOPE70_P_INFI</x:v>
      </x:c>
      <x:c r="C494" s="33" t="n">
        <x:v>1</x:v>
      </x:c>
      <x:c r="D494" s="34" t="str">
        <x:v>Cartela horizontal20: transmite componente transversal del tope70</x:v>
      </x:c>
      <x:c r="E494" s="34" t="str">
        <x:v>ASTM A36</x:v>
      </x:c>
      <x:c r="F494" s="35" t="n">
        <x:v>2.2372500000000013</x:v>
      </x:c>
      <x:c r="G494" s="35" t="n">
        <x:f>IF(F494="","",C494*F494)</x:f>
        <x:v>2.2372500000000013</x:v>
      </x:c>
      <x:c r="H494" s="33" t="str">
        <x:v>Fabricación</x:v>
      </x:c>
      <x:c r="I494" s="36" t="n">
        <x:v>0.00028500000000000015</x:v>
      </x:c>
      <x:c r="J494" s="33" t="str">
        <x:v>C05E_TT10_TOPE70_P_INFI.SLDPRT</x:v>
      </x:c>
      <x:c r="K494" s="33" t="str">
        <x:v>CAD_volume_x_specified_density</x:v>
      </x:c>
    </x:row>
    <x:row r="495" ht="32" customHeight="1">
      <x:c r="A495" s="33" t="n">
        <x:v>495</x:v>
      </x:c>
      <x:c r="B495" s="33" t="str">
        <x:v>TT10_TOPE70_P_SUPD</x:v>
      </x:c>
      <x:c r="C495" s="33" t="n">
        <x:v>1</x:v>
      </x:c>
      <x:c r="D495" s="34" t="str">
        <x:v>Cartela horizontal20: transmite componente transversal del tope70</x:v>
      </x:c>
      <x:c r="E495" s="34" t="str">
        <x:v>ASTM A36</x:v>
      </x:c>
      <x:c r="F495" s="35" t="n">
        <x:v>1.1186249999999975</x:v>
      </x:c>
      <x:c r="G495" s="35" t="n">
        <x:f>IF(F495="","",C495*F495)</x:f>
        <x:v>1.1186249999999975</x:v>
      </x:c>
      <x:c r="H495" s="33" t="str">
        <x:v>Fabricación</x:v>
      </x:c>
      <x:c r="I495" s="36" t="n">
        <x:v>0.0001424999999999997</x:v>
      </x:c>
      <x:c r="J495" s="33" t="str">
        <x:v>C05E_TT10_TOPE70_P_SUPD.SLDPRT</x:v>
      </x:c>
      <x:c r="K495" s="33" t="str">
        <x:v>CAD_volume_x_specified_density</x:v>
      </x:c>
    </x:row>
    <x:row r="496" ht="32" customHeight="1">
      <x:c r="A496" s="33" t="n">
        <x:v>496</x:v>
      </x:c>
      <x:c r="B496" s="33" t="str">
        <x:v>TT10_TOPE70_P_SUPI</x:v>
      </x:c>
      <x:c r="C496" s="33" t="n">
        <x:v>1</x:v>
      </x:c>
      <x:c r="D496" s="34" t="str">
        <x:v>Cartela horizontal20: transmite componente transversal del tope70</x:v>
      </x:c>
      <x:c r="E496" s="34" t="str">
        <x:v>ASTM A36</x:v>
      </x:c>
      <x:c r="F496" s="35" t="n">
        <x:v>2.2372500000000013</x:v>
      </x:c>
      <x:c r="G496" s="35" t="n">
        <x:f>IF(F496="","",C496*F496)</x:f>
        <x:v>2.2372500000000013</x:v>
      </x:c>
      <x:c r="H496" s="33" t="str">
        <x:v>Fabricación</x:v>
      </x:c>
      <x:c r="I496" s="36" t="n">
        <x:v>0.00028500000000000015</x:v>
      </x:c>
      <x:c r="J496" s="33" t="str">
        <x:v>C05E_TT10_TOPE70_P_SUPI.SLDPRT</x:v>
      </x:c>
      <x:c r="K496" s="33" t="str">
        <x:v>CAD_volume_x_specified_density</x:v>
      </x:c>
    </x:row>
    <x:row r="497" ht="32" customHeight="1">
      <x:c r="A497" s="33" t="n">
        <x:v>497</x:v>
      </x:c>
      <x:c r="B497" s="33" t="str">
        <x:v>TT10_TOPE70_P_V1</x:v>
      </x:c>
      <x:c r="C497" s="33" t="n">
        <x:v>1</x:v>
      </x:c>
      <x:c r="D497" s="34" t="str">
        <x:v>Cartela vertical20 de tope70; apoyo al bloque y cara de columna</x:v>
      </x:c>
      <x:c r="E497" s="34" t="str">
        <x:v>ASTM A36</x:v>
      </x:c>
      <x:c r="F497" s="35" t="n">
        <x:v>4.4744999999999955</x:v>
      </x:c>
      <x:c r="G497" s="35" t="n">
        <x:f>IF(F497="","",C497*F497)</x:f>
        <x:v>4.4744999999999955</x:v>
      </x:c>
      <x:c r="H497" s="33" t="str">
        <x:v>Fabricación</x:v>
      </x:c>
      <x:c r="I497" s="36" t="n">
        <x:v>0.0005699999999999994</x:v>
      </x:c>
      <x:c r="J497" s="33" t="str">
        <x:v>C05E_TT10_TOPE70_P_V1.SLDPRT</x:v>
      </x:c>
      <x:c r="K497" s="33" t="str">
        <x:v>CAD_volume_x_specified_density</x:v>
      </x:c>
    </x:row>
    <x:row r="498" ht="32" customHeight="1">
      <x:c r="A498" s="33" t="n">
        <x:v>498</x:v>
      </x:c>
      <x:c r="B498" s="33" t="str">
        <x:v>TT10_TOPE70_P_V2</x:v>
      </x:c>
      <x:c r="C498" s="33" t="n">
        <x:v>1</x:v>
      </x:c>
      <x:c r="D498" s="34" t="str">
        <x:v>Cartela vertical20 de tope70; apoyo al bloque y cara de columna</x:v>
      </x:c>
      <x:c r="E498" s="34" t="str">
        <x:v>ASTM A36</x:v>
      </x:c>
      <x:c r="F498" s="35" t="n">
        <x:v>4.474499999999996</x:v>
      </x:c>
      <x:c r="G498" s="35" t="n">
        <x:f>IF(F498="","",C498*F498)</x:f>
        <x:v>4.474499999999996</x:v>
      </x:c>
      <x:c r="H498" s="33" t="str">
        <x:v>Fabricación</x:v>
      </x:c>
      <x:c r="I498" s="36" t="n">
        <x:v>0.0005699999999999995</x:v>
      </x:c>
      <x:c r="J498" s="33" t="str">
        <x:v>C05E_TT10_TOPE70_P_V2.SLDPRT</x:v>
      </x:c>
      <x:c r="K498" s="33" t="str">
        <x:v>CAD_volume_x_specified_density</x:v>
      </x:c>
    </x:row>
    <x:row r="499" ht="32" customHeight="1">
      <x:c r="A499" s="33" t="n">
        <x:v>499</x:v>
      </x:c>
      <x:c r="B499" s="33" t="str">
        <x:v>TT10_W20_P1I</x:v>
      </x:c>
      <x:c r="C499" s="33" t="n">
        <x:v>16</x:v>
      </x:c>
      <x:c r="D499" s="34" t="str">
        <x:v>Arandela D37 D21 t3</x:v>
      </x:c>
      <x:c r="E499" s="34" t="str">
        <x:v>Arandela endurecida 300 HV / ISO 7089</x:v>
      </x:c>
      <x:c r="F499" s="35"/>
      <x:c r="G499" s="35" t="str">
        <x:f>IF(F499="","",C499*F499)</x:f>
      </x:c>
      <x:c r="H499" s="33" t="str">
        <x:v>Compra</x:v>
      </x:c>
      <x:c r="I499" s="36" t="n">
        <x:v>0.000002186548486898496</x:v>
      </x:c>
      <x:c r="J499" s="33" t="str">
        <x:v>C05E_TT10_W20_P1I.SLDPRT</x:v>
      </x:c>
      <x:c r="K499" s="33" t="str">
        <x:v>OEM_mass_required</x:v>
      </x:c>
    </x:row>
    <x:row r="500" ht="32" customHeight="1">
      <x:c r="A500" s="33" t="n">
        <x:v>500</x:v>
      </x:c>
      <x:c r="B500" s="33" t="str">
        <x:v>TT10_W30_AP_P02227.5</x:v>
      </x:c>
      <x:c r="C500" s="33" t="n">
        <x:v>32</x:v>
      </x:c>
      <x:c r="D500" s="34" t="str">
        <x:v>Arandela ISO7089 M30 300HV, D56 d31 t4</x:v>
      </x:c>
      <x:c r="E500" s="34" t="str">
        <x:v>Arandela endurecida 300 HV / ISO 7089</x:v>
      </x:c>
      <x:c r="F500" s="35" t="n">
        <x:v>0.053638767569228724</x:v>
      </x:c>
      <x:c r="G500" s="35" t="n">
        <x:f>IF(F500="","",C500*F500)</x:f>
        <x:v>1.7164405622153192</x:v>
      </x:c>
      <x:c r="H500" s="33" t="str">
        <x:v>Compra</x:v>
      </x:c>
      <x:c r="I500" s="36" t="n">
        <x:v>0.0000068329640215577994</x:v>
      </x:c>
      <x:c r="J500" s="33" t="str">
        <x:v>C05E_TT10_W30_AP_P02227.5.SLDPRT</x:v>
      </x:c>
      <x:c r="K500" s="33" t="str">
        <x:v>CAD_volume_x_specified_density</x:v>
      </x:c>
    </x:row>
  </x:sheetData>
  <x:pageMargins left="0.7" right="0.7" top="0.75" bottom="0.75" header="0.3" footer="0.3"/>
  <x:tableParts count="1">
    <x:tablePart xmlns:r="http://schemas.openxmlformats.org/officeDocument/2006/relationships" r:id="R0fac6a009f8d4032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8" hidden="0" customWidth="1"/>
    <x:col min="2" max="2" width="24" hidden="0" customWidth="1"/>
    <x:col min="3" max="3" width="13" hidden="0" customWidth="1"/>
    <x:col min="4" max="4" width="13" hidden="0" customWidth="1"/>
    <x:col min="5" max="5" width="13" hidden="0" customWidth="1"/>
    <x:col min="6" max="6" width="42" hidden="0" customWidth="1"/>
    <x:col min="7" max="7" width="15" hidden="0" customWidth="1"/>
    <x:col min="8" max="8" width="15" hidden="0" customWidth="1"/>
    <x:col min="9" max="9" width="15" hidden="0" customWidth="1"/>
    <x:col min="10" max="10" width="20" hidden="0" customWidth="1"/>
    <x:col min="11" max="11" width="20" hidden="0" customWidth="1"/>
    <x:col min="12" max="12" width="20" hidden="0" customWidth="1"/>
    <x:col min="13" max="13" width="30" hidden="0" customWidth="1"/>
  </x:cols>
  <x:sheetData>
    <x:row r="2">
      <x:c r="A2" s="22" t="str">
        <x:v>SESUVECA - DESPIECE DE CHAPAS DE CAJONES SOLDADOS</x:v>
      </x:c>
    </x:row>
    <x:row r="3">
      <x:c r="A3" t="str">
        <x:v>Estas chapas ya integran la masa de sus seis cajones en BOM CAD. No sumarlas otra vez.</x:v>
      </x:c>
    </x:row>
    <x:row r="4">
      <x:c r="A4" t="str">
        <x:v>Total de chapas</x:v>
      </x:c>
      <x:c r="B4" t="n">
        <x:f>SUM(E8:E25)</x:f>
        <x:v>36</x:v>
      </x:c>
      <x:c r="F4" t="str">
        <x:v>Masa incluida (kg)</x:v>
      </x:c>
      <x:c r="G4" s="29" t="n">
        <x:f>SUM(L8:L25)</x:f>
        <x:v>1800.7202417669682</x:v>
      </x:c>
    </x:row>
    <x:row r="5">
      <x:c r="A5" t="str">
        <x:v>JAVIER ACEVEDO / 25-10-2026 / C05. Unidades mm; cantidades para una tolva.</x:v>
      </x:c>
    </x:row>
    <x:row r="7" ht="34" customHeight="1">
      <x:c r="A7" s="43" t="str">
        <x:v>Cajón</x:v>
      </x:c>
      <x:c r="B7" s="43" t="str">
        <x:v>Código de chapa</x:v>
      </x:c>
      <x:c r="C7" s="43" t="str">
        <x:v>Cajones</x:v>
      </x:c>
      <x:c r="D7" s="43" t="str">
        <x:v>Chapas/cajón</x:v>
      </x:c>
      <x:c r="E7" s="43" t="str">
        <x:v>Total chapas</x:v>
      </x:c>
      <x:c r="F7" s="43" t="str">
        <x:v>Material</x:v>
      </x:c>
      <x:c r="G7" s="43" t="str">
        <x:v>Ancho mm</x:v>
      </x:c>
      <x:c r="H7" s="43" t="str">
        <x:v>Alto mm</x:v>
      </x:c>
      <x:c r="I7" s="43" t="str">
        <x:v>Espesor mm</x:v>
      </x:c>
      <x:c r="J7" s="43" t="str">
        <x:v>Área neta m²</x:v>
      </x:c>
      <x:c r="K7" s="43" t="str">
        <x:v>Volumen total m³</x:v>
      </x:c>
      <x:c r="L7" s="43" t="str">
        <x:v>Masa incluida kg</x:v>
      </x:c>
      <x:c r="M7" s="43" t="str">
        <x:v>DXF</x:v>
      </x:c>
    </x:row>
    <x:row r="8" ht="30" customHeight="1">
      <x:c r="A8" s="21" t="str">
        <x:v>TT10_M161</x:v>
      </x:c>
      <x:c r="B8" s="21" t="str">
        <x:v>TT10_M161_CH01</x:v>
      </x:c>
      <x:c r="C8" s="21" t="n">
        <x:v>1</x:v>
      </x:c>
      <x:c r="D8" s="21" t="n">
        <x:v>2</x:v>
      </x:c>
      <x:c r="E8" s="21" t="n">
        <x:f>C8*D8</x:f>
        <x:v>2</x:v>
      </x:c>
      <x:c r="F8" s="21" t="str">
        <x:v>Strenx700E t30; Rp0.2min700MPa</x:v>
      </x:c>
      <x:c r="G8" s="21" t="n">
        <x:v>400</x:v>
      </x:c>
      <x:c r="H8" s="21" t="n">
        <x:v>1116</x:v>
      </x:c>
      <x:c r="I8" s="21" t="n">
        <x:v>30</x:v>
      </x:c>
      <x:c r="J8" s="28" t="n">
        <x:v>0.41435261334073054</x:v>
      </x:c>
      <x:c r="K8" s="28" t="n">
        <x:f>E8*I8/1000*J8</x:f>
        <x:v>0.02486115680044383</x:v>
      </x:c>
      <x:c r="L8" s="27" t="n">
        <x:f>K8*7850</x:f>
        <x:v>195.16008088348408</x:v>
      </x:c>
      <x:c r="M8" s="21" t="str">
        <x:v>TT10_M161_CH01.dxf</x:v>
      </x:c>
    </x:row>
    <x:row r="9" ht="30" customHeight="1">
      <x:c r="A9" s="21" t="str">
        <x:v>TT10_M161</x:v>
      </x:c>
      <x:c r="B9" s="21" t="str">
        <x:v>TT10_M161_CH02</x:v>
      </x:c>
      <x:c r="C9" s="21" t="n">
        <x:v>1</x:v>
      </x:c>
      <x:c r="D9" s="21" t="n">
        <x:v>2</x:v>
      </x:c>
      <x:c r="E9" s="21" t="n">
        <x:f>C9*D9</x:f>
        <x:v>2</x:v>
      </x:c>
      <x:c r="F9" s="21" t="str">
        <x:v>Strenx700E t30; Rp0.2min700MPa</x:v>
      </x:c>
      <x:c r="G9" s="21" t="n">
        <x:v>140</x:v>
      </x:c>
      <x:c r="H9" s="21" t="n">
        <x:v>1116</x:v>
      </x:c>
      <x:c r="I9" s="21" t="n">
        <x:v>30</x:v>
      </x:c>
      <x:c r="J9" s="28" t="n">
        <x:v>0.15624</x:v>
      </x:c>
      <x:c r="K9" s="28" t="n">
        <x:f>E9*I9/1000*J9</x:f>
        <x:v>0.0093744</x:v>
      </x:c>
      <x:c r="L9" s="27" t="n">
        <x:f>K9*7850</x:f>
        <x:v>73.58904</x:v>
      </x:c>
      <x:c r="M9" s="21" t="str">
        <x:v>TT10_M161_CH02.dxf</x:v>
      </x:c>
    </x:row>
    <x:row r="10" ht="30" customHeight="1">
      <x:c r="A10" s="21" t="str">
        <x:v>TT10_M161</x:v>
      </x:c>
      <x:c r="B10" s="21" t="str">
        <x:v>TT10_M161_CH03</x:v>
      </x:c>
      <x:c r="C10" s="21" t="n">
        <x:v>1</x:v>
      </x:c>
      <x:c r="D10" s="21" t="n">
        <x:v>2</x:v>
      </x:c>
      <x:c r="E10" s="21" t="n">
        <x:f>C10*D10</x:f>
        <x:v>2</x:v>
      </x:c>
      <x:c r="F10" s="21" t="str">
        <x:v>Strenx700E t30; Rp0.2min700MPa</x:v>
      </x:c>
      <x:c r="G10" s="21" t="n">
        <x:v>340</x:v>
      </x:c>
      <x:c r="H10" s="21" t="n">
        <x:v>140</x:v>
      </x:c>
      <x:c r="I10" s="21" t="n">
        <x:v>30</x:v>
      </x:c>
      <x:c r="J10" s="28" t="n">
        <x:v>0.0476</x:v>
      </x:c>
      <x:c r="K10" s="28" t="n">
        <x:f>E10*I10/1000*J10</x:f>
        <x:v>0.002856</x:v>
      </x:c>
      <x:c r="L10" s="27" t="n">
        <x:f>K10*7850</x:f>
        <x:v>22.4196</x:v>
      </x:c>
      <x:c r="M10" s="21" t="str">
        <x:v>TT10_M161_CH03.dxf</x:v>
      </x:c>
    </x:row>
    <x:row r="11" ht="30" customHeight="1">
      <x:c r="A11" s="21" t="str">
        <x:v>TT10_M311</x:v>
      </x:c>
      <x:c r="B11" s="21" t="str">
        <x:v>TT10_M311_CH01</x:v>
      </x:c>
      <x:c r="C11" s="21" t="n">
        <x:v>1</x:v>
      </x:c>
      <x:c r="D11" s="21" t="n">
        <x:v>2</x:v>
      </x:c>
      <x:c r="E11" s="21" t="n">
        <x:f>C11*D11</x:f>
        <x:v>2</x:v>
      </x:c>
      <x:c r="F11" s="21" t="str">
        <x:v>Strenx700E t30; Rp0.2min700MPa</x:v>
      </x:c>
      <x:c r="G11" s="21" t="n">
        <x:v>400</x:v>
      </x:c>
      <x:c r="H11" s="21" t="n">
        <x:v>1116</x:v>
      </x:c>
      <x:c r="I11" s="21" t="n">
        <x:v>30</x:v>
      </x:c>
      <x:c r="J11" s="28" t="n">
        <x:v>0.41435261334073054</x:v>
      </x:c>
      <x:c r="K11" s="28" t="n">
        <x:f>E11*I11/1000*J11</x:f>
        <x:v>0.02486115680044383</x:v>
      </x:c>
      <x:c r="L11" s="27" t="n">
        <x:f>K11*7850</x:f>
        <x:v>195.16008088348408</x:v>
      </x:c>
      <x:c r="M11" s="21" t="str">
        <x:v>TT10_M311_CH01.dxf</x:v>
      </x:c>
    </x:row>
    <x:row r="12" ht="30" customHeight="1">
      <x:c r="A12" s="21" t="str">
        <x:v>TT10_M311</x:v>
      </x:c>
      <x:c r="B12" s="21" t="str">
        <x:v>TT10_M311_CH02</x:v>
      </x:c>
      <x:c r="C12" s="21" t="n">
        <x:v>1</x:v>
      </x:c>
      <x:c r="D12" s="21" t="n">
        <x:v>2</x:v>
      </x:c>
      <x:c r="E12" s="21" t="n">
        <x:f>C12*D12</x:f>
        <x:v>2</x:v>
      </x:c>
      <x:c r="F12" s="21" t="str">
        <x:v>Strenx700E t30; Rp0.2min700MPa</x:v>
      </x:c>
      <x:c r="G12" s="21" t="n">
        <x:v>140</x:v>
      </x:c>
      <x:c r="H12" s="21" t="n">
        <x:v>1116</x:v>
      </x:c>
      <x:c r="I12" s="21" t="n">
        <x:v>30</x:v>
      </x:c>
      <x:c r="J12" s="28" t="n">
        <x:v>0.15624</x:v>
      </x:c>
      <x:c r="K12" s="28" t="n">
        <x:f>E12*I12/1000*J12</x:f>
        <x:v>0.0093744</x:v>
      </x:c>
      <x:c r="L12" s="27" t="n">
        <x:f>K12*7850</x:f>
        <x:v>73.58904</x:v>
      </x:c>
      <x:c r="M12" s="21" t="str">
        <x:v>TT10_M311_CH02.dxf</x:v>
      </x:c>
    </x:row>
    <x:row r="13" ht="30" customHeight="1">
      <x:c r="A13" s="21" t="str">
        <x:v>TT10_M311</x:v>
      </x:c>
      <x:c r="B13" s="21" t="str">
        <x:v>TT10_M311_CH03</x:v>
      </x:c>
      <x:c r="C13" s="21" t="n">
        <x:v>1</x:v>
      </x:c>
      <x:c r="D13" s="21" t="n">
        <x:v>2</x:v>
      </x:c>
      <x:c r="E13" s="21" t="n">
        <x:f>C13*D13</x:f>
        <x:v>2</x:v>
      </x:c>
      <x:c r="F13" s="21" t="str">
        <x:v>Strenx700E t30; Rp0.2min700MPa</x:v>
      </x:c>
      <x:c r="G13" s="21" t="n">
        <x:v>340</x:v>
      </x:c>
      <x:c r="H13" s="21" t="n">
        <x:v>140</x:v>
      </x:c>
      <x:c r="I13" s="21" t="n">
        <x:v>30</x:v>
      </x:c>
      <x:c r="J13" s="28" t="n">
        <x:v>0.0476</x:v>
      </x:c>
      <x:c r="K13" s="28" t="n">
        <x:f>E13*I13/1000*J13</x:f>
        <x:v>0.002856</x:v>
      </x:c>
      <x:c r="L13" s="27" t="n">
        <x:f>K13*7850</x:f>
        <x:v>22.4196</x:v>
      </x:c>
      <x:c r="M13" s="21" t="str">
        <x:v>TT10_M311_CH03.dxf</x:v>
      </x:c>
    </x:row>
    <x:row r="14" ht="30" customHeight="1">
      <x:c r="A14" s="21" t="str">
        <x:v>TT10_M201</x:v>
      </x:c>
      <x:c r="B14" s="21" t="str">
        <x:v>TT10_M201_CH01</x:v>
      </x:c>
      <x:c r="C14" s="21" t="n">
        <x:v>1</x:v>
      </x:c>
      <x:c r="D14" s="21" t="n">
        <x:v>2</x:v>
      </x:c>
      <x:c r="E14" s="21" t="n">
        <x:f>C14*D14</x:f>
        <x:v>2</x:v>
      </x:c>
      <x:c r="F14" s="21" t="str">
        <x:v>Strenx700E t40; Rp0.2min700MPa</x:v>
      </x:c>
      <x:c r="G14" s="21" t="n">
        <x:v>1200</x:v>
      </x:c>
      <x:c r="H14" s="21" t="n">
        <x:v>200</x:v>
      </x:c>
      <x:c r="I14" s="21" t="n">
        <x:v>40</x:v>
      </x:c>
      <x:c r="J14" s="28" t="n">
        <x:v>0.24</x:v>
      </x:c>
      <x:c r="K14" s="28" t="n">
        <x:f>E14*I14/1000*J14</x:f>
        <x:v>0.0192</x:v>
      </x:c>
      <x:c r="L14" s="27" t="n">
        <x:f>K14*7850</x:f>
        <x:v>150.72</x:v>
      </x:c>
      <x:c r="M14" s="21" t="str">
        <x:v>TT10_M201_CH01.dxf</x:v>
      </x:c>
    </x:row>
    <x:row r="15" ht="30" customHeight="1">
      <x:c r="A15" s="21" t="str">
        <x:v>TT10_M201</x:v>
      </x:c>
      <x:c r="B15" s="21" t="str">
        <x:v>TT10_M201_CH02</x:v>
      </x:c>
      <x:c r="C15" s="21" t="n">
        <x:v>1</x:v>
      </x:c>
      <x:c r="D15" s="21" t="n">
        <x:v>2</x:v>
      </x:c>
      <x:c r="E15" s="21" t="n">
        <x:f>C15*D15</x:f>
        <x:v>2</x:v>
      </x:c>
      <x:c r="F15" s="21" t="str">
        <x:v>Strenx700E t40; Rp0.2min700MPa</x:v>
      </x:c>
      <x:c r="G15" s="21" t="n">
        <x:v>1200</x:v>
      </x:c>
      <x:c r="H15" s="21" t="n">
        <x:v>120</x:v>
      </x:c>
      <x:c r="I15" s="21" t="n">
        <x:v>40</x:v>
      </x:c>
      <x:c r="J15" s="28" t="n">
        <x:v>0.144</x:v>
      </x:c>
      <x:c r="K15" s="28" t="n">
        <x:f>E15*I15/1000*J15</x:f>
        <x:v>0.011519999999999999</x:v>
      </x:c>
      <x:c r="L15" s="27" t="n">
        <x:f>K15*7850</x:f>
        <x:v>90.43199999999999</x:v>
      </x:c>
      <x:c r="M15" s="21" t="str">
        <x:v>TT10_M201_CH02.dxf</x:v>
      </x:c>
    </x:row>
    <x:row r="16" ht="30" customHeight="1">
      <x:c r="A16" s="21" t="str">
        <x:v>TT10_M201</x:v>
      </x:c>
      <x:c r="B16" s="21" t="str">
        <x:v>TT10_M201_CH03</x:v>
      </x:c>
      <x:c r="C16" s="21" t="n">
        <x:v>1</x:v>
      </x:c>
      <x:c r="D16" s="21" t="n">
        <x:v>2</x:v>
      </x:c>
      <x:c r="E16" s="21" t="n">
        <x:f>C16*D16</x:f>
        <x:v>2</x:v>
      </x:c>
      <x:c r="F16" s="21" t="str">
        <x:v>Strenx700E t40; Rp0.2min700MPa</x:v>
      </x:c>
      <x:c r="G16" s="21" t="n">
        <x:v>120</x:v>
      </x:c>
      <x:c r="H16" s="21" t="n">
        <x:v>120</x:v>
      </x:c>
      <x:c r="I16" s="21" t="n">
        <x:v>40</x:v>
      </x:c>
      <x:c r="J16" s="28" t="n">
        <x:v>0.0144</x:v>
      </x:c>
      <x:c r="K16" s="28" t="n">
        <x:f>E16*I16/1000*J16</x:f>
        <x:v>0.001152</x:v>
      </x:c>
      <x:c r="L16" s="27" t="n">
        <x:f>K16*7850</x:f>
        <x:v>9.0432</x:v>
      </x:c>
      <x:c r="M16" s="21" t="str">
        <x:v>TT10_M201_CH03.dxf</x:v>
      </x:c>
    </x:row>
    <x:row r="17" ht="30" customHeight="1">
      <x:c r="A17" s="21" t="str">
        <x:v>TT10_M131</x:v>
      </x:c>
      <x:c r="B17" s="21" t="str">
        <x:v>TT10_M131_CH01</x:v>
      </x:c>
      <x:c r="C17" s="21" t="n">
        <x:v>1</x:v>
      </x:c>
      <x:c r="D17" s="21" t="n">
        <x:v>2</x:v>
      </x:c>
      <x:c r="E17" s="21" t="n">
        <x:f>C17*D17</x:f>
        <x:v>2</x:v>
      </x:c>
      <x:c r="F17" s="21" t="str">
        <x:v>Strenx700E t40; Rp0.2min700MPa</x:v>
      </x:c>
      <x:c r="G17" s="21" t="n">
        <x:v>1200</x:v>
      </x:c>
      <x:c r="H17" s="21" t="n">
        <x:v>200</x:v>
      </x:c>
      <x:c r="I17" s="21" t="n">
        <x:v>40</x:v>
      </x:c>
      <x:c r="J17" s="28" t="n">
        <x:v>0.24</x:v>
      </x:c>
      <x:c r="K17" s="28" t="n">
        <x:f>E17*I17/1000*J17</x:f>
        <x:v>0.0192</x:v>
      </x:c>
      <x:c r="L17" s="27" t="n">
        <x:f>K17*7850</x:f>
        <x:v>150.72</x:v>
      </x:c>
      <x:c r="M17" s="21" t="str">
        <x:v>TT10_M131_CH01.dxf</x:v>
      </x:c>
    </x:row>
    <x:row r="18" ht="30" customHeight="1">
      <x:c r="A18" s="21" t="str">
        <x:v>TT10_M131</x:v>
      </x:c>
      <x:c r="B18" s="21" t="str">
        <x:v>TT10_M131_CH02</x:v>
      </x:c>
      <x:c r="C18" s="21" t="n">
        <x:v>1</x:v>
      </x:c>
      <x:c r="D18" s="21" t="n">
        <x:v>2</x:v>
      </x:c>
      <x:c r="E18" s="21" t="n">
        <x:f>C18*D18</x:f>
        <x:v>2</x:v>
      </x:c>
      <x:c r="F18" s="21" t="str">
        <x:v>Strenx700E t40; Rp0.2min700MPa</x:v>
      </x:c>
      <x:c r="G18" s="21" t="n">
        <x:v>1200</x:v>
      </x:c>
      <x:c r="H18" s="21" t="n">
        <x:v>120</x:v>
      </x:c>
      <x:c r="I18" s="21" t="n">
        <x:v>40</x:v>
      </x:c>
      <x:c r="J18" s="28" t="n">
        <x:v>0.144</x:v>
      </x:c>
      <x:c r="K18" s="28" t="n">
        <x:f>E18*I18/1000*J18</x:f>
        <x:v>0.011519999999999999</x:v>
      </x:c>
      <x:c r="L18" s="27" t="n">
        <x:f>K18*7850</x:f>
        <x:v>90.43199999999999</x:v>
      </x:c>
      <x:c r="M18" s="21" t="str">
        <x:v>TT10_M131_CH02.dxf</x:v>
      </x:c>
    </x:row>
    <x:row r="19" ht="30" customHeight="1">
      <x:c r="A19" s="21" t="str">
        <x:v>TT10_M131</x:v>
      </x:c>
      <x:c r="B19" s="21" t="str">
        <x:v>TT10_M131_CH03</x:v>
      </x:c>
      <x:c r="C19" s="21" t="n">
        <x:v>1</x:v>
      </x:c>
      <x:c r="D19" s="21" t="n">
        <x:v>2</x:v>
      </x:c>
      <x:c r="E19" s="21" t="n">
        <x:f>C19*D19</x:f>
        <x:v>2</x:v>
      </x:c>
      <x:c r="F19" s="21" t="str">
        <x:v>Strenx700E t40; Rp0.2min700MPa</x:v>
      </x:c>
      <x:c r="G19" s="21" t="n">
        <x:v>120</x:v>
      </x:c>
      <x:c r="H19" s="21" t="n">
        <x:v>120</x:v>
      </x:c>
      <x:c r="I19" s="21" t="n">
        <x:v>40</x:v>
      </x:c>
      <x:c r="J19" s="28" t="n">
        <x:v>0.0144</x:v>
      </x:c>
      <x:c r="K19" s="28" t="n">
        <x:f>E19*I19/1000*J19</x:f>
        <x:v>0.001152</x:v>
      </x:c>
      <x:c r="L19" s="27" t="n">
        <x:f>K19*7850</x:f>
        <x:v>9.0432</x:v>
      </x:c>
      <x:c r="M19" s="21" t="str">
        <x:v>TT10_M131_CH03.dxf</x:v>
      </x:c>
    </x:row>
    <x:row r="20" ht="30" customHeight="1">
      <x:c r="A20" s="21" t="str">
        <x:v>TT10_F506</x:v>
      </x:c>
      <x:c r="B20" s="21" t="str">
        <x:v>TT10_F506_CH01</x:v>
      </x:c>
      <x:c r="C20" s="21" t="n">
        <x:v>1</x:v>
      </x:c>
      <x:c r="D20" s="21" t="n">
        <x:v>2</x:v>
      </x:c>
      <x:c r="E20" s="21" t="n">
        <x:f>C20*D20</x:f>
        <x:v>2</x:v>
      </x:c>
      <x:c r="F20" s="21" t="str">
        <x:v>Strenx700E t20; Rp0.2min700MPa</x:v>
      </x:c>
      <x:c r="G20" s="21" t="n">
        <x:v>300</x:v>
      </x:c>
      <x:c r="H20" s="21" t="n">
        <x:v>2395</x:v>
      </x:c>
      <x:c r="I20" s="21" t="n">
        <x:v>20</x:v>
      </x:c>
      <x:c r="J20" s="28" t="n">
        <x:v>0.7185</x:v>
      </x:c>
      <x:c r="K20" s="28" t="n">
        <x:f>E20*I20/1000*J20</x:f>
        <x:v>0.02874</x:v>
      </x:c>
      <x:c r="L20" s="27" t="n">
        <x:f>K20*7850</x:f>
        <x:v>225.609</x:v>
      </x:c>
      <x:c r="M20" s="21" t="str">
        <x:v>TT10_F506_CH01.dxf</x:v>
      </x:c>
    </x:row>
    <x:row r="21" ht="30" customHeight="1">
      <x:c r="A21" s="21" t="str">
        <x:v>TT10_F506</x:v>
      </x:c>
      <x:c r="B21" s="21" t="str">
        <x:v>TT10_F506_CH02</x:v>
      </x:c>
      <x:c r="C21" s="21" t="n">
        <x:v>1</x:v>
      </x:c>
      <x:c r="D21" s="21" t="n">
        <x:v>2</x:v>
      </x:c>
      <x:c r="E21" s="21" t="n">
        <x:f>C21*D21</x:f>
        <x:v>2</x:v>
      </x:c>
      <x:c r="F21" s="21" t="str">
        <x:v>Strenx700E t20; Rp0.2min700MPa</x:v>
      </x:c>
      <x:c r="G21" s="21" t="n">
        <x:v>160</x:v>
      </x:c>
      <x:c r="H21" s="21" t="n">
        <x:v>2395</x:v>
      </x:c>
      <x:c r="I21" s="21" t="n">
        <x:v>20</x:v>
      </x:c>
      <x:c r="J21" s="28" t="n">
        <x:v>0.3832</x:v>
      </x:c>
      <x:c r="K21" s="28" t="n">
        <x:f>E21*I21/1000*J21</x:f>
        <x:v>0.015328</x:v>
      </x:c>
      <x:c r="L21" s="27" t="n">
        <x:f>K21*7850</x:f>
        <x:v>120.3248</x:v>
      </x:c>
      <x:c r="M21" s="21" t="str">
        <x:v>TT10_F506_CH02.dxf</x:v>
      </x:c>
    </x:row>
    <x:row r="22" ht="30" customHeight="1">
      <x:c r="A22" s="21" t="str">
        <x:v>TT10_F506</x:v>
      </x:c>
      <x:c r="B22" s="21" t="str">
        <x:v>TT10_F506_CH03</x:v>
      </x:c>
      <x:c r="C22" s="21" t="n">
        <x:v>1</x:v>
      </x:c>
      <x:c r="D22" s="21" t="n">
        <x:v>2</x:v>
      </x:c>
      <x:c r="E22" s="21" t="n">
        <x:f>C22*D22</x:f>
        <x:v>2</x:v>
      </x:c>
      <x:c r="F22" s="21" t="str">
        <x:v>Strenx700E t20; Rp0.2min700MPa</x:v>
      </x:c>
      <x:c r="G22" s="21" t="n">
        <x:v>260</x:v>
      </x:c>
      <x:c r="H22" s="21" t="n">
        <x:v>160</x:v>
      </x:c>
      <x:c r="I22" s="21" t="n">
        <x:v>20</x:v>
      </x:c>
      <x:c r="J22" s="28" t="n">
        <x:v>0.0416</x:v>
      </x:c>
      <x:c r="K22" s="28" t="n">
        <x:f>E22*I22/1000*J22</x:f>
        <x:v>0.001664</x:v>
      </x:c>
      <x:c r="L22" s="27" t="n">
        <x:f>K22*7850</x:f>
        <x:v>13.062399999999998</x:v>
      </x:c>
      <x:c r="M22" s="21" t="str">
        <x:v>TT10_F506_CH03.dxf</x:v>
      </x:c>
    </x:row>
    <x:row r="23" ht="30" customHeight="1">
      <x:c r="A23" s="21" t="str">
        <x:v>TT10_F611</x:v>
      </x:c>
      <x:c r="B23" s="21" t="str">
        <x:v>TT10_F611_CH01</x:v>
      </x:c>
      <x:c r="C23" s="21" t="n">
        <x:v>1</x:v>
      </x:c>
      <x:c r="D23" s="21" t="n">
        <x:v>2</x:v>
      </x:c>
      <x:c r="E23" s="21" t="n">
        <x:f>C23*D23</x:f>
        <x:v>2</x:v>
      </x:c>
      <x:c r="F23" s="21" t="str">
        <x:v>Strenx700E t20; Rp0.2min700MPa</x:v>
      </x:c>
      <x:c r="G23" s="21" t="n">
        <x:v>300</x:v>
      </x:c>
      <x:c r="H23" s="21" t="n">
        <x:v>2395</x:v>
      </x:c>
      <x:c r="I23" s="21" t="n">
        <x:v>20</x:v>
      </x:c>
      <x:c r="J23" s="28" t="n">
        <x:v>0.7185</x:v>
      </x:c>
      <x:c r="K23" s="28" t="n">
        <x:f>E23*I23/1000*J23</x:f>
        <x:v>0.02874</x:v>
      </x:c>
      <x:c r="L23" s="27" t="n">
        <x:f>K23*7850</x:f>
        <x:v>225.609</x:v>
      </x:c>
      <x:c r="M23" s="21" t="str">
        <x:v>TT10_F611_CH01.dxf</x:v>
      </x:c>
    </x:row>
    <x:row r="24" ht="30" customHeight="1">
      <x:c r="A24" s="21" t="str">
        <x:v>TT10_F611</x:v>
      </x:c>
      <x:c r="B24" s="21" t="str">
        <x:v>TT10_F611_CH02</x:v>
      </x:c>
      <x:c r="C24" s="21" t="n">
        <x:v>1</x:v>
      </x:c>
      <x:c r="D24" s="21" t="n">
        <x:v>2</x:v>
      </x:c>
      <x:c r="E24" s="21" t="n">
        <x:f>C24*D24</x:f>
        <x:v>2</x:v>
      </x:c>
      <x:c r="F24" s="21" t="str">
        <x:v>Strenx700E t20; Rp0.2min700MPa</x:v>
      </x:c>
      <x:c r="G24" s="21" t="n">
        <x:v>160</x:v>
      </x:c>
      <x:c r="H24" s="21" t="n">
        <x:v>2395</x:v>
      </x:c>
      <x:c r="I24" s="21" t="n">
        <x:v>20</x:v>
      </x:c>
      <x:c r="J24" s="28" t="n">
        <x:v>0.3832</x:v>
      </x:c>
      <x:c r="K24" s="28" t="n">
        <x:f>E24*I24/1000*J24</x:f>
        <x:v>0.015328</x:v>
      </x:c>
      <x:c r="L24" s="27" t="n">
        <x:f>K24*7850</x:f>
        <x:v>120.3248</x:v>
      </x:c>
      <x:c r="M24" s="21" t="str">
        <x:v>TT10_F611_CH02.dxf</x:v>
      </x:c>
    </x:row>
    <x:row r="25" ht="30" customHeight="1">
      <x:c r="A25" s="21" t="str">
        <x:v>TT10_F611</x:v>
      </x:c>
      <x:c r="B25" s="21" t="str">
        <x:v>TT10_F611_CH03</x:v>
      </x:c>
      <x:c r="C25" s="21" t="n">
        <x:v>1</x:v>
      </x:c>
      <x:c r="D25" s="21" t="n">
        <x:v>2</x:v>
      </x:c>
      <x:c r="E25" s="21" t="n">
        <x:f>C25*D25</x:f>
        <x:v>2</x:v>
      </x:c>
      <x:c r="F25" s="21" t="str">
        <x:v>Strenx700E t20; Rp0.2min700MPa</x:v>
      </x:c>
      <x:c r="G25" s="21" t="n">
        <x:v>260</x:v>
      </x:c>
      <x:c r="H25" s="21" t="n">
        <x:v>160</x:v>
      </x:c>
      <x:c r="I25" s="21" t="n">
        <x:v>20</x:v>
      </x:c>
      <x:c r="J25" s="28" t="n">
        <x:v>0.0416</x:v>
      </x:c>
      <x:c r="K25" s="28" t="n">
        <x:f>E25*I25/1000*J25</x:f>
        <x:v>0.001664</x:v>
      </x:c>
      <x:c r="L25" s="27" t="n">
        <x:f>K25*7850</x:f>
        <x:v>13.062399999999998</x:v>
      </x:c>
      <x:c r="M25" s="21" t="str">
        <x:v>TT10_F611_CH03.dxf</x:v>
      </x:c>
    </x:row>
  </x:sheetData>
  <x:pageMargins left="0.7" right="0.7" top="0.75" bottom="0.75" header="0.3" footer="0.3"/>
</x:worksheet>
</file>