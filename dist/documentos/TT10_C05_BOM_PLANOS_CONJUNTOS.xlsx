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1c8c90f15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05d01bae78ba4352"/>
    <x:sheet xmlns:r="http://schemas.openxmlformats.org/officeDocument/2006/relationships" name="Cambios" sheetId="2" r:id="Rcfa9c756400c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.000"/>
    <x:numFmt numFmtId="202" formatCode="#,##0.00"/>
  </x:numFmts>
  <x:fonts count="5">
    <x:font>
      <x:sz val="11"/>
      <x:name val="Carlito"/>
    </x:font>
    <x:font>
      <x:sz val="10"/>
      <x:name val="Arial"/>
    </x:font>
    <x:font>
      <x:b/>
      <x:sz val="15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94F"/>
      </x:patternFill>
    </x:fill>
    <x:fill>
      <x:patternFill patternType="solid">
        <x:fgColor rgb="FF17394F"/>
      </x:patternFill>
    </x:fill>
    <x:fill>
      <x:patternFill patternType="solid">
        <x:fgColor rgb="FF17394F"/>
      </x:patternFill>
    </x:fill>
    <x:fill>
      <x:patternFill patternType="solid">
        <x:fgColor rgb="FF17394F"/>
      </x:patternFill>
    </x:fill>
    <x:fill>
      <x:patternFill patternType="solid">
        <x:fgColor rgb="FF1739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1b55c3d4f4e65" /><Relationship Type="http://schemas.openxmlformats.org/officeDocument/2006/relationships/theme" Target="/xl/theme/theme1.xml" Id="Rf765df036de04d64" /><Relationship Type="http://schemas.openxmlformats.org/officeDocument/2006/relationships/sharedStrings" Target="/xl/sharedStrings.xml" Id="R24465634848a488b" /><Relationship Type="http://schemas.openxmlformats.org/officeDocument/2006/relationships/worksheet" Target="/xl/worksheets/sheet1.xml" Id="R05d01bae78ba4352" /><Relationship Type="http://schemas.openxmlformats.org/officeDocument/2006/relationships/worksheet" Target="/xl/worksheets/sheet2.xml" Id="Rcfa9c756400c41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6" hidden="0" customWidth="1"/>
    <x:col min="3" max="3" width="34" hidden="0" customWidth="1"/>
    <x:col min="4" max="4" width="72" hidden="0" customWidth="1"/>
    <x:col min="5" max="5" width="7" hidden="0" customWidth="1"/>
    <x:col min="6" max="6" width="45" hidden="0" customWidth="1"/>
    <x:col min="7" max="7" width="20" hidden="0" customWidth="1"/>
    <x:col min="8" max="8" width="15" hidden="0" customWidth="1"/>
    <x:col min="9" max="9" width="16" hidden="0" customWidth="1"/>
    <x:col min="10" max="10" width="18" hidden="0" customWidth="1"/>
    <x:col min="11" max="11" width="18" hidden="0" customWidth="1"/>
    <x:col min="12" max="12" width="45" hidden="0" customWidth="1"/>
    <x:col min="13" max="13" width="50" hidden="0" customWidth="1"/>
    <x:col min="14" max="14" width="46" hidden="0" customWidth="1"/>
  </x:cols>
  <x:sheetData>
    <x:row r="2">
      <x:c r="B2" s="2" t="str">
        <x:v>SESUVECA · Tolva 10 t · BOM C05 corregida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B3" s="1" t="str">
        <x:v>16/10/2026. 500 códigos / 1004 instancias. 26 planos por conjuntos; 276 fabricados y 224 comprados.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B4" s="1" t="str">
        <x:v>Códigos</x:v>
      </x:c>
      <x:c r="C4" s="8" t="n">
        <x:f>COUNTA(C7:C506)</x:f>
        <x:v>500</x:v>
      </x:c>
      <x:c r="D4" s="1" t="str">
        <x:v>Instancias</x:v>
      </x:c>
      <x:c r="E4" s="8" t="n">
        <x:f>SUM(E7:E506)</x:f>
        <x:v>1004</x:v>
      </x:c>
      <x:c r="F4" s="1"/>
      <x:c r="G4" s="1"/>
      <x:c r="H4" s="1"/>
      <x:c r="I4" s="1"/>
      <x:c r="J4" s="1" t="str">
        <x:v>Masa conocida kg</x:v>
      </x:c>
      <x:c r="K4" s="11" t="n">
        <x:f>SUM(K7:K506)</x:f>
        <x:v>16849.056000800694</x:v>
      </x:c>
      <x:c r="L4" s="1" t="str">
        <x:v>Masas sin acreditar</x:v>
      </x:c>
      <x:c r="M4" s="1" t="n">
        <x:f>COUNTIFS(J7:J506,"n/d")</x:f>
        <x:v>80</x:v>
      </x:c>
      <x:c r="N4" s="1"/>
    </x:row>
    <x:row r="5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0" customHeight="1">
      <x:c r="B6" s="18" t="str">
        <x:v>Pos.</x:v>
      </x:c>
      <x:c r="C6" s="18" t="str">
        <x:v>Código</x:v>
      </x:c>
      <x:c r="D6" s="18" t="str">
        <x:v>Descripción</x:v>
      </x:c>
      <x:c r="E6" s="18" t="str">
        <x:v>Cant.</x:v>
      </x:c>
      <x:c r="F6" s="18" t="str">
        <x:v>Material / especificación</x:v>
      </x:c>
      <x:c r="G6" s="18" t="str">
        <x:v>Tipo</x:v>
      </x:c>
      <x:c r="H6" s="18" t="str">
        <x:v>Volumen m³</x:v>
      </x:c>
      <x:c r="I6" s="18" t="str">
        <x:v>Densidad kg/m³</x:v>
      </x:c>
      <x:c r="J6" s="18" t="str">
        <x:v>Masa unitaria kg</x:v>
      </x:c>
      <x:c r="K6" s="18" t="str">
        <x:v>Masa conocida kg</x:v>
      </x:c>
      <x:c r="L6" s="18" t="str">
        <x:v>Referencia / método</x:v>
      </x:c>
      <x:c r="M6" s="18" t="str">
        <x:v>Estado de plano</x:v>
      </x:c>
      <x:c r="N6" s="18" t="str">
        <x:v>Archivo CAD</x:v>
      </x:c>
    </x:row>
    <x:row r="7" ht="34" customHeight="1">
      <x:c r="B7" s="7" t="n">
        <x:v>1</x:v>
      </x:c>
      <x:c r="C7" s="7" t="str">
        <x:v>TT10_22240_N</x:v>
      </x:c>
      <x:c r="D7" s="7" t="str">
        <x:v>SKF22240CC/W33 200x360x98; envolvente sin rodillos</x:v>
      </x:c>
      <x:c r="E7" s="7" t="n">
        <x:v>1</x:v>
      </x:c>
      <x:c r="F7" s="7" t="str">
        <x:v>Conjunto comprado; acero/ fundición según OEM</x:v>
      </x:c>
      <x:c r="G7" s="7" t="str">
        <x:v>Comercial</x:v>
      </x:c>
      <x:c r="H7" s="9" t="n">
        <x:v>0.006892070815467962</x:v>
      </x:c>
      <x:c r="I7" s="7"/>
      <x:c r="J7" s="14" t="n">
        <x:v>43.5</x:v>
      </x:c>
      <x:c r="K7" s="14" t="n">
        <x:f>IF(ISNUMBER(J7),E7*J7,"n/d")</x:f>
        <x:v>43.5</x:v>
      </x:c>
      <x:c r="L7" s="7" t="str">
        <x:v>22240 CC/W33</x:v>
      </x:c>
      <x:c r="M7" s="7" t="str">
        <x:v>BOM y montaje TT10_C05_PC_01; sin plano individual</x:v>
      </x:c>
      <x:c r="N7" s="7" t="str">
        <x:v>C05E_TT10_22240_N.SLDPRT</x:v>
      </x:c>
    </x:row>
    <x:row r="8" ht="34" customHeight="1">
      <x:c r="B8" s="7" t="n">
        <x:v>2</x:v>
      </x:c>
      <x:c r="C8" s="7" t="str">
        <x:v>TT10_22240_P</x:v>
      </x:c>
      <x:c r="D8" s="7" t="str">
        <x:v>SKF22240CC/W33 200x360x98; envolvente sin rodillos</x:v>
      </x:c>
      <x:c r="E8" s="7" t="n">
        <x:v>1</x:v>
      </x:c>
      <x:c r="F8" s="7" t="str">
        <x:v>Conjunto comprado; acero/ fundición según OEM</x:v>
      </x:c>
      <x:c r="G8" s="7" t="str">
        <x:v>Comercial</x:v>
      </x:c>
      <x:c r="H8" s="9" t="n">
        <x:v>0.006892070815467994</x:v>
      </x:c>
      <x:c r="I8" s="7"/>
      <x:c r="J8" s="14" t="n">
        <x:v>43.5</x:v>
      </x:c>
      <x:c r="K8" s="14" t="n">
        <x:f>IF(ISNUMBER(J8),E8*J8,"n/d")</x:f>
        <x:v>43.5</x:v>
      </x:c>
      <x:c r="L8" s="7" t="str">
        <x:v>22240 CC/W33</x:v>
      </x:c>
      <x:c r="M8" s="7" t="str">
        <x:v>BOM y montaje TT10_C05_PC_01; sin plano individual</x:v>
      </x:c>
      <x:c r="N8" s="7" t="str">
        <x:v>C05E_TT10_22240_P.SLDPRT</x:v>
      </x:c>
    </x:row>
    <x:row r="9" ht="34" customHeight="1">
      <x:c r="B9" s="7" t="n">
        <x:v>3</x:v>
      </x:c>
      <x:c r="C9" s="7" t="str">
        <x:v>TT10_BAP_P0</x:v>
      </x:c>
      <x:c r="D9" s="7" t="str">
        <x:v>Perno ISO4014 M30x140 clase8.8; rosca nominal</x:v>
      </x:c>
      <x:c r="E9" s="7" t="n">
        <x:v>32</x:v>
      </x:c>
      <x:c r="F9" s="7" t="str">
        <x:v>Clase 8.8 / ISO 898-1</x:v>
      </x:c>
      <x:c r="G9" s="7" t="str">
        <x:v>Comercial</x:v>
      </x:c>
      <x:c r="H9" s="9" t="n">
        <x:v>0.00013322810099550573</x:v>
      </x:c>
      <x:c r="I9" s="7" t="n">
        <x:v>7850</x:v>
      </x:c>
      <x:c r="J9" s="14" t="n">
        <x:f>H9*I9</x:f>
        <x:v>1.04584059281472</x:v>
      </x:c>
      <x:c r="K9" s="14" t="n">
        <x:f>IF(ISNUMBER(J9),E9*J9,"n/d")</x:f>
        <x:v>33.46689897007104</x:v>
      </x:c>
      <x:c r="L9" s="7" t="str">
        <x:v>CAD_volume_x_specified_density</x:v>
      </x:c>
      <x:c r="M9" s="7" t="str">
        <x:v>BOM y montaje TT10_C05_PC_01; sin plano individual</x:v>
      </x:c>
      <x:c r="N9" s="7" t="str">
        <x:v>C05E_TT10_BAP_P0.SLDPRT</x:v>
      </x:c>
    </x:row>
    <x:row r="10" ht="34" customHeight="1">
      <x:c r="B10" s="7" t="n">
        <x:v>4</x:v>
      </x:c>
      <x:c r="C10" s="7" t="str">
        <x:v>TT10_BUJE_PIN_N</x:v>
      </x:c>
      <x:c r="D10" s="7" t="str">
        <x:v>Casquillo CuSn12 Ø69 s6 / Ø65.5 H9 final, L85, C0.5 interiores</x:v>
      </x:c>
      <x:c r="E10" s="7" t="n">
        <x:v>1</x:v>
      </x:c>
      <x:c r="F10" s="7" t="str">
        <x:v>CuSn12 / EN 1982</x:v>
      </x:c>
      <x:c r="G10" s="7" t="str">
        <x:v>Fabricación</x:v>
      </x:c>
      <x:c r="H10" s="9" t="n">
        <x:v>0.00003137502038155356</x:v>
      </x:c>
      <x:c r="I10" s="7" t="n">
        <x:v>8800</x:v>
      </x:c>
      <x:c r="J10" s="14" t="n">
        <x:f>H10*I10</x:f>
        <x:v>0.27610017935767134</x:v>
      </x:c>
      <x:c r="K10" s="14" t="n">
        <x:f>IF(ISNUMBER(J10),E10*J10,"n/d")</x:f>
        <x:v>0.27610017935767134</x:v>
      </x:c>
      <x:c r="L10" s="7" t="str">
        <x:v>CAD_volume_x_specified_density</x:v>
      </x:c>
      <x:c r="M10" s="7" t="str">
        <x:v>Plano de conjunto / detalle funcional: TT10_C05_PC_13</x:v>
      </x:c>
      <x:c r="N10" s="7" t="str">
        <x:v>C05E_TT10_BUJE_PIN_N.SLDPRT</x:v>
      </x:c>
    </x:row>
    <x:row r="11" ht="34" customHeight="1">
      <x:c r="B11" s="7" t="n">
        <x:v>5</x:v>
      </x:c>
      <x:c r="C11" s="7" t="str">
        <x:v>TT10_BUJE_PIN_P</x:v>
      </x:c>
      <x:c r="D11" s="7" t="str">
        <x:v>Casquillo CuSn12 Ø69 s6 / Ø65.5 H9 final, L85, C0.5 interiores</x:v>
      </x:c>
      <x:c r="E11" s="7" t="n">
        <x:v>1</x:v>
      </x:c>
      <x:c r="F11" s="7" t="str">
        <x:v>CuSn12 / EN 1982</x:v>
      </x:c>
      <x:c r="G11" s="7" t="str">
        <x:v>Fabricación</x:v>
      </x:c>
      <x:c r="H11" s="9" t="n">
        <x:v>0.00003137502038155356</x:v>
      </x:c>
      <x:c r="I11" s="7" t="n">
        <x:v>8800</x:v>
      </x:c>
      <x:c r="J11" s="14" t="n">
        <x:f>H11*I11</x:f>
        <x:v>0.27610017935767134</x:v>
      </x:c>
      <x:c r="K11" s="14" t="n">
        <x:f>IF(ISNUMBER(J11),E11*J11,"n/d")</x:f>
        <x:v>0.27610017935767134</x:v>
      </x:c>
      <x:c r="L11" s="7" t="str">
        <x:v>CAD_volume_x_specified_density</x:v>
      </x:c>
      <x:c r="M11" s="7" t="str">
        <x:v>Plano de conjunto / detalle funcional: TT10_C05_PC_13</x:v>
      </x:c>
      <x:c r="N11" s="7" t="str">
        <x:v>C05E_TT10_BUJE_PIN_P.SLDPRT</x:v>
      </x:c>
    </x:row>
    <x:row r="12" ht="34" customHeight="1">
      <x:c r="B12" s="7" t="n">
        <x:v>6</x:v>
      </x:c>
      <x:c r="C12" s="7" t="str">
        <x:v>TT10_C03_ACCESO_PUERTO_N</x:v>
      </x:c>
      <x:c r="D12" s="7" t="str">
        <x:v>Guia de herramienta desde exterior N; puerto nominal rear+15.5/Z+53.7; NO conexion remota al actuador</x:v>
      </x:c>
      <x:c r="E12" s="7" t="n">
        <x:v>1</x:v>
      </x:c>
      <x:c r="F12" s="7" t="str">
        <x:v>ASTM A36</x:v>
      </x:c>
      <x:c r="G12" s="7" t="str">
        <x:v>Fabricación</x:v>
      </x:c>
      <x:c r="H12" s="9" t="n">
        <x:v>0.00001960870784695251</x:v>
      </x:c>
      <x:c r="I12" s="7" t="n">
        <x:v>7850</x:v>
      </x:c>
      <x:c r="J12" s="14" t="n">
        <x:f>H12*I12</x:f>
        <x:v>0.1539283565985772</x:v>
      </x:c>
      <x:c r="K12" s="14" t="n">
        <x:f>IF(ISNUMBER(J12),E12*J12,"n/d")</x:f>
        <x:v>0.1539283565985772</x:v>
      </x:c>
      <x:c r="L12" s="7" t="str">
        <x:v>CAD_volume_x_specified_density</x:v>
      </x:c>
      <x:c r="M12" s="7" t="str">
        <x:v>Plano de conjunto / detalle funcional: TT10_C05_PC_24</x:v>
      </x:c>
      <x:c r="N12" s="7" t="str">
        <x:v>C05E_TT10_C03_ACCESO_PUERTO_N.SLDPRT</x:v>
      </x:c>
    </x:row>
    <x:row r="13" ht="34" customHeight="1">
      <x:c r="B13" s="7" t="n">
        <x:v>7</x:v>
      </x:c>
      <x:c r="C13" s="7" t="str">
        <x:v>TT10_C03_ACCESO_PUERTO_P</x:v>
      </x:c>
      <x:c r="D13" s="7" t="str">
        <x:v>Guia de herramienta desde exterior P; puerto nominal rear+15.5/Z+53.7; NO conexion remota al actuador</x:v>
      </x:c>
      <x:c r="E13" s="7" t="n">
        <x:v>1</x:v>
      </x:c>
      <x:c r="F13" s="7" t="str">
        <x:v>ASTM A36</x:v>
      </x:c>
      <x:c r="G13" s="7" t="str">
        <x:v>Fabricación</x:v>
      </x:c>
      <x:c r="H13" s="9" t="n">
        <x:v>0.00001960870784695257</x:v>
      </x:c>
      <x:c r="I13" s="7" t="n">
        <x:v>7850</x:v>
      </x:c>
      <x:c r="J13" s="14" t="n">
        <x:f>H13*I13</x:f>
        <x:v>0.15392835659857768</x:v>
      </x:c>
      <x:c r="K13" s="14" t="n">
        <x:f>IF(ISNUMBER(J13),E13*J13,"n/d")</x:f>
        <x:v>0.15392835659857768</x:v>
      </x:c>
      <x:c r="L13" s="7" t="str">
        <x:v>CAD_volume_x_specified_density</x:v>
      </x:c>
      <x:c r="M13" s="7" t="str">
        <x:v>Plano de conjunto / detalle funcional: TT10_C05_PC_24</x:v>
      </x:c>
      <x:c r="N13" s="7" t="str">
        <x:v>C05E_TT10_C03_ACCESO_PUERTO_P.SLDPRT</x:v>
      </x:c>
    </x:row>
    <x:row r="14" ht="34" customHeight="1">
      <x:c r="B14" s="7" t="n">
        <x:v>8</x:v>
      </x:c>
      <x:c r="C14" s="7" t="str">
        <x:v>TT10_C03_CADENA_ESLABON</x:v>
      </x:c>
      <x:c r="D14" s="7" t="str">
        <x:v>Renold16B1: referencia visual de eslabon; no fabricar. Rodillos compartidos representados dos veces</x:v>
      </x:c>
      <x:c r="E14" s="7" t="n">
        <x:v>122</x:v>
      </x:c>
      <x:c r="F14" s="7" t="str">
        <x:v>Equipo comprado Renold</x:v>
      </x:c>
      <x:c r="G14" s="7" t="str">
        <x:v>Comercial</x:v>
      </x:c>
      <x:c r="H14" s="9" t="n">
        <x:v>0.000010061549253363657</x:v>
      </x:c>
      <x:c r="I14" s="7"/>
      <x:c r="J14" s="14" t="n">
        <x:v>0.07111999999999999</x:v>
      </x:c>
      <x:c r="K14" s="14" t="n">
        <x:f>IF(ISNUMBER(J14),E14*J14,"n/d")</x:f>
        <x:v>8.676639999999999</x:v>
      </x:c>
      <x:c r="L14" s="7" t="str">
        <x:v>16B-1 / 122 pasos</x:v>
      </x:c>
      <x:c r="M14" s="7" t="str">
        <x:v>BOM y montaje TT10_C05_PC_01; sin plano individual</x:v>
      </x:c>
      <x:c r="N14" s="7" t="str">
        <x:v>C05E_TT10_C03_CADENA_ESLABON.SLDPRT</x:v>
      </x:c>
    </x:row>
    <x:row r="15" ht="34" customHeight="1">
      <x:c r="B15" s="7" t="n">
        <x:v>9</x:v>
      </x:c>
      <x:c r="C15" s="7" t="str">
        <x:v>TT10_C03_HK4020_E1</x:v>
      </x:c>
      <x:c r="D15" s="7" t="str">
        <x:v>SKF HK4020; 40x47x20; rodillos y jaula omitidos</x:v>
      </x:c>
      <x:c r="E15" s="7" t="n">
        <x:v>1</x:v>
      </x:c>
      <x:c r="F15" s="7" t="str">
        <x:v>Conjunto comprado; acero/ fundición según OEM</x:v>
      </x:c>
      <x:c r="G15" s="7" t="str">
        <x:v>Comercial</x:v>
      </x:c>
      <x:c r="H15" s="9" t="n">
        <x:v>0.000009566149630180507</x:v>
      </x:c>
      <x:c r="I15" s="7"/>
      <x:c r="J15" s="14" t="str">
        <x:v>n/d</x:v>
      </x:c>
      <x:c r="K15" s="14" t="str">
        <x:f>IF(ISNUMBER(J15),E15*J15,"n/d")</x:f>
        <x:v>n/d</x:v>
      </x:c>
      <x:c r="L15" s="7" t="str">
        <x:v>HK 4020</x:v>
      </x:c>
      <x:c r="M15" s="7" t="str">
        <x:v>BOM y montaje TT10_C05_PC_01; sin plano individual</x:v>
      </x:c>
      <x:c r="N15" s="7" t="str">
        <x:v>C05E_TT10_C03_HK4020_E1.SLDPRT</x:v>
      </x:c>
    </x:row>
    <x:row r="16" ht="34" customHeight="1">
      <x:c r="B16" s="7" t="n">
        <x:v>10</x:v>
      </x:c>
      <x:c r="C16" s="7" t="str">
        <x:v>TT10_C03_HK4020_E2</x:v>
      </x:c>
      <x:c r="D16" s="7" t="str">
        <x:v>SKF HK4020; 40x47x20; rodillos y jaula omitidos</x:v>
      </x:c>
      <x:c r="E16" s="7" t="n">
        <x:v>1</x:v>
      </x:c>
      <x:c r="F16" s="7" t="str">
        <x:v>Conjunto comprado; acero/ fundición según OEM</x:v>
      </x:c>
      <x:c r="G16" s="7" t="str">
        <x:v>Comercial</x:v>
      </x:c>
      <x:c r="H16" s="9" t="n">
        <x:v>0.000009566149630180612</x:v>
      </x:c>
      <x:c r="I16" s="7"/>
      <x:c r="J16" s="14" t="str">
        <x:v>n/d</x:v>
      </x:c>
      <x:c r="K16" s="14" t="str">
        <x:f>IF(ISNUMBER(J16),E16*J16,"n/d")</x:f>
        <x:v>n/d</x:v>
      </x:c>
      <x:c r="L16" s="7" t="str">
        <x:v>HK 4020</x:v>
      </x:c>
      <x:c r="M16" s="7" t="str">
        <x:v>BOM y montaje TT10_C05_PC_01; sin plano individual</x:v>
      </x:c>
      <x:c r="N16" s="7" t="str">
        <x:v>C05E_TT10_C03_HK4020_E2.SLDPRT</x:v>
      </x:c>
    </x:row>
    <x:row r="17" ht="34" customHeight="1">
      <x:c r="B17" s="7" t="n">
        <x:v>11</x:v>
      </x:c>
      <x:c r="C17" s="7" t="str">
        <x:v>TT10_C03_HK4020_M1</x:v>
      </x:c>
      <x:c r="D17" s="7" t="str">
        <x:v>SKF HK4020; 40x47x20; rodillos y jaula omitidos</x:v>
      </x:c>
      <x:c r="E17" s="7" t="n">
        <x:v>1</x:v>
      </x:c>
      <x:c r="F17" s="7" t="str">
        <x:v>Conjunto comprado; acero/ fundición según OEM</x:v>
      </x:c>
      <x:c r="G17" s="7" t="str">
        <x:v>Comercial</x:v>
      </x:c>
      <x:c r="H17" s="9" t="n">
        <x:v>0.000009566149630180558</x:v>
      </x:c>
      <x:c r="I17" s="7"/>
      <x:c r="J17" s="14" t="str">
        <x:v>n/d</x:v>
      </x:c>
      <x:c r="K17" s="14" t="str">
        <x:f>IF(ISNUMBER(J17),E17*J17,"n/d")</x:f>
        <x:v>n/d</x:v>
      </x:c>
      <x:c r="L17" s="7" t="str">
        <x:v>HK 4020</x:v>
      </x:c>
      <x:c r="M17" s="7" t="str">
        <x:v>BOM y montaje TT10_C05_PC_01; sin plano individual</x:v>
      </x:c>
      <x:c r="N17" s="7" t="str">
        <x:v>C05E_TT10_C03_HK4020_M1.SLDPRT</x:v>
      </x:c>
    </x:row>
    <x:row r="18" ht="34" customHeight="1">
      <x:c r="B18" s="7" t="n">
        <x:v>12</x:v>
      </x:c>
      <x:c r="C18" s="7" t="str">
        <x:v>TT10_C03_HK4020_M2</x:v>
      </x:c>
      <x:c r="D18" s="7" t="str">
        <x:v>SKF HK4020; 40x47x20; rodillos y jaula omitidos</x:v>
      </x:c>
      <x:c r="E18" s="7" t="n">
        <x:v>1</x:v>
      </x:c>
      <x:c r="F18" s="7" t="str">
        <x:v>Conjunto comprado; acero/ fundición según OEM</x:v>
      </x:c>
      <x:c r="G18" s="7" t="str">
        <x:v>Comercial</x:v>
      </x:c>
      <x:c r="H18" s="9" t="n">
        <x:v>0.000009566149630180558</x:v>
      </x:c>
      <x:c r="I18" s="7"/>
      <x:c r="J18" s="14" t="str">
        <x:v>n/d</x:v>
      </x:c>
      <x:c r="K18" s="14" t="str">
        <x:f>IF(ISNUMBER(J18),E18*J18,"n/d")</x:f>
        <x:v>n/d</x:v>
      </x:c>
      <x:c r="L18" s="7" t="str">
        <x:v>HK 4020</x:v>
      </x:c>
      <x:c r="M18" s="7" t="str">
        <x:v>BOM y montaje TT10_C05_PC_01; sin plano individual</x:v>
      </x:c>
      <x:c r="N18" s="7" t="str">
        <x:v>C05E_TT10_C03_HK4020_M2.SLDPRT</x:v>
      </x:c>
    </x:row>
    <x:row r="19" ht="34" customHeight="1">
      <x:c r="B19" s="7" t="n">
        <x:v>13</x:v>
      </x:c>
      <x:c r="C19" s="7" t="str">
        <x:v>TT10_C03_REGISTRO_PUERTO_N</x:v>
      </x:c>
      <x:c r="D19" s="7" t="str">
        <x:v>Registro exterior desmontable3 con accesoD50; fijaciones/proteccion de puesto por completar</x:v>
      </x:c>
      <x:c r="E19" s="7" t="n">
        <x:v>1</x:v>
      </x:c>
      <x:c r="F19" s="7" t="str">
        <x:v>ASTM A36</x:v>
      </x:c>
      <x:c r="G19" s="7" t="str">
        <x:v>Fabricación</x:v>
      </x:c>
      <x:c r="H19" s="9" t="n">
        <x:v>0.00010810951377452323</x:v>
      </x:c>
      <x:c r="I19" s="7" t="n">
        <x:v>7850.000000000001</x:v>
      </x:c>
      <x:c r="J19" s="14" t="n">
        <x:f>H19*I19</x:f>
        <x:v>0.8486596831300074</x:v>
      </x:c>
      <x:c r="K19" s="14" t="n">
        <x:f>IF(ISNUMBER(J19),E19*J19,"n/d")</x:f>
        <x:v>0.8486596831300074</x:v>
      </x:c>
      <x:c r="L19" s="7" t="str">
        <x:v>CAD_volume_x_specified_density</x:v>
      </x:c>
      <x:c r="M19" s="7" t="str">
        <x:v>Plano de conjunto / detalle funcional: TT10_C05_PC_24</x:v>
      </x:c>
      <x:c r="N19" s="7" t="str">
        <x:v>C05E_TT10_C03_REGISTRO_PUERTO_N.SLDPRT</x:v>
      </x:c>
    </x:row>
    <x:row r="20" ht="34" customHeight="1">
      <x:c r="B20" s="7" t="n">
        <x:v>14</x:v>
      </x:c>
      <x:c r="C20" s="7" t="str">
        <x:v>TT10_C03_REGISTRO_PUERTO_P</x:v>
      </x:c>
      <x:c r="D20" s="7" t="str">
        <x:v>Registro exterior desmontable3 con accesoD50; fijaciones/proteccion de puesto por completar</x:v>
      </x:c>
      <x:c r="E20" s="7" t="n">
        <x:v>1</x:v>
      </x:c>
      <x:c r="F20" s="7" t="str">
        <x:v>ASTM A36</x:v>
      </x:c>
      <x:c r="G20" s="7" t="str">
        <x:v>Fabricación</x:v>
      </x:c>
      <x:c r="H20" s="9" t="n">
        <x:v>0.00010810951377452323</x:v>
      </x:c>
      <x:c r="I20" s="7" t="n">
        <x:v>7850.000000000001</x:v>
      </x:c>
      <x:c r="J20" s="14" t="n">
        <x:f>H20*I20</x:f>
        <x:v>0.8486596831300074</x:v>
      </x:c>
      <x:c r="K20" s="14" t="n">
        <x:f>IF(ISNUMBER(J20),E20*J20,"n/d")</x:f>
        <x:v>0.8486596831300074</x:v>
      </x:c>
      <x:c r="L20" s="7" t="str">
        <x:v>CAD_volume_x_specified_density</x:v>
      </x:c>
      <x:c r="M20" s="7" t="str">
        <x:v>Plano de conjunto / detalle funcional: TT10_C05_PC_24</x:v>
      </x:c>
      <x:c r="N20" s="7" t="str">
        <x:v>C05E_TT10_C03_REGISTRO_PUERTO_P.SLDPRT</x:v>
      </x:c>
    </x:row>
    <x:row r="21" ht="34" customHeight="1">
      <x:c r="B21" s="7" t="n">
        <x:v>15</x:v>
      </x:c>
      <x:c r="C21" s="7" t="str">
        <x:v>TT10_C03_SELECTOR_6008_1</x:v>
      </x:c>
      <x:c r="D21" s="7" t="str">
        <x:v>SKF6008 40x68x15; contorno de interfaz</x:v>
      </x:c>
      <x:c r="E21" s="7" t="n">
        <x:v>1</x:v>
      </x:c>
      <x:c r="F21" s="7" t="str">
        <x:v>Conjunto comprado; acero/ fundición según OEM</x:v>
      </x:c>
      <x:c r="G21" s="7" t="str">
        <x:v>Comercial</x:v>
      </x:c>
      <x:c r="H21" s="9" t="n">
        <x:v>0.00003562566069170795</x:v>
      </x:c>
      <x:c r="I21" s="7"/>
      <x:c r="J21" s="14" t="str">
        <x:v>n/d</x:v>
      </x:c>
      <x:c r="K21" s="14" t="str">
        <x:f>IF(ISNUMBER(J21),E21*J21,"n/d")</x:f>
        <x:v>n/d</x:v>
      </x:c>
      <x:c r="L21" s="7" t="str">
        <x:v>6008</x:v>
      </x:c>
      <x:c r="M21" s="7" t="str">
        <x:v>BOM y montaje TT10_C05_PC_01; sin plano individual</x:v>
      </x:c>
      <x:c r="N21" s="7" t="str">
        <x:v>C05E_TT10_C03_SELECTOR_6008_1.SLDPRT</x:v>
      </x:c>
    </x:row>
    <x:row r="22" ht="34" customHeight="1">
      <x:c r="B22" s="7" t="n">
        <x:v>16</x:v>
      </x:c>
      <x:c r="C22" s="7" t="str">
        <x:v>TT10_C03_SELECTOR_6008_2</x:v>
      </x:c>
      <x:c r="D22" s="7" t="str">
        <x:v>SKF6008 40x68x15; contorno de interfaz</x:v>
      </x:c>
      <x:c r="E22" s="7" t="n">
        <x:v>1</x:v>
      </x:c>
      <x:c r="F22" s="7" t="str">
        <x:v>Conjunto comprado; acero/ fundición según OEM</x:v>
      </x:c>
      <x:c r="G22" s="7" t="str">
        <x:v>Comercial</x:v>
      </x:c>
      <x:c r="H22" s="9" t="n">
        <x:v>0.00003562566069170768</x:v>
      </x:c>
      <x:c r="I22" s="7"/>
      <x:c r="J22" s="14" t="str">
        <x:v>n/d</x:v>
      </x:c>
      <x:c r="K22" s="14" t="str">
        <x:f>IF(ISNUMBER(J22),E22*J22,"n/d")</x:f>
        <x:v>n/d</x:v>
      </x:c>
      <x:c r="L22" s="7" t="str">
        <x:v>6008</x:v>
      </x:c>
      <x:c r="M22" s="7" t="str">
        <x:v>BOM y montaje TT10_C05_PC_01; sin plano individual</x:v>
      </x:c>
      <x:c r="N22" s="7" t="str">
        <x:v>C05E_TT10_C03_SELECTOR_6008_2.SLDPRT</x:v>
      </x:c>
    </x:row>
    <x:row r="23" ht="34" customHeight="1">
      <x:c r="B23" s="7" t="n">
        <x:v>17</x:v>
      </x:c>
      <x:c r="C23" s="7" t="str">
        <x:v>TT10_C03_SELECTOR_COLLAR_1</x:v>
      </x:c>
      <x:c r="D23" s="7" t="str">
        <x:v>Collar de varilla para sujetar horquilla; fijacion radial y retencion por completar</x:v>
      </x:c>
      <x:c r="E23" s="7" t="n">
        <x:v>1</x:v>
      </x:c>
      <x:c r="F23" s="7" t="str">
        <x:v>C45E / EN 10083-2</x:v>
      </x:c>
      <x:c r="G23" s="7" t="str">
        <x:v>Fabricación</x:v>
      </x:c>
      <x:c r="H23" s="9" t="n">
        <x:v>0.0000012313472405744694</x:v>
      </x:c>
      <x:c r="I23" s="7" t="n">
        <x:v>7850</x:v>
      </x:c>
      <x:c r="J23" s="14" t="n">
        <x:f>H23*I23</x:f>
        <x:v>0.009666075838509584</x:v>
      </x:c>
      <x:c r="K23" s="14" t="n">
        <x:f>IF(ISNUMBER(J23),E23*J23,"n/d")</x:f>
        <x:v>0.009666075838509584</x:v>
      </x:c>
      <x:c r="L23" s="7" t="str">
        <x:v>CAD_volume_x_specified_density</x:v>
      </x:c>
      <x:c r="M23" s="7" t="str">
        <x:v>Plano de conjunto / detalle funcional: TT10_C05_PC_21</x:v>
      </x:c>
      <x:c r="N23" s="7" t="str">
        <x:v>C05E_TT10_C03_SELECTOR_COLLAR_1.SLDPRT</x:v>
      </x:c>
    </x:row>
    <x:row r="24" ht="34" customHeight="1">
      <x:c r="B24" s="7" t="n">
        <x:v>18</x:v>
      </x:c>
      <x:c r="C24" s="7" t="str">
        <x:v>TT10_C03_SELECTOR_COLLAR_2</x:v>
      </x:c>
      <x:c r="D24" s="7" t="str">
        <x:v>Collar de varilla para sujetar horquilla; fijacion radial y retencion por completar</x:v>
      </x:c>
      <x:c r="E24" s="7" t="n">
        <x:v>1</x:v>
      </x:c>
      <x:c r="F24" s="7" t="str">
        <x:v>C45E / EN 10083-2</x:v>
      </x:c>
      <x:c r="G24" s="7" t="str">
        <x:v>Fabricación</x:v>
      </x:c>
      <x:c r="H24" s="9" t="n">
        <x:v>0.0000012313472405744694</x:v>
      </x:c>
      <x:c r="I24" s="7" t="n">
        <x:v>7850</x:v>
      </x:c>
      <x:c r="J24" s="14" t="n">
        <x:f>H24*I24</x:f>
        <x:v>0.009666075838509584</x:v>
      </x:c>
      <x:c r="K24" s="14" t="n">
        <x:f>IF(ISNUMBER(J24),E24*J24,"n/d")</x:f>
        <x:v>0.009666075838509584</x:v>
      </x:c>
      <x:c r="L24" s="7" t="str">
        <x:v>CAD_volume_x_specified_density</x:v>
      </x:c>
      <x:c r="M24" s="7" t="str">
        <x:v>Plano de conjunto / detalle funcional: TT10_C05_PC_21</x:v>
      </x:c>
      <x:c r="N24" s="7" t="str">
        <x:v>C05E_TT10_C03_SELECTOR_COLLAR_2.SLDPRT</x:v>
      </x:c>
    </x:row>
    <x:row r="25" ht="34" customHeight="1">
      <x:c r="B25" s="7" t="n">
        <x:v>19</x:v>
      </x:c>
      <x:c r="C25" s="7" t="str">
        <x:v>TT10_C03_SELECTOR_CUBIERTA</x:v>
      </x:c>
      <x:c r="D25" s="7" t="str">
        <x:v>Cubierta desmontable3; ranura50x36 para recorrido completo; cierreM6 por detallar</x:v>
      </x:c>
      <x:c r="E25" s="7" t="n">
        <x:v>1</x:v>
      </x:c>
      <x:c r="F25" s="7" t="str">
        <x:v>ASTM A36</x:v>
      </x:c>
      <x:c r="G25" s="7" t="str">
        <x:v>Fabricación</x:v>
      </x:c>
      <x:c r="H25" s="9" t="n">
        <x:v>0.0000615300000000023</x:v>
      </x:c>
      <x:c r="I25" s="7" t="n">
        <x:v>7850</x:v>
      </x:c>
      <x:c r="J25" s="14" t="n">
        <x:f>H25*I25</x:f>
        <x:v>0.4830105000000181</x:v>
      </x:c>
      <x:c r="K25" s="14" t="n">
        <x:f>IF(ISNUMBER(J25),E25*J25,"n/d")</x:f>
        <x:v>0.4830105000000181</x:v>
      </x:c>
      <x:c r="L25" s="7" t="str">
        <x:v>CAD_volume_x_specified_density</x:v>
      </x:c>
      <x:c r="M25" s="7" t="str">
        <x:v>Plano de conjunto / detalle funcional: TT10_C05_PC_20</x:v>
      </x:c>
      <x:c r="N25" s="7" t="str">
        <x:v>C05E_TT10_C03_SELECTOR_CUBIERTA.SLDPRT</x:v>
      </x:c>
    </x:row>
    <x:row r="26" ht="34" customHeight="1">
      <x:c r="B26" s="7" t="n">
        <x:v>20</x:v>
      </x:c>
      <x:c r="C26" s="7" t="str">
        <x:v>TT10_C03_SELECTOR_ENCLAVAMIENTO</x:v>
      </x:c>
      <x:c r="D26" s="7" t="str">
        <x:v>Pasador positivoD6; levantar16mm antes de seleccionar y reinsertar; retencion cautiva y mando remoto pendientes</x:v>
      </x:c>
      <x:c r="E26" s="7" t="n">
        <x:v>1</x:v>
      </x:c>
      <x:c r="F26" s="7" t="str">
        <x:v>C45E / EN 10083-2</x:v>
      </x:c>
      <x:c r="G26" s="7" t="str">
        <x:v>Fabricación</x:v>
      </x:c>
      <x:c r="H26" s="9" t="n">
        <x:v>0.0000011969468010177294</x:v>
      </x:c>
      <x:c r="I26" s="7" t="n">
        <x:v>7850</x:v>
      </x:c>
      <x:c r="J26" s="14" t="n">
        <x:f>H26*I26</x:f>
        <x:v>0.009396032387989176</x:v>
      </x:c>
      <x:c r="K26" s="14" t="n">
        <x:f>IF(ISNUMBER(J26),E26*J26,"n/d")</x:f>
        <x:v>0.009396032387989176</x:v>
      </x:c>
      <x:c r="L26" s="7" t="str">
        <x:v>CAD_volume_x_specified_density</x:v>
      </x:c>
      <x:c r="M26" s="7" t="str">
        <x:v>Plano de conjunto / detalle funcional: TT10_C05_PC_21</x:v>
      </x:c>
      <x:c r="N26" s="7" t="str">
        <x:v>C05E_TT10_C03_SELECTOR_ENCLAVAMIENTO.SLDPRT</x:v>
      </x:c>
    </x:row>
    <x:row r="27" ht="34" customHeight="1">
      <x:c r="B27" s="7" t="n">
        <x:v>21</x:v>
      </x:c>
      <x:c r="C27" s="7" t="str">
        <x:v>TT10_C03_SELECTOR_HORQUILLA</x:v>
      </x:c>
      <x:c r="D27" s="7" t="str">
        <x:v>Horquilla10 en ranura12; 1 mm nominal por flanco; garras de seleccion con la maquina parada</x:v>
      </x:c>
      <x:c r="E27" s="7" t="n">
        <x:v>1</x:v>
      </x:c>
      <x:c r="F27" s="7" t="str">
        <x:v>ASTM A36</x:v>
      </x:c>
      <x:c r="G27" s="7" t="str">
        <x:v>Fabricación</x:v>
      </x:c>
      <x:c r="H27" s="9" t="n">
        <x:v>0.00005645378078265078</x:v>
      </x:c>
      <x:c r="I27" s="7" t="n">
        <x:v>7850</x:v>
      </x:c>
      <x:c r="J27" s="14" t="n">
        <x:f>H27*I27</x:f>
        <x:v>0.4431621791438086</x:v>
      </x:c>
      <x:c r="K27" s="14" t="n">
        <x:f>IF(ISNUMBER(J27),E27*J27,"n/d")</x:f>
        <x:v>0.4431621791438086</x:v>
      </x:c>
      <x:c r="L27" s="7" t="str">
        <x:v>CAD_volume_x_specified_density</x:v>
      </x:c>
      <x:c r="M27" s="7" t="str">
        <x:v>Plano de conjunto / detalle funcional: TT10_C05_PC_21</x:v>
      </x:c>
      <x:c r="N27" s="7" t="str">
        <x:v>C05E_TT10_C03_SELECTOR_HORQUILLA.SLDPRT</x:v>
      </x:c>
    </x:row>
    <x:row r="28" ht="34" customHeight="1">
      <x:c r="B28" s="7" t="n">
        <x:v>22</x:v>
      </x:c>
      <x:c r="C28" s="7" t="str">
        <x:v>TT10_C03_SELECTOR_MANGUITO</x:v>
      </x:c>
      <x:c r="D28" s="7" t="str">
        <x:v>Manguito estriado: neutro X923..979; E+18/M-18; 6 alojamientos D12.2 PCD72 por cara</x:v>
      </x:c>
      <x:c r="E28" s="7" t="n">
        <x:v>1</x:v>
      </x:c>
      <x:c r="F28" s="7" t="str">
        <x:v>AISI 4140 bonificado</x:v>
      </x:c>
      <x:c r="G28" s="7" t="str">
        <x:v>Fabricación</x:v>
      </x:c>
      <x:c r="H28" s="9" t="n">
        <x:v>0.00023753033017147294</x:v>
      </x:c>
      <x:c r="I28" s="7" t="n">
        <x:v>7850</x:v>
      </x:c>
      <x:c r="J28" s="14" t="n">
        <x:f>H28*I28</x:f>
        <x:v>1.8646130918460626</x:v>
      </x:c>
      <x:c r="K28" s="14" t="n">
        <x:f>IF(ISNUMBER(J28),E28*J28,"n/d")</x:f>
        <x:v>1.8646130918460626</x:v>
      </x:c>
      <x:c r="L28" s="7" t="str">
        <x:v>CAD_volume_x_specified_density</x:v>
      </x:c>
      <x:c r="M28" s="7" t="str">
        <x:v>Plano de conjunto / detalle funcional: TT10_C05_PC_21</x:v>
      </x:c>
      <x:c r="N28" s="7" t="str">
        <x:v>C05E_TT10_C03_SELECTOR_MANGUITO.SLDPRT</x:v>
      </x:c>
    </x:row>
    <x:row r="29" ht="34" customHeight="1">
      <x:c r="B29" s="7" t="n">
        <x:v>23</x:v>
      </x:c>
      <x:c r="C29" s="7" t="str">
        <x:v>TT10_C03_SELECTOR_PARED_E</x:v>
      </x:c>
      <x:c r="D29" s="7" t="str">
        <x:v>Pared mecanizada8; roscasM6; tapa de retencion y asiento axial por cadena de cotas</x:v>
      </x:c>
      <x:c r="E29" s="7" t="n">
        <x:v>1</x:v>
      </x:c>
      <x:c r="F29" s="7" t="str">
        <x:v>ASTM A36</x:v>
      </x:c>
      <x:c r="G29" s="7" t="str">
        <x:v>Fabricación</x:v>
      </x:c>
      <x:c r="H29" s="9" t="n">
        <x:v>0.0003040117895042723</x:v>
      </x:c>
      <x:c r="I29" s="7" t="n">
        <x:v>7850</x:v>
      </x:c>
      <x:c r="J29" s="14" t="n">
        <x:f>H29*I29</x:f>
        <x:v>2.3864925476085377</x:v>
      </x:c>
      <x:c r="K29" s="14" t="n">
        <x:f>IF(ISNUMBER(J29),E29*J29,"n/d")</x:f>
        <x:v>2.3864925476085377</x:v>
      </x:c>
      <x:c r="L29" s="7" t="str">
        <x:v>CAD_volume_x_specified_density</x:v>
      </x:c>
      <x:c r="M29" s="7" t="str">
        <x:v>Plano de conjunto / detalle funcional: TT10_C05_PC_20</x:v>
      </x:c>
      <x:c r="N29" s="7" t="str">
        <x:v>C05E_TT10_C03_SELECTOR_PARED_E.SLDPRT</x:v>
      </x:c>
    </x:row>
    <x:row r="30" ht="34" customHeight="1">
      <x:c r="B30" s="7" t="n">
        <x:v>24</x:v>
      </x:c>
      <x:c r="C30" s="7" t="str">
        <x:v>TT10_C03_SELECTOR_PARED_M</x:v>
      </x:c>
      <x:c r="D30" s="7" t="str">
        <x:v>Pared mecanizada8; roscasM6; tapa de retencion y asiento axial por cadena de cotas</x:v>
      </x:c>
      <x:c r="E30" s="7" t="n">
        <x:v>1</x:v>
      </x:c>
      <x:c r="F30" s="7" t="str">
        <x:v>ASTM A36</x:v>
      </x:c>
      <x:c r="G30" s="7" t="str">
        <x:v>Fabricación</x:v>
      </x:c>
      <x:c r="H30" s="9" t="n">
        <x:v>0.0003040117895042723</x:v>
      </x:c>
      <x:c r="I30" s="7" t="n">
        <x:v>7850</x:v>
      </x:c>
      <x:c r="J30" s="14" t="n">
        <x:f>H30*I30</x:f>
        <x:v>2.3864925476085377</x:v>
      </x:c>
      <x:c r="K30" s="14" t="n">
        <x:f>IF(ISNUMBER(J30),E30*J30,"n/d")</x:f>
        <x:v>2.3864925476085377</x:v>
      </x:c>
      <x:c r="L30" s="7" t="str">
        <x:v>CAD_volume_x_specified_density</x:v>
      </x:c>
      <x:c r="M30" s="7" t="str">
        <x:v>Plano de conjunto / detalle funcional: TT10_C05_PC_20</x:v>
      </x:c>
      <x:c r="N30" s="7" t="str">
        <x:v>C05E_TT10_C03_SELECTOR_PARED_M.SLDPRT</x:v>
      </x:c>
    </x:row>
    <x:row r="31" ht="34" customHeight="1">
      <x:c r="B31" s="7" t="n">
        <x:v>25</x:v>
      </x:c>
      <x:c r="C31" s="7" t="str">
        <x:v>TT10_C03_SELECTOR_VARILLA</x:v>
      </x:c>
      <x:c r="D31" s="7" t="str">
        <x:v>Varilla selector D16; tres taladrosD6.5 con paso18; E-N-M por pasador positivo</x:v>
      </x:c>
      <x:c r="E31" s="7" t="n">
        <x:v>1</x:v>
      </x:c>
      <x:c r="F31" s="7" t="str">
        <x:v>C45E / EN 10083-2</x:v>
      </x:c>
      <x:c r="G31" s="7" t="str">
        <x:v>Fabricación</x:v>
      </x:c>
      <x:c r="H31" s="9" t="n">
        <x:v>0.00003463240858268055</x:v>
      </x:c>
      <x:c r="I31" s="7" t="n">
        <x:v>7850</x:v>
      </x:c>
      <x:c r="J31" s="14" t="n">
        <x:f>H31*I31</x:f>
        <x:v>0.2718644073740423</x:v>
      </x:c>
      <x:c r="K31" s="14" t="n">
        <x:f>IF(ISNUMBER(J31),E31*J31,"n/d")</x:f>
        <x:v>0.2718644073740423</x:v>
      </x:c>
      <x:c r="L31" s="7" t="str">
        <x:v>CAD_volume_x_specified_density</x:v>
      </x:c>
      <x:c r="M31" s="7" t="str">
        <x:v>Plano de conjunto / detalle funcional: TT10_C05_PC_21</x:v>
      </x:c>
      <x:c r="N31" s="7" t="str">
        <x:v>C05E_TT10_C03_SELECTOR_VARILLA.SLDPRT</x:v>
      </x:c>
    </x:row>
    <x:row r="32" ht="34" customHeight="1">
      <x:c r="B32" s="7" t="n">
        <x:v>26</x:v>
      </x:c>
      <x:c r="C32" s="7" t="str">
        <x:v>TT10_C03_TAPA_RETENCION_E</x:v>
      </x:c>
      <x:c r="D32" s="7" t="str">
        <x:v>Tapa estacionaria: labio axial para cuboD100, pasoD92 libre al manguitoD90; junta axial0.2 por ajustar</x:v>
      </x:c>
      <x:c r="E32" s="7" t="n">
        <x:v>1</x:v>
      </x:c>
      <x:c r="F32" s="7" t="str">
        <x:v>ASTM A36</x:v>
      </x:c>
      <x:c r="G32" s="7" t="str">
        <x:v>Fabricación</x:v>
      </x:c>
      <x:c r="H32" s="9" t="n">
        <x:v>0.000019466313391291758</x:v>
      </x:c>
      <x:c r="I32" s="7" t="n">
        <x:v>7849.999999999999</x:v>
      </x:c>
      <x:c r="J32" s="14" t="n">
        <x:f>H32*I32</x:f>
        <x:v>0.1528105601216403</x:v>
      </x:c>
      <x:c r="K32" s="14" t="n">
        <x:f>IF(ISNUMBER(J32),E32*J32,"n/d")</x:f>
        <x:v>0.1528105601216403</x:v>
      </x:c>
      <x:c r="L32" s="7" t="str">
        <x:v>CAD_volume_x_specified_density</x:v>
      </x:c>
      <x:c r="M32" s="7" t="str">
        <x:v>Plano de conjunto / detalle funcional: TT10_C05_PC_20</x:v>
      </x:c>
      <x:c r="N32" s="7" t="str">
        <x:v>C05E_TT10_C03_TAPA_RETENCION_E.SLDPRT</x:v>
      </x:c>
    </x:row>
    <x:row r="33" ht="34" customHeight="1">
      <x:c r="B33" s="7" t="n">
        <x:v>27</x:v>
      </x:c>
      <x:c r="C33" s="7" t="str">
        <x:v>TT10_C03_TAPA_RETENCION_M</x:v>
      </x:c>
      <x:c r="D33" s="7" t="str">
        <x:v>Tapa estacionaria: labio axial para cuboD100, pasoD92 libre al manguitoD90; junta axial0.2 por ajustar</x:v>
      </x:c>
      <x:c r="E33" s="7" t="n">
        <x:v>1</x:v>
      </x:c>
      <x:c r="F33" s="7" t="str">
        <x:v>ASTM A36</x:v>
      </x:c>
      <x:c r="G33" s="7" t="str">
        <x:v>Fabricación</x:v>
      </x:c>
      <x:c r="H33" s="9" t="n">
        <x:v>0.000019466313391291758</x:v>
      </x:c>
      <x:c r="I33" s="7" t="n">
        <x:v>7849.999999999999</x:v>
      </x:c>
      <x:c r="J33" s="14" t="n">
        <x:f>H33*I33</x:f>
        <x:v>0.1528105601216403</x:v>
      </x:c>
      <x:c r="K33" s="14" t="n">
        <x:f>IF(ISNUMBER(J33),E33*J33,"n/d")</x:f>
        <x:v>0.1528105601216403</x:v>
      </x:c>
      <x:c r="L33" s="7" t="str">
        <x:v>CAD_volume_x_specified_density</x:v>
      </x:c>
      <x:c r="M33" s="7" t="str">
        <x:v>Plano de conjunto / detalle funcional: TT10_C05_PC_20</x:v>
      </x:c>
      <x:c r="N33" s="7" t="str">
        <x:v>C05E_TT10_C03_TAPA_RETENCION_M.SLDPRT</x:v>
      </x:c>
    </x:row>
    <x:row r="34" ht="34" customHeight="1">
      <x:c r="B34" s="7" t="n">
        <x:v>28</x:v>
      </x:c>
      <x:c r="C34" s="7" t="str">
        <x:v>TT10_C04_ACOPLE_0</x:v>
      </x:c>
      <x:c r="D34" s="7" t="str">
        <x:v>Brida110x8,PCD82/6M8; bore30H7; asiento25, desmontaje axial</x:v>
      </x:c>
      <x:c r="E34" s="7" t="n">
        <x:v>1</x:v>
      </x:c>
      <x:c r="F34" s="7" t="str">
        <x:v>C45E / EN 10083-2</x:v>
      </x:c>
      <x:c r="G34" s="7" t="str">
        <x:v>Fabricación</x:v>
      </x:c>
      <x:c r="H34" s="9" t="n">
        <x:v>0.00010620338624322126</x:v>
      </x:c>
      <x:c r="I34" s="7" t="n">
        <x:v>7850</x:v>
      </x:c>
      <x:c r="J34" s="14" t="n">
        <x:f>H34*I34</x:f>
        <x:v>0.8336965820092869</x:v>
      </x:c>
      <x:c r="K34" s="14" t="n">
        <x:f>IF(ISNUMBER(J34),E34*J34,"n/d")</x:f>
        <x:v>0.8336965820092869</x:v>
      </x:c>
      <x:c r="L34" s="7" t="str">
        <x:v>CAD_volume_x_specified_density</x:v>
      </x:c>
      <x:c r="M34" s="7" t="str">
        <x:v>Plano de conjunto / detalle funcional: TT10_C05_PC_18</x:v>
      </x:c>
      <x:c r="N34" s="7" t="str">
        <x:v>C05E_TT10_C04_ACOPLE_0.SLDPRT</x:v>
      </x:c>
    </x:row>
    <x:row r="35" ht="34" customHeight="1">
      <x:c r="B35" s="7" t="n">
        <x:v>29</x:v>
      </x:c>
      <x:c r="C35" s="7" t="str">
        <x:v>TT10_C04_ACOPLE_1</x:v>
      </x:c>
      <x:c r="D35" s="7" t="str">
        <x:v>Brida110x8,PCD82/6M8; bore30H7; asiento30, desmontaje axial</x:v>
      </x:c>
      <x:c r="E35" s="7" t="n">
        <x:v>1</x:v>
      </x:c>
      <x:c r="F35" s="7" t="str">
        <x:v>C45E / EN 10083-2</x:v>
      </x:c>
      <x:c r="G35" s="7" t="str">
        <x:v>Fabricación</x:v>
      </x:c>
      <x:c r="H35" s="9" t="n">
        <x:v>0.00011081428537665777</x:v>
      </x:c>
      <x:c r="I35" s="7" t="n">
        <x:v>7850</x:v>
      </x:c>
      <x:c r="J35" s="14" t="n">
        <x:f>H35*I35</x:f>
        <x:v>0.8698921402067635</x:v>
      </x:c>
      <x:c r="K35" s="14" t="n">
        <x:f>IF(ISNUMBER(J35),E35*J35,"n/d")</x:f>
        <x:v>0.8698921402067635</x:v>
      </x:c>
      <x:c r="L35" s="7" t="str">
        <x:v>CAD_volume_x_specified_density</x:v>
      </x:c>
      <x:c r="M35" s="7" t="str">
        <x:v>Plano de conjunto / detalle funcional: TT10_C05_PC_18</x:v>
      </x:c>
      <x:c r="N35" s="7" t="str">
        <x:v>C05E_TT10_C04_ACOPLE_1.SLDPRT</x:v>
      </x:c>
    </x:row>
    <x:row r="36" ht="34" customHeight="1">
      <x:c r="B36" s="7" t="n">
        <x:v>30</x:v>
      </x:c>
      <x:c r="C36" s="7" t="str">
        <x:v>TT10_C04_ACOPLE_B8_0</x:v>
      </x:c>
      <x:c r="D36" s="7" t="str">
        <x:v>M8x25,8.8; cabeza exterior; apriete por plano</x:v>
      </x:c>
      <x:c r="E36" s="7" t="n">
        <x:v>4</x:v>
      </x:c>
      <x:c r="F36" s="7" t="str">
        <x:v>Clase 10.9 / ISO 898-1</x:v>
      </x:c>
      <x:c r="G36" s="7" t="str">
        <x:v>Comercial</x:v>
      </x:c>
      <x:c r="H36" s="9" t="n">
        <x:v>0.000002032336015605367</x:v>
      </x:c>
      <x:c r="I36" s="7" t="n">
        <x:v>7850</x:v>
      </x:c>
      <x:c r="J36" s="14" t="n">
        <x:f>H36*I36</x:f>
        <x:v>0.015953837722502133</x:v>
      </x:c>
      <x:c r="K36" s="14" t="n">
        <x:f>IF(ISNUMBER(J36),E36*J36,"n/d")</x:f>
        <x:v>0.06381535089000853</x:v>
      </x:c>
      <x:c r="L36" s="7" t="str">
        <x:v>CAD_volume_x_specified_density</x:v>
      </x:c>
      <x:c r="M36" s="7" t="str">
        <x:v>BOM y montaje TT10_C05_PC_01; sin plano individual</x:v>
      </x:c>
      <x:c r="N36" s="7" t="str">
        <x:v>C05E_TT10_C04_ACOPLE_B8_0.SLDPRT</x:v>
      </x:c>
    </x:row>
    <x:row r="37" ht="34" customHeight="1">
      <x:c r="B37" s="7" t="n">
        <x:v>31</x:v>
      </x:c>
      <x:c r="C37" s="7" t="str">
        <x:v>TT10_C04_ACOPLE_B8_4</x:v>
      </x:c>
      <x:c r="D37" s="7" t="str">
        <x:v>M8x25,8.8; cabeza exterior; apriete por plano</x:v>
      </x:c>
      <x:c r="E37" s="7" t="n">
        <x:v>2</x:v>
      </x:c>
      <x:c r="F37" s="7" t="str">
        <x:v>Clase 10.9 / ISO 898-1</x:v>
      </x:c>
      <x:c r="G37" s="7" t="str">
        <x:v>Comercial</x:v>
      </x:c>
      <x:c r="H37" s="9" t="n">
        <x:v>0.000002032336015605364</x:v>
      </x:c>
      <x:c r="I37" s="7" t="n">
        <x:v>7850</x:v>
      </x:c>
      <x:c r="J37" s="14" t="n">
        <x:f>H37*I37</x:f>
        <x:v>0.01595383772250211</x:v>
      </x:c>
      <x:c r="K37" s="14" t="n">
        <x:f>IF(ISNUMBER(J37),E37*J37,"n/d")</x:f>
        <x:v>0.03190767544500422</x:v>
      </x:c>
      <x:c r="L37" s="7" t="str">
        <x:v>CAD_volume_x_specified_density</x:v>
      </x:c>
      <x:c r="M37" s="7" t="str">
        <x:v>BOM y montaje TT10_C05_PC_01; sin plano individual</x:v>
      </x:c>
      <x:c r="N37" s="7" t="str">
        <x:v>C05E_TT10_C04_ACOPLE_B8_4.SLDPRT</x:v>
      </x:c>
    </x:row>
    <x:row r="38" ht="34" customHeight="1">
      <x:c r="B38" s="7" t="n">
        <x:v>32</x:v>
      </x:c>
      <x:c r="C38" s="7" t="str">
        <x:v>TT10_C04_ACOPLE_N8_0</x:v>
      </x:c>
      <x:c r="D38" s="7" t="str">
        <x:v>TuercaM8 clase8, autoblocante nominal</x:v>
      </x:c>
      <x:c r="E38" s="7" t="n">
        <x:v>4</x:v>
      </x:c>
      <x:c r="F38" s="7" t="str">
        <x:v>Tuerca clase 10 / ISO 898-2</x:v>
      </x:c>
      <x:c r="G38" s="7" t="str">
        <x:v>Comercial</x:v>
      </x:c>
      <x:c r="H38" s="9" t="n">
        <x:v>6.246032700839587e-7</x:v>
      </x:c>
      <x:c r="I38" s="7" t="n">
        <x:v>7850</x:v>
      </x:c>
      <x:c r="J38" s="14" t="n">
        <x:f>H38*I38</x:f>
        <x:v>0.004903135670159075</x:v>
      </x:c>
      <x:c r="K38" s="14" t="n">
        <x:f>IF(ISNUMBER(J38),E38*J38,"n/d")</x:f>
        <x:v>0.0196125426806363</x:v>
      </x:c>
      <x:c r="L38" s="7" t="str">
        <x:v>CAD_volume_x_specified_density</x:v>
      </x:c>
      <x:c r="M38" s="7" t="str">
        <x:v>BOM y montaje TT10_C05_PC_01; sin plano individual</x:v>
      </x:c>
      <x:c r="N38" s="7" t="str">
        <x:v>C05E_TT10_C04_ACOPLE_N8_0.SLDPRT</x:v>
      </x:c>
    </x:row>
    <x:row r="39" ht="34" customHeight="1">
      <x:c r="B39" s="7" t="n">
        <x:v>33</x:v>
      </x:c>
      <x:c r="C39" s="7" t="str">
        <x:v>TT10_C04_ACOPLE_N8_2</x:v>
      </x:c>
      <x:c r="D39" s="7" t="str">
        <x:v>TuercaM8 clase8, autoblocante nominal</x:v>
      </x:c>
      <x:c r="E39" s="7" t="n">
        <x:v>2</x:v>
      </x:c>
      <x:c r="F39" s="7" t="str">
        <x:v>Tuerca clase 10 / ISO 898-2</x:v>
      </x:c>
      <x:c r="G39" s="7" t="str">
        <x:v>Comercial</x:v>
      </x:c>
      <x:c r="H39" s="9" t="n">
        <x:v>6.246032700839448e-7</x:v>
      </x:c>
      <x:c r="I39" s="7" t="n">
        <x:v>7850</x:v>
      </x:c>
      <x:c r="J39" s="14" t="n">
        <x:f>H39*I39</x:f>
        <x:v>0.004903135670158967</x:v>
      </x:c>
      <x:c r="K39" s="14" t="n">
        <x:f>IF(ISNUMBER(J39),E39*J39,"n/d")</x:f>
        <x:v>0.009806271340317934</x:v>
      </x:c>
      <x:c r="L39" s="7" t="str">
        <x:v>CAD_volume_x_specified_density</x:v>
      </x:c>
      <x:c r="M39" s="7" t="str">
        <x:v>BOM y montaje TT10_C05_PC_01; sin plano individual</x:v>
      </x:c>
      <x:c r="N39" s="7" t="str">
        <x:v>C05E_TT10_C04_ACOPLE_N8_2.SLDPRT</x:v>
      </x:c>
    </x:row>
    <x:row r="40" ht="34" customHeight="1">
      <x:c r="B40" s="7" t="n">
        <x:v>34</x:v>
      </x:c>
      <x:c r="C40" s="7" t="str">
        <x:v>TT10_C04_ASIENTO_CHUMACERAS</x:v>
      </x:c>
      <x:c r="D40" s="7" t="str">
        <x:v>Bloque90x180x52.1; cara superior mecanizada y4M12 ciegas28</x:v>
      </x:c>
      <x:c r="E40" s="7" t="n">
        <x:v>1</x:v>
      </x:c>
      <x:c r="F40" s="7" t="str">
        <x:v>Conjunto comprado; acero/ fundición según OEM</x:v>
      </x:c>
      <x:c r="G40" s="7" t="str">
        <x:v>Comercial</x:v>
      </x:c>
      <x:c r="H40" s="9" t="n">
        <x:v>0.0008313530984207246</x:v>
      </x:c>
      <x:c r="I40" s="7"/>
      <x:c r="J40" s="14" t="str">
        <x:v>n/d</x:v>
      </x:c>
      <x:c r="K40" s="14" t="str">
        <x:f>IF(ISNUMBER(J40),E40*J40,"n/d")</x:f>
        <x:v>n/d</x:v>
      </x:c>
      <x:c r="L40" s="7" t="str">
        <x:v>OEM_mass_required</x:v>
      </x:c>
      <x:c r="M40" s="7" t="str">
        <x:v>BOM y montaje TT10_C05_PC_01; sin plano individual</x:v>
      </x:c>
      <x:c r="N40" s="7" t="str">
        <x:v>C05E_TT10_C04_ASIENTO_CHUMACERAS.SLDPRT</x:v>
      </x:c>
    </x:row>
    <x:row r="41" ht="34" customHeight="1">
      <x:c r="B41" s="7" t="n">
        <x:v>35</x:v>
      </x:c>
      <x:c r="C41" s="7" t="str">
        <x:v>TT10_C04_B6008_M6_1_0</x:v>
      </x:c>
      <x:c r="D41" s="7" t="str">
        <x:v>M6x20 ISO7380-1,10.9; contorno nominal</x:v>
      </x:c>
      <x:c r="E41" s="7" t="n">
        <x:v>2</x:v>
      </x:c>
      <x:c r="F41" s="7" t="str">
        <x:v>Clase 10.9 / ISO 898-1</x:v>
      </x:c>
      <x:c r="G41" s="7" t="str">
        <x:v>Comercial</x:v>
      </x:c>
      <x:c r="H41" s="9" t="n">
        <x:v>8.512341644440641e-7</x:v>
      </x:c>
      <x:c r="I41" s="7" t="n">
        <x:v>7850</x:v>
      </x:c>
      <x:c r="J41" s="14" t="n">
        <x:f>H41*I41</x:f>
        <x:v>0.006682188190885903</x:v>
      </x:c>
      <x:c r="K41" s="14" t="n">
        <x:f>IF(ISNUMBER(J41),E41*J41,"n/d")</x:f>
        <x:v>0.013364376381771806</x:v>
      </x:c>
      <x:c r="L41" s="7" t="str">
        <x:v>CAD_volume_x_specified_density</x:v>
      </x:c>
      <x:c r="M41" s="7" t="str">
        <x:v>BOM y montaje TT10_C05_PC_01; sin plano individual</x:v>
      </x:c>
      <x:c r="N41" s="7" t="str">
        <x:v>C05E_TT10_C04_B6008_M6_1_0.SLDPRT</x:v>
      </x:c>
    </x:row>
    <x:row r="42" ht="34" customHeight="1">
      <x:c r="B42" s="7" t="n">
        <x:v>36</x:v>
      </x:c>
      <x:c r="C42" s="7" t="str">
        <x:v>TT10_C04_B6008_M6_1_2</x:v>
      </x:c>
      <x:c r="D42" s="7" t="str">
        <x:v>M6x20 ISO7380-1,10.9; contorno nominal</x:v>
      </x:c>
      <x:c r="E42" s="7" t="n">
        <x:v>1</x:v>
      </x:c>
      <x:c r="F42" s="7" t="str">
        <x:v>Clase 10.9 / ISO 898-1</x:v>
      </x:c>
      <x:c r="G42" s="7" t="str">
        <x:v>Comercial</x:v>
      </x:c>
      <x:c r="H42" s="9" t="n">
        <x:v>8.512341644442754e-7</x:v>
      </x:c>
      <x:c r="I42" s="7" t="n">
        <x:v>7850</x:v>
      </x:c>
      <x:c r="J42" s="14" t="n">
        <x:f>H42*I42</x:f>
        <x:v>0.006682188190887562</x:v>
      </x:c>
      <x:c r="K42" s="14" t="n">
        <x:f>IF(ISNUMBER(J42),E42*J42,"n/d")</x:f>
        <x:v>0.006682188190887562</x:v>
      </x:c>
      <x:c r="L42" s="7" t="str">
        <x:v>CAD_volume_x_specified_density</x:v>
      </x:c>
      <x:c r="M42" s="7" t="str">
        <x:v>BOM y montaje TT10_C05_PC_01; sin plano individual</x:v>
      </x:c>
      <x:c r="N42" s="7" t="str">
        <x:v>C05E_TT10_C04_B6008_M6_1_2.SLDPRT</x:v>
      </x:c>
    </x:row>
    <x:row r="43" ht="34" customHeight="1">
      <x:c r="B43" s="7" t="n">
        <x:v>37</x:v>
      </x:c>
      <x:c r="C43" s="7" t="str">
        <x:v>TT10_C04_B6008_M6_1_3</x:v>
      </x:c>
      <x:c r="D43" s="7" t="str">
        <x:v>M6x20 ISO7380-1,10.9; contorno nominal</x:v>
      </x:c>
      <x:c r="E43" s="7" t="n">
        <x:v>1</x:v>
      </x:c>
      <x:c r="F43" s="7" t="str">
        <x:v>Clase 10.9 / ISO 898-1</x:v>
      </x:c>
      <x:c r="G43" s="7" t="str">
        <x:v>Comercial</x:v>
      </x:c>
      <x:c r="H43" s="9" t="n">
        <x:v>8.512341644440642e-7</x:v>
      </x:c>
      <x:c r="I43" s="7" t="n">
        <x:v>7850</x:v>
      </x:c>
      <x:c r="J43" s="14" t="n">
        <x:f>H43*I43</x:f>
        <x:v>0.006682188190885904</x:v>
      </x:c>
      <x:c r="K43" s="14" t="n">
        <x:f>IF(ISNUMBER(J43),E43*J43,"n/d")</x:f>
        <x:v>0.006682188190885904</x:v>
      </x:c>
      <x:c r="L43" s="7" t="str">
        <x:v>CAD_volume_x_specified_density</x:v>
      </x:c>
      <x:c r="M43" s="7" t="str">
        <x:v>BOM y montaje TT10_C05_PC_01; sin plano individual</x:v>
      </x:c>
      <x:c r="N43" s="7" t="str">
        <x:v>C05E_TT10_C04_B6008_M6_1_3.SLDPRT</x:v>
      </x:c>
    </x:row>
    <x:row r="44" ht="34" customHeight="1">
      <x:c r="B44" s="7" t="n">
        <x:v>38</x:v>
      </x:c>
      <x:c r="C44" s="7" t="str">
        <x:v>TT10_C04_B6008_M6_2_0</x:v>
      </x:c>
      <x:c r="D44" s="7" t="str">
        <x:v>M6x20 ISO7380-1,10.9; contorno nominal</x:v>
      </x:c>
      <x:c r="E44" s="7" t="n">
        <x:v>2</x:v>
      </x:c>
      <x:c r="F44" s="7" t="str">
        <x:v>Clase 10.9 / ISO 898-1</x:v>
      </x:c>
      <x:c r="G44" s="7" t="str">
        <x:v>Comercial</x:v>
      </x:c>
      <x:c r="H44" s="9" t="n">
        <x:v>8.512341644440641e-7</x:v>
      </x:c>
      <x:c r="I44" s="7" t="n">
        <x:v>7850</x:v>
      </x:c>
      <x:c r="J44" s="14" t="n">
        <x:f>H44*I44</x:f>
        <x:v>0.006682188190885903</x:v>
      </x:c>
      <x:c r="K44" s="14" t="n">
        <x:f>IF(ISNUMBER(J44),E44*J44,"n/d")</x:f>
        <x:v>0.013364376381771806</x:v>
      </x:c>
      <x:c r="L44" s="7" t="str">
        <x:v>CAD_volume_x_specified_density</x:v>
      </x:c>
      <x:c r="M44" s="7" t="str">
        <x:v>BOM y montaje TT10_C05_PC_01; sin plano individual</x:v>
      </x:c>
      <x:c r="N44" s="7" t="str">
        <x:v>C05E_TT10_C04_B6008_M6_2_0.SLDPRT</x:v>
      </x:c>
    </x:row>
    <x:row r="45" ht="34" customHeight="1">
      <x:c r="B45" s="7" t="n">
        <x:v>39</x:v>
      </x:c>
      <x:c r="C45" s="7" t="str">
        <x:v>TT10_C04_B6008_M6_2_1</x:v>
      </x:c>
      <x:c r="D45" s="7" t="str">
        <x:v>M6x20 ISO7380-1,10.9; contorno nominal</x:v>
      </x:c>
      <x:c r="E45" s="7" t="n">
        <x:v>2</x:v>
      </x:c>
      <x:c r="F45" s="7" t="str">
        <x:v>Clase 10.9 / ISO 898-1</x:v>
      </x:c>
      <x:c r="G45" s="7" t="str">
        <x:v>Comercial</x:v>
      </x:c>
      <x:c r="H45" s="9" t="n">
        <x:v>8.512341644442754e-7</x:v>
      </x:c>
      <x:c r="I45" s="7" t="n">
        <x:v>7850</x:v>
      </x:c>
      <x:c r="J45" s="14" t="n">
        <x:f>H45*I45</x:f>
        <x:v>0.006682188190887562</x:v>
      </x:c>
      <x:c r="K45" s="14" t="n">
        <x:f>IF(ISNUMBER(J45),E45*J45,"n/d")</x:f>
        <x:v>0.013364376381775124</x:v>
      </x:c>
      <x:c r="L45" s="7" t="str">
        <x:v>CAD_volume_x_specified_density</x:v>
      </x:c>
      <x:c r="M45" s="7" t="str">
        <x:v>BOM y montaje TT10_C05_PC_01; sin plano individual</x:v>
      </x:c>
      <x:c r="N45" s="7" t="str">
        <x:v>C05E_TT10_C04_B6008_M6_2_1.SLDPRT</x:v>
      </x:c>
    </x:row>
    <x:row r="46" ht="34" customHeight="1">
      <x:c r="B46" s="7" t="n">
        <x:v>40</x:v>
      </x:c>
      <x:c r="C46" s="7" t="str">
        <x:v>TT10_C04_BANCADA</x:v>
      </x:c>
      <x:c r="D46" s="7" t="str">
        <x:v>Bancada215x200x20, sobre poste corto; soldaduraa3</x:v>
      </x:c>
      <x:c r="E46" s="7" t="n">
        <x:v>1</x:v>
      </x:c>
      <x:c r="F46" s="7" t="str">
        <x:v>ASTM A36</x:v>
      </x:c>
      <x:c r="G46" s="7" t="str">
        <x:v>Fabricación</x:v>
      </x:c>
      <x:c r="H46" s="9" t="n">
        <x:v>0.0008593214159868261</x:v>
      </x:c>
      <x:c r="I46" s="7" t="n">
        <x:v>7850</x:v>
      </x:c>
      <x:c r="J46" s="14" t="n">
        <x:f>H46*I46</x:f>
        <x:v>6.745673115496585</x:v>
      </x:c>
      <x:c r="K46" s="14" t="n">
        <x:f>IF(ISNUMBER(J46),E46*J46,"n/d")</x:f>
        <x:v>6.745673115496585</x:v>
      </x:c>
      <x:c r="L46" s="7" t="str">
        <x:v>CAD_volume_x_specified_density</x:v>
      </x:c>
      <x:c r="M46" s="7" t="str">
        <x:v>Plano de conjunto / detalle funcional: TT10_C05_PC_16</x:v>
      </x:c>
      <x:c r="N46" s="7" t="str">
        <x:v>C05E_TT10_C04_BANCADA.SLDPRT</x:v>
      </x:c>
    </x:row>
    <x:row r="47" ht="34" customHeight="1">
      <x:c r="B47" s="7" t="n">
        <x:v>41</x:v>
      </x:c>
      <x:c r="C47" s="7" t="str">
        <x:v>TT10_C04_CARTELA_0</x:v>
      </x:c>
      <x:c r="D47" s="7" t="str">
        <x:v>Cartela12,165x55, a3 continuo a placa y poste</x:v>
      </x:c>
      <x:c r="E47" s="7" t="n">
        <x:v>1</x:v>
      </x:c>
      <x:c r="F47" s="7" t="str">
        <x:v>ASTM A36</x:v>
      </x:c>
      <x:c r="G47" s="7" t="str">
        <x:v>Fabricación</x:v>
      </x:c>
      <x:c r="H47" s="9" t="n">
        <x:v>0.00005444999999999798</x:v>
      </x:c>
      <x:c r="I47" s="7" t="n">
        <x:v>7850</x:v>
      </x:c>
      <x:c r="J47" s="14" t="n">
        <x:f>H47*I47</x:f>
        <x:v>0.4274324999999842</x:v>
      </x:c>
      <x:c r="K47" s="14" t="n">
        <x:f>IF(ISNUMBER(J47),E47*J47,"n/d")</x:f>
        <x:v>0.4274324999999842</x:v>
      </x:c>
      <x:c r="L47" s="7" t="str">
        <x:v>CAD_volume_x_specified_density</x:v>
      </x:c>
      <x:c r="M47" s="7" t="str">
        <x:v>Plano de conjunto / detalle funcional: TT10_C05_PC_16</x:v>
      </x:c>
      <x:c r="N47" s="7" t="str">
        <x:v>C05E_TT10_C04_CARTELA_0.SLDPRT</x:v>
      </x:c>
    </x:row>
    <x:row r="48" ht="34" customHeight="1">
      <x:c r="B48" s="7" t="n">
        <x:v>42</x:v>
      </x:c>
      <x:c r="C48" s="7" t="str">
        <x:v>TT10_C04_CARTELA_1</x:v>
      </x:c>
      <x:c r="D48" s="7" t="str">
        <x:v>Cartela12,165x55, a3 continuo a placa y poste</x:v>
      </x:c>
      <x:c r="E48" s="7" t="n">
        <x:v>1</x:v>
      </x:c>
      <x:c r="F48" s="7" t="str">
        <x:v>ASTM A36</x:v>
      </x:c>
      <x:c r="G48" s="7" t="str">
        <x:v>Fabricación</x:v>
      </x:c>
      <x:c r="H48" s="9" t="n">
        <x:v>0.000054449999999997976</x:v>
      </x:c>
      <x:c r="I48" s="7" t="n">
        <x:v>7850</x:v>
      </x:c>
      <x:c r="J48" s="14" t="n">
        <x:f>H48*I48</x:f>
        <x:v>0.4274324999999841</x:v>
      </x:c>
      <x:c r="K48" s="14" t="n">
        <x:f>IF(ISNUMBER(J48),E48*J48,"n/d")</x:f>
        <x:v>0.4274324999999841</x:v>
      </x:c>
      <x:c r="L48" s="7" t="str">
        <x:v>CAD_volume_x_specified_density</x:v>
      </x:c>
      <x:c r="M48" s="7" t="str">
        <x:v>Plano de conjunto / detalle funcional: TT10_C05_PC_16</x:v>
      </x:c>
      <x:c r="N48" s="7" t="str">
        <x:v>C05E_TT10_C04_CARTELA_1.SLDPRT</x:v>
      </x:c>
    </x:row>
    <x:row r="49" ht="34" customHeight="1">
      <x:c r="B49" s="7" t="n">
        <x:v>43</x:v>
      </x:c>
      <x:c r="C49" s="7" t="str">
        <x:v>TT10_C04_CHAVETA_ACOPLE_0</x:v>
      </x:c>
      <x:c r="D49" s="7" t="str">
        <x:v>Chaveta8x7x25</x:v>
      </x:c>
      <x:c r="E49" s="7" t="n">
        <x:v>1</x:v>
      </x:c>
      <x:c r="F49" s="7" t="str">
        <x:v>AISI 4140 bonificado</x:v>
      </x:c>
      <x:c r="G49" s="7" t="str">
        <x:v>Comercial</x:v>
      </x:c>
      <x:c r="H49" s="9" t="n">
        <x:v>0.0000014</x:v>
      </x:c>
      <x:c r="I49" s="7" t="n">
        <x:v>7850</x:v>
      </x:c>
      <x:c r="J49" s="14" t="n">
        <x:f>H49*I49</x:f>
        <x:v>0.01099</x:v>
      </x:c>
      <x:c r="K49" s="14" t="n">
        <x:f>IF(ISNUMBER(J49),E49*J49,"n/d")</x:f>
        <x:v>0.01099</x:v>
      </x:c>
      <x:c r="L49" s="7" t="str">
        <x:v>CAD_volume_x_specified_density</x:v>
      </x:c>
      <x:c r="M49" s="7" t="str">
        <x:v>BOM y montaje TT10_C05_PC_01; sin plano individual</x:v>
      </x:c>
      <x:c r="N49" s="7" t="str">
        <x:v>C05E_TT10_C04_CHAVETA_ACOPLE_0.SLDPRT</x:v>
      </x:c>
    </x:row>
    <x:row r="50" ht="34" customHeight="1">
      <x:c r="B50" s="7" t="n">
        <x:v>44</x:v>
      </x:c>
      <x:c r="C50" s="7" t="str">
        <x:v>TT10_C04_CHAVETA_ACOPLE_1</x:v>
      </x:c>
      <x:c r="D50" s="7" t="str">
        <x:v>Chaveta8x7x30</x:v>
      </x:c>
      <x:c r="E50" s="7" t="n">
        <x:v>1</x:v>
      </x:c>
      <x:c r="F50" s="7" t="str">
        <x:v>AISI 4140 bonificado</x:v>
      </x:c>
      <x:c r="G50" s="7" t="str">
        <x:v>Comercial</x:v>
      </x:c>
      <x:c r="H50" s="9" t="n">
        <x:v>0.00000168</x:v>
      </x:c>
      <x:c r="I50" s="7" t="n">
        <x:v>7850</x:v>
      </x:c>
      <x:c r="J50" s="14" t="n">
        <x:f>H50*I50</x:f>
        <x:v>0.013188</x:v>
      </x:c>
      <x:c r="K50" s="14" t="n">
        <x:f>IF(ISNUMBER(J50),E50*J50,"n/d")</x:f>
        <x:v>0.013188</x:v>
      </x:c>
      <x:c r="L50" s="7" t="str">
        <x:v>CAD_volume_x_specified_density</x:v>
      </x:c>
      <x:c r="M50" s="7" t="str">
        <x:v>BOM y montaje TT10_C05_PC_01; sin plano individual</x:v>
      </x:c>
      <x:c r="N50" s="7" t="str">
        <x:v>C05E_TT10_C04_CHAVETA_ACOPLE_1.SLDPRT</x:v>
      </x:c>
    </x:row>
    <x:row r="51" ht="34" customHeight="1">
      <x:c r="B51" s="7" t="n">
        <x:v>45</x:v>
      </x:c>
      <x:c r="C51" s="7" t="str">
        <x:v>TT10_C04_CHAVETA_CORONA</x:v>
      </x:c>
      <x:c r="D51" s="7" t="str">
        <x:v>Chaveta8x7x40 de corona</x:v>
      </x:c>
      <x:c r="E51" s="7" t="n">
        <x:v>1</x:v>
      </x:c>
      <x:c r="F51" s="7" t="str">
        <x:v>AISI 4140 bonificado</x:v>
      </x:c>
      <x:c r="G51" s="7" t="str">
        <x:v>Comercial</x:v>
      </x:c>
      <x:c r="H51" s="9" t="n">
        <x:v>0.0000022400000000000006</x:v>
      </x:c>
      <x:c r="I51" s="7" t="n">
        <x:v>7850</x:v>
      </x:c>
      <x:c r="J51" s="14" t="n">
        <x:f>H51*I51</x:f>
        <x:v>0.017584000000000006</x:v>
      </x:c>
      <x:c r="K51" s="14" t="n">
        <x:f>IF(ISNUMBER(J51),E51*J51,"n/d")</x:f>
        <x:v>0.017584000000000006</x:v>
      </x:c>
      <x:c r="L51" s="7" t="str">
        <x:v>CAD_volume_x_specified_density</x:v>
      </x:c>
      <x:c r="M51" s="7" t="str">
        <x:v>BOM y montaje TT10_C05_PC_01; sin plano individual</x:v>
      </x:c>
      <x:c r="N51" s="7" t="str">
        <x:v>C05E_TT10_C04_CHAVETA_CORONA.SLDPRT</x:v>
      </x:c>
    </x:row>
    <x:row r="52" ht="34" customHeight="1">
      <x:c r="B52" s="7" t="n">
        <x:v>46</x:v>
      </x:c>
      <x:c r="C52" s="7" t="str">
        <x:v>TT10_C04_CHAVETA_MOTOR</x:v>
      </x:c>
      <x:c r="D52" s="7" t="str">
        <x:v>Chaveta12x8x35, extremos planos; interfaz propia, no ejeOEM aprobado</x:v>
      </x:c>
      <x:c r="E52" s="7" t="n">
        <x:v>1</x:v>
      </x:c>
      <x:c r="F52" s="7" t="str">
        <x:v>Equipo comprado; materiales y masa según ficha OEM</x:v>
      </x:c>
      <x:c r="G52" s="7" t="str">
        <x:v>Comercial</x:v>
      </x:c>
      <x:c r="H52" s="9" t="n">
        <x:v>0.00000336</x:v>
      </x:c>
      <x:c r="I52" s="7"/>
      <x:c r="J52" s="14" t="str">
        <x:v>n/d</x:v>
      </x:c>
      <x:c r="K52" s="14" t="str">
        <x:f>IF(ISNUMBER(J52),E52*J52,"n/d")</x:f>
        <x:v>n/d</x:v>
      </x:c>
      <x:c r="L52" s="7" t="str">
        <x:v>OEM_mass_required</x:v>
      </x:c>
      <x:c r="M52" s="7" t="str">
        <x:v>BOM y montaje TT10_C05_PC_01; sin plano individual</x:v>
      </x:c>
      <x:c r="N52" s="7" t="str">
        <x:v>C05E_TT10_C04_CHAVETA_MOTOR.SLDPRT</x:v>
      </x:c>
    </x:row>
    <x:row r="53" ht="34" customHeight="1">
      <x:c r="B53" s="7" t="n">
        <x:v>47</x:v>
      </x:c>
      <x:c r="C53" s="7" t="str">
        <x:v>TT10_C04_CORONA_20D</x:v>
      </x:c>
      <x:c r="D53" s="7" t="str">
        <x:v>Corona10888120; bore30H7 y chavetero8JS9 abierto al bore en todo su ancho; dentado comprado simplificado</x:v>
      </x:c>
      <x:c r="E53" s="7" t="n">
        <x:v>1</x:v>
      </x:c>
      <x:c r="F53" s="7" t="str">
        <x:v>C45E</x:v>
      </x:c>
      <x:c r="G53" s="7" t="str">
        <x:v>Comercial</x:v>
      </x:c>
      <x:c r="H53" s="9" t="n">
        <x:v>0.0005079433919965839</x:v>
      </x:c>
      <x:c r="I53" s="7"/>
      <x:c r="J53" s="14" t="str">
        <x:v>n/d</x:v>
      </x:c>
      <x:c r="K53" s="14" t="str">
        <x:f>IF(ISNUMBER(J53),E53*J53,"n/d")</x:f>
        <x:v>n/d</x:v>
      </x:c>
      <x:c r="L53" s="7" t="str">
        <x:v>OEM_mass_required</x:v>
      </x:c>
      <x:c r="M53" s="7" t="str">
        <x:v>BOM y montaje TT10_C05_PC_01; sin plano individual</x:v>
      </x:c>
      <x:c r="N53" s="7" t="str">
        <x:v>C05E_TT10_C04_CORONA_20D.SLDPRT</x:v>
      </x:c>
    </x:row>
    <x:row r="54" ht="34" customHeight="1">
      <x:c r="B54" s="7" t="n">
        <x:v>48</x:v>
      </x:c>
      <x:c r="C54" s="7" t="str">
        <x:v>TT10_C04_DIN471_40</x:v>
      </x:c>
      <x:c r="D54" s="7" t="str">
        <x:v>ComprarDIN471-40,1.75; contorno instalado simplificado, no fabricar</x:v>
      </x:c>
      <x:c r="E54" s="7" t="n">
        <x:v>1</x:v>
      </x:c>
      <x:c r="F54" s="7" t="str">
        <x:v>Acero resorte DIN471</x:v>
      </x:c>
      <x:c r="G54" s="7" t="str">
        <x:v>Comercial</x:v>
      </x:c>
      <x:c r="H54" s="9" t="n">
        <x:v>0.0000012063240804338747</x:v>
      </x:c>
      <x:c r="I54" s="7" t="n">
        <x:v>7850</x:v>
      </x:c>
      <x:c r="J54" s="14" t="n">
        <x:f>H54*I54</x:f>
        <x:v>0.009469644031405917</x:v>
      </x:c>
      <x:c r="K54" s="14" t="n">
        <x:f>IF(ISNUMBER(J54),E54*J54,"n/d")</x:f>
        <x:v>0.009469644031405917</x:v>
      </x:c>
      <x:c r="L54" s="7" t="str">
        <x:v>CAD_volume_x_specified_density</x:v>
      </x:c>
      <x:c r="M54" s="7" t="str">
        <x:v>BOM y montaje TT10_C05_PC_01; sin plano individual</x:v>
      </x:c>
      <x:c r="N54" s="7" t="str">
        <x:v>C05E_TT10_C04_DIN471_40.SLDPRT</x:v>
      </x:c>
    </x:row>
    <x:row r="55" ht="34" customHeight="1">
      <x:c r="B55" s="7" t="n">
        <x:v>49</x:v>
      </x:c>
      <x:c r="C55" s="7" t="str">
        <x:v>TT10_C04_EJE_MANUAL</x:v>
      </x:c>
      <x:c r="D55" s="7" t="str">
        <x:v>EjeD30h7,L184; chaveteros8x7, t1=4, extremos planos</x:v>
      </x:c>
      <x:c r="E55" s="7" t="n">
        <x:v>1</x:v>
      </x:c>
      <x:c r="F55" s="7" t="str">
        <x:v>AISI 4140 bonificado</x:v>
      </x:c>
      <x:c r="G55" s="7" t="str">
        <x:v>Fabricación</x:v>
      </x:c>
      <x:c r="H55" s="9" t="n">
        <x:v>0.00012807539232290039</x:v>
      </x:c>
      <x:c r="I55" s="7" t="n">
        <x:v>7849.999999999999</x:v>
      </x:c>
      <x:c r="J55" s="14" t="n">
        <x:f>H55*I55</x:f>
        <x:v>1.005391829734768</x:v>
      </x:c>
      <x:c r="K55" s="14" t="n">
        <x:f>IF(ISNUMBER(J55),E55*J55,"n/d")</x:f>
        <x:v>1.005391829734768</x:v>
      </x:c>
      <x:c r="L55" s="7" t="str">
        <x:v>CAD_volume_x_specified_density</x:v>
      </x:c>
      <x:c r="M55" s="7" t="str">
        <x:v>Plano de conjunto / detalle funcional: TT10_C05_PC_18</x:v>
      </x:c>
      <x:c r="N55" s="7" t="str">
        <x:v>C05E_TT10_C04_EJE_MANUAL.SLDPRT</x:v>
      </x:c>
    </x:row>
    <x:row r="56" ht="34" customHeight="1">
      <x:c r="B56" s="7" t="n">
        <x:v>50</x:v>
      </x:c>
      <x:c r="C56" s="7" t="str">
        <x:v>TT10_C04_EJE_TIMON</x:v>
      </x:c>
      <x:c r="D56" s="7" t="str">
        <x:v>Eje heredado con extremoX1026 y chavetero adicional8x7x30; Mayr conservado</x:v>
      </x:c>
      <x:c r="E56" s="7" t="n">
        <x:v>1</x:v>
      </x:c>
      <x:c r="F56" s="7" t="str">
        <x:v>AISI 4140 bonificado</x:v>
      </x:c>
      <x:c r="G56" s="7" t="str">
        <x:v>Fabricación</x:v>
      </x:c>
      <x:c r="H56" s="9" t="n">
        <x:v>0.00018815632516428727</x:v>
      </x:c>
      <x:c r="I56" s="7" t="n">
        <x:v>7850</x:v>
      </x:c>
      <x:c r="J56" s="14" t="n">
        <x:f>H56*I56</x:f>
        <x:v>1.477027152539655</x:v>
      </x:c>
      <x:c r="K56" s="14" t="n">
        <x:f>IF(ISNUMBER(J56),E56*J56,"n/d")</x:f>
        <x:v>1.477027152539655</x:v>
      </x:c>
      <x:c r="L56" s="7" t="str">
        <x:v>CAD_volume_x_specified_density</x:v>
      </x:c>
      <x:c r="M56" s="7" t="str">
        <x:v>Plano de conjunto / detalle funcional: TT10_C05_PC_17</x:v>
      </x:c>
      <x:c r="N56" s="7" t="str">
        <x:v>C05E_TT10_C04_EJE_TIMON.SLDPRT</x:v>
      </x:c>
    </x:row>
    <x:row r="57" ht="34" customHeight="1">
      <x:c r="B57" s="7" t="n">
        <x:v>51</x:v>
      </x:c>
      <x:c r="C57" s="7" t="str">
        <x:v>TT10_C04_ENTRADA_MOTOR</x:v>
      </x:c>
      <x:c r="D57" s="7" t="str">
        <x:v>Interfaz nominal de entradaD40, separacion2mm del ejecomun; motor comercial aun nominal</x:v>
      </x:c>
      <x:c r="E57" s="7" t="n">
        <x:v>1</x:v>
      </x:c>
      <x:c r="F57" s="7" t="str">
        <x:v>Equipo comprado; materiales y masa según ficha OEM</x:v>
      </x:c>
      <x:c r="G57" s="7" t="str">
        <x:v>Comercial</x:v>
      </x:c>
      <x:c r="H57" s="9" t="n">
        <x:v>0.00010861181960419455</x:v>
      </x:c>
      <x:c r="I57" s="7"/>
      <x:c r="J57" s="14" t="str">
        <x:v>n/d</x:v>
      </x:c>
      <x:c r="K57" s="14" t="str">
        <x:f>IF(ISNUMBER(J57),E57*J57,"n/d")</x:f>
        <x:v>n/d</x:v>
      </x:c>
      <x:c r="L57" s="7" t="str">
        <x:v>OEM_mass_required</x:v>
      </x:c>
      <x:c r="M57" s="7" t="str">
        <x:v>BOM y montaje TT10_C05_PC_01; sin plano individual</x:v>
      </x:c>
      <x:c r="N57" s="7" t="str">
        <x:v>C05E_TT10_C04_ENTRADA_MOTOR.SLDPRT</x:v>
      </x:c>
    </x:row>
    <x:row r="58" ht="34" customHeight="1">
      <x:c r="B58" s="7" t="n">
        <x:v>52</x:v>
      </x:c>
      <x:c r="C58" s="7" t="str">
        <x:v>TT10_C04_ESPACIADOR6008</x:v>
      </x:c>
      <x:c r="D58" s="7" t="str">
        <x:v>Separador7 entre tapa izquierda y anillo exterior6008</x:v>
      </x:c>
      <x:c r="E58" s="7" t="n">
        <x:v>1</x:v>
      </x:c>
      <x:c r="F58" s="7" t="str">
        <x:v>Conjunto comprado; acero/ fundición según OEM</x:v>
      </x:c>
      <x:c r="G58" s="7" t="str">
        <x:v>Comercial</x:v>
      </x:c>
      <x:c r="H58" s="9" t="n">
        <x:v>0.000011527979994568266</x:v>
      </x:c>
      <x:c r="I58" s="7"/>
      <x:c r="J58" s="14" t="str">
        <x:v>n/d</x:v>
      </x:c>
      <x:c r="K58" s="14" t="str">
        <x:f>IF(ISNUMBER(J58),E58*J58,"n/d")</x:f>
        <x:v>n/d</x:v>
      </x:c>
      <x:c r="L58" s="7" t="str">
        <x:v>OEM_mass_required</x:v>
      </x:c>
      <x:c r="M58" s="7" t="str">
        <x:v>BOM y montaje TT10_C05_PC_01; sin plano individual</x:v>
      </x:c>
      <x:c r="N58" s="7" t="str">
        <x:v>C05E_TT10_C04_ESPACIADOR6008.SLDPRT</x:v>
      </x:c>
    </x:row>
    <x:row r="59" ht="34" customHeight="1">
      <x:c r="B59" s="7" t="n">
        <x:v>53</x:v>
      </x:c>
      <x:c r="C59" s="7" t="str">
        <x:v>TT10_C04_GUARDA_ANCLA6_4470</x:v>
      </x:c>
      <x:c r="D59" s="7" t="str">
        <x:v>M6x16,8.8 a bancada; no anclaje a losa</x:v>
      </x:c>
      <x:c r="E59" s="7" t="n">
        <x:v>1</x:v>
      </x:c>
      <x:c r="F59" s="7" t="str">
        <x:v>Tornilleria8.8</x:v>
      </x:c>
      <x:c r="G59" s="7" t="str">
        <x:v>Comercial</x:v>
      </x:c>
      <x:c r="H59" s="9" t="n">
        <x:v>7.381368289150243e-7</x:v>
      </x:c>
      <x:c r="I59" s="7"/>
      <x:c r="J59" s="14" t="str">
        <x:v>n/d</x:v>
      </x:c>
      <x:c r="K59" s="14" t="str">
        <x:f>IF(ISNUMBER(J59),E59*J59,"n/d")</x:f>
        <x:v>n/d</x:v>
      </x:c>
      <x:c r="L59" s="7" t="str">
        <x:v>OEM_mass_required</x:v>
      </x:c>
      <x:c r="M59" s="7" t="str">
        <x:v>BOM y montaje TT10_C05_PC_01; sin plano individual</x:v>
      </x:c>
      <x:c r="N59" s="7" t="str">
        <x:v>C05E_TT10_C04_GUARDA_ANCLA6_4470.SLDPRT</x:v>
      </x:c>
    </x:row>
    <x:row r="60" ht="34" customHeight="1">
      <x:c r="B60" s="7" t="n">
        <x:v>54</x:v>
      </x:c>
      <x:c r="C60" s="7" t="str">
        <x:v>TT10_C04_GUARDA_ANCLA6_4630</x:v>
      </x:c>
      <x:c r="D60" s="7" t="str">
        <x:v>M6x16,8.8 a bancada; no anclaje a losa</x:v>
      </x:c>
      <x:c r="E60" s="7" t="n">
        <x:v>1</x:v>
      </x:c>
      <x:c r="F60" s="7" t="str">
        <x:v>Tornilleria8.8</x:v>
      </x:c>
      <x:c r="G60" s="7" t="str">
        <x:v>Comercial</x:v>
      </x:c>
      <x:c r="H60" s="9" t="n">
        <x:v>7.381368289150243e-7</x:v>
      </x:c>
      <x:c r="I60" s="7"/>
      <x:c r="J60" s="14" t="str">
        <x:v>n/d</x:v>
      </x:c>
      <x:c r="K60" s="14" t="str">
        <x:f>IF(ISNUMBER(J60),E60*J60,"n/d")</x:f>
        <x:v>n/d</x:v>
      </x:c>
      <x:c r="L60" s="7" t="str">
        <x:v>OEM_mass_required</x:v>
      </x:c>
      <x:c r="M60" s="7" t="str">
        <x:v>BOM y montaje TT10_C05_PC_01; sin plano individual</x:v>
      </x:c>
      <x:c r="N60" s="7" t="str">
        <x:v>C05E_TT10_C04_GUARDA_ANCLA6_4630.SLDPRT</x:v>
      </x:c>
    </x:row>
    <x:row r="61" ht="34" customHeight="1">
      <x:c r="B61" s="7" t="n">
        <x:v>55</x:v>
      </x:c>
      <x:c r="C61" s="7" t="str">
        <x:v>TT10_C04_GUARDA_B6_0</x:v>
      </x:c>
      <x:c r="D61" s="7" t="str">
        <x:v>M6x50,8.8 para tapa frontal</x:v>
      </x:c>
      <x:c r="E61" s="7" t="n">
        <x:v>4</x:v>
      </x:c>
      <x:c r="F61" s="7" t="str">
        <x:v>Clase 8.8 / ISO 898-1</x:v>
      </x:c>
      <x:c r="G61" s="7" t="str">
        <x:v>Comercial</x:v>
      </x:c>
      <x:c r="H61" s="9" t="n">
        <x:v>0.0000017601268556293273</x:v>
      </x:c>
      <x:c r="I61" s="7" t="n">
        <x:v>7850</x:v>
      </x:c>
      <x:c r="J61" s="14" t="n">
        <x:f>H61*I61</x:f>
        <x:v>0.01381699581669022</x:v>
      </x:c>
      <x:c r="K61" s="14" t="n">
        <x:f>IF(ISNUMBER(J61),E61*J61,"n/d")</x:f>
        <x:v>0.05526798326676088</x:v>
      </x:c>
      <x:c r="L61" s="7" t="str">
        <x:v>CAD_volume_x_specified_density</x:v>
      </x:c>
      <x:c r="M61" s="7" t="str">
        <x:v>BOM y montaje TT10_C05_PC_01; sin plano individual</x:v>
      </x:c>
      <x:c r="N61" s="7" t="str">
        <x:v>C05E_TT10_C04_GUARDA_B6_0.SLDPRT</x:v>
      </x:c>
    </x:row>
    <x:row r="62" ht="34" customHeight="1">
      <x:c r="B62" s="7" t="n">
        <x:v>56</x:v>
      </x:c>
      <x:c r="C62" s="7" t="str">
        <x:v>TT10_C04_GUARDA_BANDA</x:v>
      </x:c>
      <x:c r="D62" s="7" t="str">
        <x:v>Banda2, ancho36; tapa inferior; soldar a posterior, frontal desmontable</x:v>
      </x:c>
      <x:c r="E62" s="7" t="n">
        <x:v>1</x:v>
      </x:c>
      <x:c r="F62" s="7" t="str">
        <x:v>ASTM A36</x:v>
      </x:c>
      <x:c r="G62" s="7" t="str">
        <x:v>Fabricación</x:v>
      </x:c>
      <x:c r="H62" s="9" t="n">
        <x:v>0.0002416394919737091</x:v>
      </x:c>
      <x:c r="I62" s="7" t="n">
        <x:v>7850</x:v>
      </x:c>
      <x:c r="J62" s="14" t="n">
        <x:f>H62*I62</x:f>
        <x:v>1.8968700119936164</x:v>
      </x:c>
      <x:c r="K62" s="14" t="n">
        <x:f>IF(ISNUMBER(J62),E62*J62,"n/d")</x:f>
        <x:v>1.8968700119936164</x:v>
      </x:c>
      <x:c r="L62" s="7" t="str">
        <x:v>CAD_volume_x_specified_density</x:v>
      </x:c>
      <x:c r="M62" s="7" t="str">
        <x:v>Plano de conjunto / detalle funcional: TT10_C05_PC_19</x:v>
      </x:c>
      <x:c r="N62" s="7" t="str">
        <x:v>C05E_TT10_C04_GUARDA_BANDA.SLDPRT</x:v>
      </x:c>
    </x:row>
    <x:row r="63" ht="34" customHeight="1">
      <x:c r="B63" s="7" t="n">
        <x:v>57</x:v>
      </x:c>
      <x:c r="C63" s="7" t="str">
        <x:v>TT10_C04_GUARDA_BASEW6_4470</x:v>
      </x:c>
      <x:c r="D63" s="7" t="str">
        <x:v>Arandela6,12x6.6x2</x:v>
      </x:c>
      <x:c r="E63" s="7" t="n">
        <x:v>1</x:v>
      </x:c>
      <x:c r="F63" s="7" t="str">
        <x:v>Arandela endurecida 300 HV / ISO 7089</x:v>
      </x:c>
      <x:c r="G63" s="7" t="str">
        <x:v>Comercial</x:v>
      </x:c>
      <x:c r="H63" s="9" t="n">
        <x:v>1.5777078306328167e-7</x:v>
      </x:c>
      <x:c r="I63" s="7"/>
      <x:c r="J63" s="14" t="str">
        <x:v>n/d</x:v>
      </x:c>
      <x:c r="K63" s="14" t="str">
        <x:f>IF(ISNUMBER(J63),E63*J63,"n/d")</x:f>
        <x:v>n/d</x:v>
      </x:c>
      <x:c r="L63" s="7" t="str">
        <x:v>OEM_mass_required</x:v>
      </x:c>
      <x:c r="M63" s="7" t="str">
        <x:v>BOM y montaje TT10_C05_PC_01; sin plano individual</x:v>
      </x:c>
      <x:c r="N63" s="7" t="str">
        <x:v>C05E_TT10_C04_GUARDA_BASEW6_4470.SLDPRT</x:v>
      </x:c>
    </x:row>
    <x:row r="64" ht="34" customHeight="1">
      <x:c r="B64" s="7" t="n">
        <x:v>58</x:v>
      </x:c>
      <x:c r="C64" s="7" t="str">
        <x:v>TT10_C04_GUARDA_BASEW6_4630</x:v>
      </x:c>
      <x:c r="D64" s="7" t="str">
        <x:v>Arandela6,12x6.6x2</x:v>
      </x:c>
      <x:c r="E64" s="7" t="n">
        <x:v>1</x:v>
      </x:c>
      <x:c r="F64" s="7" t="str">
        <x:v>Arandela endurecida 300 HV / ISO 7089</x:v>
      </x:c>
      <x:c r="G64" s="7" t="str">
        <x:v>Comercial</x:v>
      </x:c>
      <x:c r="H64" s="9" t="n">
        <x:v>1.5777078306328167e-7</x:v>
      </x:c>
      <x:c r="I64" s="7"/>
      <x:c r="J64" s="14" t="str">
        <x:v>n/d</x:v>
      </x:c>
      <x:c r="K64" s="14" t="str">
        <x:f>IF(ISNUMBER(J64),E64*J64,"n/d")</x:f>
        <x:v>n/d</x:v>
      </x:c>
      <x:c r="L64" s="7" t="str">
        <x:v>OEM_mass_required</x:v>
      </x:c>
      <x:c r="M64" s="7" t="str">
        <x:v>BOM y montaje TT10_C05_PC_01; sin plano individual</x:v>
      </x:c>
      <x:c r="N64" s="7" t="str">
        <x:v>C05E_TT10_C04_GUARDA_BASEW6_4630.SLDPRT</x:v>
      </x:c>
    </x:row>
    <x:row r="65" ht="34" customHeight="1">
      <x:c r="B65" s="7" t="n">
        <x:v>59</x:v>
      </x:c>
      <x:c r="C65" s="7" t="str">
        <x:v>TT10_C04_GUARDA_FRONTAL</x:v>
      </x:c>
      <x:c r="D65" s="7" t="str">
        <x:v>Chapa2; contorno de cadena; inferiorZ1107; paso superior/FRONTAL</x:v>
      </x:c>
      <x:c r="E65" s="7" t="n">
        <x:v>1</x:v>
      </x:c>
      <x:c r="F65" s="7" t="str">
        <x:v>ASTM A36</x:v>
      </x:c>
      <x:c r="G65" s="7" t="str">
        <x:v>Fabricación</x:v>
      </x:c>
      <x:c r="H65" s="9" t="n">
        <x:v>0.0005733569496685841</x:v>
      </x:c>
      <x:c r="I65" s="7" t="n">
        <x:v>7850</x:v>
      </x:c>
      <x:c r="J65" s="14" t="n">
        <x:f>H65*I65</x:f>
        <x:v>4.5008520548983855</x:v>
      </x:c>
      <x:c r="K65" s="14" t="n">
        <x:f>IF(ISNUMBER(J65),E65*J65,"n/d")</x:f>
        <x:v>4.5008520548983855</x:v>
      </x:c>
      <x:c r="L65" s="7" t="str">
        <x:v>CAD_volume_x_specified_density</x:v>
      </x:c>
      <x:c r="M65" s="7" t="str">
        <x:v>Plano de conjunto / detalle funcional: TT10_C05_PC_19</x:v>
      </x:c>
      <x:c r="N65" s="7" t="str">
        <x:v>C05E_TT10_C04_GUARDA_FRONTAL.SLDPRT</x:v>
      </x:c>
    </x:row>
    <x:row r="66" ht="34" customHeight="1">
      <x:c r="B66" s="7" t="n">
        <x:v>60</x:v>
      </x:c>
      <x:c r="C66" s="7" t="str">
        <x:v>TT10_C04_GUARDA_N6_0</x:v>
      </x:c>
      <x:c r="D66" s="7" t="str">
        <x:v>TuercaM6 autoblocante metalica; contorno nominal</x:v>
      </x:c>
      <x:c r="E66" s="7" t="n">
        <x:v>3</x:v>
      </x:c>
      <x:c r="F66" s="7" t="str">
        <x:v>Tornilleria8</x:v>
      </x:c>
      <x:c r="G66" s="7" t="str">
        <x:v>Comercial</x:v>
      </x:c>
      <x:c r="H66" s="9" t="n">
        <x:v>3.4996923897681935e-7</x:v>
      </x:c>
      <x:c r="I66" s="7"/>
      <x:c r="J66" s="14" t="str">
        <x:v>n/d</x:v>
      </x:c>
      <x:c r="K66" s="14" t="str">
        <x:f>IF(ISNUMBER(J66),E66*J66,"n/d")</x:f>
        <x:v>n/d</x:v>
      </x:c>
      <x:c r="L66" s="7" t="str">
        <x:v>OEM_mass_required</x:v>
      </x:c>
      <x:c r="M66" s="7" t="str">
        <x:v>BOM y montaje TT10_C05_PC_01; sin plano individual</x:v>
      </x:c>
      <x:c r="N66" s="7" t="str">
        <x:v>C05E_TT10_C04_GUARDA_N6_0.SLDPRT</x:v>
      </x:c>
    </x:row>
    <x:row r="67" ht="34" customHeight="1">
      <x:c r="B67" s="7" t="n">
        <x:v>61</x:v>
      </x:c>
      <x:c r="C67" s="7" t="str">
        <x:v>TT10_C04_GUARDA_N6_2</x:v>
      </x:c>
      <x:c r="D67" s="7" t="str">
        <x:v>TuercaM6 autoblocante metalica; contorno nominal</x:v>
      </x:c>
      <x:c r="E67" s="7" t="n">
        <x:v>1</x:v>
      </x:c>
      <x:c r="F67" s="7" t="str">
        <x:v>Tornilleria8</x:v>
      </x:c>
      <x:c r="G67" s="7" t="str">
        <x:v>Comercial</x:v>
      </x:c>
      <x:c r="H67" s="9" t="n">
        <x:v>3.4996923897680585e-7</x:v>
      </x:c>
      <x:c r="I67" s="7"/>
      <x:c r="J67" s="14" t="str">
        <x:v>n/d</x:v>
      </x:c>
      <x:c r="K67" s="14" t="str">
        <x:f>IF(ISNUMBER(J67),E67*J67,"n/d")</x:f>
        <x:v>n/d</x:v>
      </x:c>
      <x:c r="L67" s="7" t="str">
        <x:v>OEM_mass_required</x:v>
      </x:c>
      <x:c r="M67" s="7" t="str">
        <x:v>BOM y montaje TT10_C05_PC_01; sin plano individual</x:v>
      </x:c>
      <x:c r="N67" s="7" t="str">
        <x:v>C05E_TT10_C04_GUARDA_N6_2.SLDPRT</x:v>
      </x:c>
    </x:row>
    <x:row r="68" ht="34" customHeight="1">
      <x:c r="B68" s="7" t="n">
        <x:v>62</x:v>
      </x:c>
      <x:c r="C68" s="7" t="str">
        <x:v>TT10_C04_GUARDA_POSTERIOR</x:v>
      </x:c>
      <x:c r="D68" s="7" t="str">
        <x:v>Chapa2; contorno de cadena; inferiorZ1107; paso superior/POSTERIOR</x:v>
      </x:c>
      <x:c r="E68" s="7" t="n">
        <x:v>1</x:v>
      </x:c>
      <x:c r="F68" s="7" t="str">
        <x:v>ASTM A36</x:v>
      </x:c>
      <x:c r="G68" s="7" t="str">
        <x:v>Fabricación</x:v>
      </x:c>
      <x:c r="H68" s="9" t="n">
        <x:v>0.0005688180951067638</x:v>
      </x:c>
      <x:c r="I68" s="7" t="n">
        <x:v>7849.999999999999</x:v>
      </x:c>
      <x:c r="J68" s="14" t="n">
        <x:f>H68*I68</x:f>
        <x:v>4.465222046588096</x:v>
      </x:c>
      <x:c r="K68" s="14" t="n">
        <x:f>IF(ISNUMBER(J68),E68*J68,"n/d")</x:f>
        <x:v>4.465222046588096</x:v>
      </x:c>
      <x:c r="L68" s="7" t="str">
        <x:v>CAD_volume_x_specified_density</x:v>
      </x:c>
      <x:c r="M68" s="7" t="str">
        <x:v>Plano de conjunto / detalle funcional: TT10_C05_PC_19</x:v>
      </x:c>
      <x:c r="N68" s="7" t="str">
        <x:v>C05E_TT10_C04_GUARDA_POSTERIOR.SLDPRT</x:v>
      </x:c>
    </x:row>
    <x:row r="69" ht="34" customHeight="1">
      <x:c r="B69" s="7" t="n">
        <x:v>63</x:v>
      </x:c>
      <x:c r="C69" s="7" t="str">
        <x:v>TT10_C04_GUARDA_W6_0</x:v>
      </x:c>
      <x:c r="D69" s="7" t="str">
        <x:v>ArandelaM6,12x6.6x1.6</x:v>
      </x:c>
      <x:c r="E69" s="7" t="n">
        <x:v>3</x:v>
      </x:c>
      <x:c r="F69" s="7" t="str">
        <x:v>Arandela endurecida 300 HV / ISO 7089</x:v>
      </x:c>
      <x:c r="G69" s="7" t="str">
        <x:v>Comercial</x:v>
      </x:c>
      <x:c r="H69" s="9" t="n">
        <x:v>1.2621662645062634e-7</x:v>
      </x:c>
      <x:c r="I69" s="7"/>
      <x:c r="J69" s="14" t="str">
        <x:v>n/d</x:v>
      </x:c>
      <x:c r="K69" s="14" t="str">
        <x:f>IF(ISNUMBER(J69),E69*J69,"n/d")</x:f>
        <x:v>n/d</x:v>
      </x:c>
      <x:c r="L69" s="7" t="str">
        <x:v>OEM_mass_required</x:v>
      </x:c>
      <x:c r="M69" s="7" t="str">
        <x:v>BOM y montaje TT10_C05_PC_01; sin plano individual</x:v>
      </x:c>
      <x:c r="N69" s="7" t="str">
        <x:v>C05E_TT10_C04_GUARDA_W6_0.SLDPRT</x:v>
      </x:c>
    </x:row>
    <x:row r="70" ht="34" customHeight="1">
      <x:c r="B70" s="7" t="n">
        <x:v>64</x:v>
      </x:c>
      <x:c r="C70" s="7" t="str">
        <x:v>TT10_C04_GUARDA_W6_2</x:v>
      </x:c>
      <x:c r="D70" s="7" t="str">
        <x:v>ArandelaM6,12x6.6x1.6</x:v>
      </x:c>
      <x:c r="E70" s="7" t="n">
        <x:v>1</x:v>
      </x:c>
      <x:c r="F70" s="7" t="str">
        <x:v>Arandela endurecida 300 HV / ISO 7089</x:v>
      </x:c>
      <x:c r="G70" s="7" t="str">
        <x:v>Comercial</x:v>
      </x:c>
      <x:c r="H70" s="9" t="n">
        <x:v>1.2621662645062496e-7</x:v>
      </x:c>
      <x:c r="I70" s="7"/>
      <x:c r="J70" s="14" t="str">
        <x:v>n/d</x:v>
      </x:c>
      <x:c r="K70" s="14" t="str">
        <x:f>IF(ISNUMBER(J70),E70*J70,"n/d")</x:f>
        <x:v>n/d</x:v>
      </x:c>
      <x:c r="L70" s="7" t="str">
        <x:v>OEM_mass_required</x:v>
      </x:c>
      <x:c r="M70" s="7" t="str">
        <x:v>BOM y montaje TT10_C05_PC_01; sin plano individual</x:v>
      </x:c>
      <x:c r="N70" s="7" t="str">
        <x:v>C05E_TT10_C04_GUARDA_W6_2.SLDPRT</x:v>
      </x:c>
    </x:row>
    <x:row r="71" ht="34" customHeight="1">
      <x:c r="B71" s="7" t="n">
        <x:v>65</x:v>
      </x:c>
      <x:c r="C71" s="7" t="str">
        <x:v>TT10_C04_PEDESTAL_SELECTOR</x:v>
      </x:c>
      <x:c r="D71" s="7" t="str">
        <x:v>Pedestal con ventana46 para paso real de cadena/resguardo; soporte local por verificar</x:v>
      </x:c>
      <x:c r="E71" s="7" t="n">
        <x:v>1</x:v>
      </x:c>
      <x:c r="F71" s="7" t="str">
        <x:v>ASTM A36</x:v>
      </x:c>
      <x:c r="G71" s="7" t="str">
        <x:v>Fabricación</x:v>
      </x:c>
      <x:c r="H71" s="9" t="n">
        <x:v>0.015469772859638374</x:v>
      </x:c>
      <x:c r="I71" s="7" t="n">
        <x:v>7850</x:v>
      </x:c>
      <x:c r="J71" s="14" t="n">
        <x:f>H71*I71</x:f>
        <x:v>121.43771694816124</x:v>
      </x:c>
      <x:c r="K71" s="14" t="n">
        <x:f>IF(ISNUMBER(J71),E71*J71,"n/d")</x:f>
        <x:v>121.43771694816124</x:v>
      </x:c>
      <x:c r="L71" s="7" t="str">
        <x:v>CAD_volume_x_specified_density</x:v>
      </x:c>
      <x:c r="M71" s="7" t="str">
        <x:v>Plano de conjunto / detalle funcional: TT10_C05_PC_20</x:v>
      </x:c>
      <x:c r="N71" s="7" t="str">
        <x:v>C05E_TT10_C04_PEDESTAL_SELECTOR.SLDPRT</x:v>
      </x:c>
    </x:row>
    <x:row r="72" ht="34" customHeight="1">
      <x:c r="B72" s="7" t="n">
        <x:v>66</x:v>
      </x:c>
      <x:c r="C72" s="7" t="str">
        <x:v>TT10_C04_PLACA_TIMON</x:v>
      </x:c>
      <x:c r="D72" s="7" t="str">
        <x:v>Placa de estacion existente con ventanaR57x25 para bridas110; apoyos yMayr conservados</x:v>
      </x:c>
      <x:c r="E72" s="7" t="n">
        <x:v>1</x:v>
      </x:c>
      <x:c r="F72" s="7" t="str">
        <x:v>ASTM A36</x:v>
      </x:c>
      <x:c r="G72" s="7" t="str">
        <x:v>Fabricación</x:v>
      </x:c>
      <x:c r="H72" s="9" t="n">
        <x:v>0.0008594370989169573</x:v>
      </x:c>
      <x:c r="I72" s="7" t="n">
        <x:v>7850.000000000001</x:v>
      </x:c>
      <x:c r="J72" s="14" t="n">
        <x:f>H72*I72</x:f>
        <x:v>6.746581226498115</x:v>
      </x:c>
      <x:c r="K72" s="14" t="n">
        <x:f>IF(ISNUMBER(J72),E72*J72,"n/d")</x:f>
        <x:v>6.746581226498115</x:v>
      </x:c>
      <x:c r="L72" s="7" t="str">
        <x:v>CAD_volume_x_specified_density</x:v>
      </x:c>
      <x:c r="M72" s="7" t="str">
        <x:v>Plano de conjunto / detalle funcional: TT10_C05_PC_17</x:v>
      </x:c>
      <x:c r="N72" s="7" t="str">
        <x:v>C05E_TT10_C04_PLACA_TIMON.SLDPRT</x:v>
      </x:c>
    </x:row>
    <x:row r="73" ht="34" customHeight="1">
      <x:c r="B73" s="7" t="n">
        <x:v>67</x:v>
      </x:c>
      <x:c r="C73" s="7" t="str">
        <x:v>TT10_C04_SELECTOR_APOYO_1</x:v>
      </x:c>
      <x:c r="D73" s="7" t="str">
        <x:v>Asiento6008 abierto; montaje axial y4M6PCD84; no cavidad inaccesible</x:v>
      </x:c>
      <x:c r="E73" s="7" t="n">
        <x:v>1</x:v>
      </x:c>
      <x:c r="F73" s="7" t="str">
        <x:v>Conjunto comprado; acero/ fundición según OEM</x:v>
      </x:c>
      <x:c r="G73" s="7" t="str">
        <x:v>Comercial</x:v>
      </x:c>
      <x:c r="H73" s="9" t="n">
        <x:v>0.0005119509455135512</x:v>
      </x:c>
      <x:c r="I73" s="7"/>
      <x:c r="J73" s="14" t="str">
        <x:v>n/d</x:v>
      </x:c>
      <x:c r="K73" s="14" t="str">
        <x:f>IF(ISNUMBER(J73),E73*J73,"n/d")</x:f>
        <x:v>n/d</x:v>
      </x:c>
      <x:c r="L73" s="7" t="str">
        <x:v>OEM_mass_required</x:v>
      </x:c>
      <x:c r="M73" s="7" t="str">
        <x:v>BOM y montaje TT10_C05_PC_01; sin plano individual</x:v>
      </x:c>
      <x:c r="N73" s="7" t="str">
        <x:v>C05E_TT10_C04_SELECTOR_APOYO_1.SLDPRT</x:v>
      </x:c>
    </x:row>
    <x:row r="74" ht="34" customHeight="1">
      <x:c r="B74" s="7" t="n">
        <x:v>68</x:v>
      </x:c>
      <x:c r="C74" s="7" t="str">
        <x:v>TT10_C04_SELECTOR_APOYO_2</x:v>
      </x:c>
      <x:c r="D74" s="7" t="str">
        <x:v>Asiento6008 abierto; montaje axial y4M6PCD84; no cavidad inaccesible</x:v>
      </x:c>
      <x:c r="E74" s="7" t="n">
        <x:v>1</x:v>
      </x:c>
      <x:c r="F74" s="7" t="str">
        <x:v>Conjunto comprado; acero/ fundición según OEM</x:v>
      </x:c>
      <x:c r="G74" s="7" t="str">
        <x:v>Comercial</x:v>
      </x:c>
      <x:c r="H74" s="9" t="n">
        <x:v>0.0003777460511416506</x:v>
      </x:c>
      <x:c r="I74" s="7"/>
      <x:c r="J74" s="14" t="str">
        <x:v>n/d</x:v>
      </x:c>
      <x:c r="K74" s="14" t="str">
        <x:f>IF(ISNUMBER(J74),E74*J74,"n/d")</x:f>
        <x:v>n/d</x:v>
      </x:c>
      <x:c r="L74" s="7" t="str">
        <x:v>OEM_mass_required</x:v>
      </x:c>
      <x:c r="M74" s="7" t="str">
        <x:v>BOM y montaje TT10_C05_PC_01; sin plano individual</x:v>
      </x:c>
      <x:c r="N74" s="7" t="str">
        <x:v>C05E_TT10_C04_SELECTOR_APOYO_2.SLDPRT</x:v>
      </x:c>
    </x:row>
    <x:row r="75" ht="34" customHeight="1">
      <x:c r="B75" s="7" t="n">
        <x:v>69</x:v>
      </x:c>
      <x:c r="C75" s="7" t="str">
        <x:v>TT10_C04_SELECTOR_BASE</x:v>
      </x:c>
      <x:c r="D75" s="7" t="str">
        <x:v>Soporte con ventana46mm para cadena y guarda; caras restantes transmiten apoyo</x:v>
      </x:c>
      <x:c r="E75" s="7" t="n">
        <x:v>1</x:v>
      </x:c>
      <x:c r="F75" s="7" t="str">
        <x:v>ASTM A36</x:v>
      </x:c>
      <x:c r="G75" s="7" t="str">
        <x:v>Fabricación</x:v>
      </x:c>
      <x:c r="H75" s="9" t="n">
        <x:v>0.0013535143587540077</x:v>
      </x:c>
      <x:c r="I75" s="7" t="n">
        <x:v>7850</x:v>
      </x:c>
      <x:c r="J75" s="14" t="n">
        <x:f>H75*I75</x:f>
        <x:v>10.62508771621896</x:v>
      </x:c>
      <x:c r="K75" s="14" t="n">
        <x:f>IF(ISNUMBER(J75),E75*J75,"n/d")</x:f>
        <x:v>10.62508771621896</x:v>
      </x:c>
      <x:c r="L75" s="7" t="str">
        <x:v>CAD_volume_x_specified_density</x:v>
      </x:c>
      <x:c r="M75" s="7" t="str">
        <x:v>Plano de conjunto / detalle funcional: TT10_C05_PC_20</x:v>
      </x:c>
      <x:c r="N75" s="7" t="str">
        <x:v>C05E_TT10_C04_SELECTOR_BASE.SLDPRT</x:v>
      </x:c>
    </x:row>
    <x:row r="76" ht="34" customHeight="1">
      <x:c r="B76" s="7" t="n">
        <x:v>70</x:v>
      </x:c>
      <x:c r="C76" s="7" t="str">
        <x:v>TT10_C04_SELECTOR_CUBO_E</x:v>
      </x:c>
      <x:c r="D76" s="7" t="str">
        <x:v>CuboE con extension; pasoD41 hastaX1062, socketD40H7 y chavetero12x35</x:v>
      </x:c>
      <x:c r="E76" s="7" t="n">
        <x:v>1</x:v>
      </x:c>
      <x:c r="F76" s="7" t="str">
        <x:v>AISI 4140 bonificado</x:v>
      </x:c>
      <x:c r="G76" s="7" t="str">
        <x:v>Fabricación</x:v>
      </x:c>
      <x:c r="H76" s="9" t="n">
        <x:v>0.0005144480674589751</x:v>
      </x:c>
      <x:c r="I76" s="7" t="n">
        <x:v>7850.000000000001</x:v>
      </x:c>
      <x:c r="J76" s="14" t="n">
        <x:f>H76*I76</x:f>
        <x:v>4.038417329552955</x:v>
      </x:c>
      <x:c r="K76" s="14" t="n">
        <x:f>IF(ISNUMBER(J76),E76*J76,"n/d")</x:f>
        <x:v>4.038417329552955</x:v>
      </x:c>
      <x:c r="L76" s="7" t="str">
        <x:v>CAD_volume_x_specified_density</x:v>
      </x:c>
      <x:c r="M76" s="7" t="str">
        <x:v>Plano de conjunto / detalle funcional: TT10_C05_PC_21</x:v>
      </x:c>
      <x:c r="N76" s="7" t="str">
        <x:v>C05E_TT10_C04_SELECTOR_CUBO_E.SLDPRT</x:v>
      </x:c>
    </x:row>
    <x:row r="77" ht="34" customHeight="1">
      <x:c r="B77" s="7" t="n">
        <x:v>71</x:v>
      </x:c>
      <x:c r="C77" s="7" t="str">
        <x:v>TT10_C04_SELECTOR_EJE</x:v>
      </x:c>
      <x:c r="D77" s="7" t="str">
        <x:v>Eje D40h6; extremoX1060; ranuraDIN471D37.5x1.85 enX855.1</x:v>
      </x:c>
      <x:c r="E77" s="7" t="n">
        <x:v>1</x:v>
      </x:c>
      <x:c r="F77" s="7" t="str">
        <x:v>42CrMo4+QT; pistas58-64HRC</x:v>
      </x:c>
      <x:c r="G77" s="7" t="str">
        <x:v>Fabricación</x:v>
      </x:c>
      <x:c r="H77" s="9" t="n">
        <x:v>0.00041275961987988273</x:v>
      </x:c>
      <x:c r="I77" s="7" t="n">
        <x:v>7850</x:v>
      </x:c>
      <x:c r="J77" s="14" t="n">
        <x:f>H77*I77</x:f>
        <x:v>3.2401630160570796</x:v>
      </x:c>
      <x:c r="K77" s="14" t="n">
        <x:f>IF(ISNUMBER(J77),E77*J77,"n/d")</x:f>
        <x:v>3.2401630160570796</x:v>
      </x:c>
      <x:c r="L77" s="7" t="str">
        <x:v>Volumen CAD y densidad de fuente de diseño (7850 kg/m³)</x:v>
      </x:c>
      <x:c r="M77" s="7" t="str">
        <x:v>Plano de conjunto / detalle funcional: TT10_C05_PC_21</x:v>
      </x:c>
      <x:c r="N77" s="7" t="str">
        <x:v>C05E_TT10_C04_SELECTOR_EJE.SLDPRT</x:v>
      </x:c>
    </x:row>
    <x:row r="78" ht="34" customHeight="1">
      <x:c r="B78" s="7" t="n">
        <x:v>72</x:v>
      </x:c>
      <x:c r="C78" s="7" t="str">
        <x:v>TT10_C04_SELECTOR_ESPACIADOR</x:v>
      </x:c>
      <x:c r="D78" s="7" t="str">
        <x:v>Soporte con ventana46mm para cadena y guarda; caras restantes transmiten apoyo</x:v>
      </x:c>
      <x:c r="E78" s="7" t="n">
        <x:v>1</x:v>
      </x:c>
      <x:c r="F78" s="7" t="str">
        <x:v>ASTM A36</x:v>
      </x:c>
      <x:c r="G78" s="7" t="str">
        <x:v>Fabricación</x:v>
      </x:c>
      <x:c r="H78" s="9" t="n">
        <x:v>0.0008280000000000021</x:v>
      </x:c>
      <x:c r="I78" s="7" t="n">
        <x:v>7850</x:v>
      </x:c>
      <x:c r="J78" s="14" t="n">
        <x:f>H78*I78</x:f>
        <x:v>6.4998000000000165</x:v>
      </x:c>
      <x:c r="K78" s="14" t="n">
        <x:f>IF(ISNUMBER(J78),E78*J78,"n/d")</x:f>
        <x:v>6.4998000000000165</x:v>
      </x:c>
      <x:c r="L78" s="7" t="str">
        <x:v>CAD_volume_x_specified_density</x:v>
      </x:c>
      <x:c r="M78" s="7" t="str">
        <x:v>Plano de conjunto / detalle funcional: TT10_C05_PC_20</x:v>
      </x:c>
      <x:c r="N78" s="7" t="str">
        <x:v>C05E_TT10_C04_SELECTOR_ESPACIADOR.SLDPRT</x:v>
      </x:c>
    </x:row>
    <x:row r="79" ht="34" customHeight="1">
      <x:c r="B79" s="7" t="n">
        <x:v>73</x:v>
      </x:c>
      <x:c r="C79" s="7" t="str">
        <x:v>TT10_C04_SY30_B12_930_4491.25</x:v>
      </x:c>
      <x:c r="D79" s="7" t="str">
        <x:v>M12x45,8.8;25.5mm nominales de rosca util</x:v>
      </x:c>
      <x:c r="E79" s="7" t="n">
        <x:v>2</x:v>
      </x:c>
      <x:c r="F79" s="7" t="str">
        <x:v>Clase 8.8 / ISO 898-1</x:v>
      </x:c>
      <x:c r="G79" s="7" t="str">
        <x:v>Comercial</x:v>
      </x:c>
      <x:c r="H79" s="9" t="n">
        <x:v>0.00000719382183001167</x:v>
      </x:c>
      <x:c r="I79" s="7" t="n">
        <x:v>7850</x:v>
      </x:c>
      <x:c r="J79" s="14" t="n">
        <x:f>H79*I79</x:f>
        <x:v>0.056471501365591606</x:v>
      </x:c>
      <x:c r="K79" s="14" t="n">
        <x:f>IF(ISNUMBER(J79),E79*J79,"n/d")</x:f>
        <x:v>0.11294300273118321</x:v>
      </x:c>
      <x:c r="L79" s="7" t="str">
        <x:v>CAD_volume_x_specified_density</x:v>
      </x:c>
      <x:c r="M79" s="7" t="str">
        <x:v>BOM y montaje TT10_C05_PC_01; sin plano individual</x:v>
      </x:c>
      <x:c r="N79" s="7" t="str">
        <x:v>C05E_TT10_C04_SY30_B12_930_4491.25.SLDPRT</x:v>
      </x:c>
    </x:row>
    <x:row r="80" ht="34" customHeight="1">
      <x:c r="B80" s="7" t="n">
        <x:v>74</x:v>
      </x:c>
      <x:c r="C80" s="7" t="str">
        <x:v>TT10_C04_SY30_B12_972_4491.25</x:v>
      </x:c>
      <x:c r="D80" s="7" t="str">
        <x:v>M12x45,8.8;25.5mm nominales de rosca util</x:v>
      </x:c>
      <x:c r="E80" s="7" t="n">
        <x:v>2</x:v>
      </x:c>
      <x:c r="F80" s="7" t="str">
        <x:v>Clase 8.8 / ISO 898-1</x:v>
      </x:c>
      <x:c r="G80" s="7" t="str">
        <x:v>Comercial</x:v>
      </x:c>
      <x:c r="H80" s="9" t="n">
        <x:v>0.000007193821830011688</x:v>
      </x:c>
      <x:c r="I80" s="7" t="n">
        <x:v>7850</x:v>
      </x:c>
      <x:c r="J80" s="14" t="n">
        <x:f>H80*I80</x:f>
        <x:v>0.056471501365591745</x:v>
      </x:c>
      <x:c r="K80" s="14" t="n">
        <x:f>IF(ISNUMBER(J80),E80*J80,"n/d")</x:f>
        <x:v>0.11294300273118349</x:v>
      </x:c>
      <x:c r="L80" s="7" t="str">
        <x:v>CAD_volume_x_specified_density</x:v>
      </x:c>
      <x:c r="M80" s="7" t="str">
        <x:v>BOM y montaje TT10_C05_PC_01; sin plano individual</x:v>
      </x:c>
      <x:c r="N80" s="7" t="str">
        <x:v>C05E_TT10_C04_SY30_B12_972_4491.25.SLDPRT</x:v>
      </x:c>
    </x:row>
    <x:row r="81" ht="34" customHeight="1">
      <x:c r="B81" s="7" t="n">
        <x:v>75</x:v>
      </x:c>
      <x:c r="C81" s="7" t="str">
        <x:v>TT10_C04_SY30_W12_930_4491.25</x:v>
      </x:c>
      <x:c r="D81" s="7" t="str">
        <x:v>ArandelaM12,24x13x2.5</x:v>
      </x:c>
      <x:c r="E81" s="7" t="n">
        <x:v>2</x:v>
      </x:c>
      <x:c r="F81" s="7" t="str">
        <x:v>Arandela endurecida 300 HV / ISO 7089</x:v>
      </x:c>
      <x:c r="G81" s="7" t="str">
        <x:v>Comercial</x:v>
      </x:c>
      <x:c r="H81" s="9" t="n">
        <x:v>7.991426312569052e-7</x:v>
      </x:c>
      <x:c r="I81" s="7"/>
      <x:c r="J81" s="14" t="str">
        <x:v>n/d</x:v>
      </x:c>
      <x:c r="K81" s="14" t="str">
        <x:f>IF(ISNUMBER(J81),E81*J81,"n/d")</x:f>
        <x:v>n/d</x:v>
      </x:c>
      <x:c r="L81" s="7" t="str">
        <x:v>OEM_mass_required</x:v>
      </x:c>
      <x:c r="M81" s="7" t="str">
        <x:v>BOM y montaje TT10_C05_PC_01; sin plano individual</x:v>
      </x:c>
      <x:c r="N81" s="7" t="str">
        <x:v>C05E_TT10_C04_SY30_W12_930_4491.25.SLDPRT</x:v>
      </x:c>
    </x:row>
    <x:row r="82" ht="34" customHeight="1">
      <x:c r="B82" s="7" t="n">
        <x:v>76</x:v>
      </x:c>
      <x:c r="C82" s="7" t="str">
        <x:v>TT10_C04_SY30_W12_930_4608.75</x:v>
      </x:c>
      <x:c r="D82" s="7" t="str">
        <x:v>ArandelaM12,24x13x2.5</x:v>
      </x:c>
      <x:c r="E82" s="7" t="n">
        <x:v>2</x:v>
      </x:c>
      <x:c r="F82" s="7" t="str">
        <x:v>Arandela endurecida 300 HV / ISO 7089</x:v>
      </x:c>
      <x:c r="G82" s="7" t="str">
        <x:v>Comercial</x:v>
      </x:c>
      <x:c r="H82" s="9" t="n">
        <x:v>7.991426312569052e-7</x:v>
      </x:c>
      <x:c r="I82" s="7"/>
      <x:c r="J82" s="14" t="str">
        <x:v>n/d</x:v>
      </x:c>
      <x:c r="K82" s="14" t="str">
        <x:f>IF(ISNUMBER(J82),E82*J82,"n/d")</x:f>
        <x:v>n/d</x:v>
      </x:c>
      <x:c r="L82" s="7" t="str">
        <x:v>OEM_mass_required</x:v>
      </x:c>
      <x:c r="M82" s="7" t="str">
        <x:v>BOM y montaje TT10_C05_PC_01; sin plano individual</x:v>
      </x:c>
      <x:c r="N82" s="7" t="str">
        <x:v>C05E_TT10_C04_SY30_W12_930_4608.75.SLDPRT</x:v>
      </x:c>
    </x:row>
    <x:row r="83" ht="34" customHeight="1">
      <x:c r="B83" s="7" t="n">
        <x:v>77</x:v>
      </x:c>
      <x:c r="C83" s="7" t="str">
        <x:v>TT10_C04_TAPA6008_1</x:v>
      </x:c>
      <x:c r="D83" s="7" t="str">
        <x:v>Tapa104x4, cabezas en cajera; desmontaje exterior</x:v>
      </x:c>
      <x:c r="E83" s="7" t="n">
        <x:v>1</x:v>
      </x:c>
      <x:c r="F83" s="7" t="str">
        <x:v>ASTM A36</x:v>
      </x:c>
      <x:c r="G83" s="7" t="str">
        <x:v>Fabricación</x:v>
      </x:c>
      <x:c r="H83" s="9" t="n">
        <x:v>0.00002475092462397123</x:v>
      </x:c>
      <x:c r="I83" s="7" t="n">
        <x:v>7850</x:v>
      </x:c>
      <x:c r="J83" s="14" t="n">
        <x:f>H83*I83</x:f>
        <x:v>0.19429475829817416</x:v>
      </x:c>
      <x:c r="K83" s="14" t="n">
        <x:f>IF(ISNUMBER(J83),E83*J83,"n/d")</x:f>
        <x:v>0.19429475829817416</x:v>
      </x:c>
      <x:c r="L83" s="7" t="str">
        <x:v>CAD_volume_x_specified_density</x:v>
      </x:c>
      <x:c r="M83" s="7" t="str">
        <x:v>Plano de conjunto / detalle funcional: TT10_C05_PC_20</x:v>
      </x:c>
      <x:c r="N83" s="7" t="str">
        <x:v>C05E_TT10_C04_TAPA6008_1.SLDPRT</x:v>
      </x:c>
    </x:row>
    <x:row r="84" ht="34" customHeight="1">
      <x:c r="B84" s="7" t="n">
        <x:v>78</x:v>
      </x:c>
      <x:c r="C84" s="7" t="str">
        <x:v>TT10_C04_TAPA6008_2</x:v>
      </x:c>
      <x:c r="D84" s="7" t="str">
        <x:v>Tapa104x4, cabezas en cajera; desmontaje exterior</x:v>
      </x:c>
      <x:c r="E84" s="7" t="n">
        <x:v>1</x:v>
      </x:c>
      <x:c r="F84" s="7" t="str">
        <x:v>ASTM A36</x:v>
      </x:c>
      <x:c r="G84" s="7" t="str">
        <x:v>Fabricación</x:v>
      </x:c>
      <x:c r="H84" s="9" t="n">
        <x:v>0.00002275287169628802</x:v>
      </x:c>
      <x:c r="I84" s="7" t="n">
        <x:v>7850</x:v>
      </x:c>
      <x:c r="J84" s="14" t="n">
        <x:f>H84*I84</x:f>
        <x:v>0.17861004281586096</x:v>
      </x:c>
      <x:c r="K84" s="14" t="n">
        <x:f>IF(ISNUMBER(J84),E84*J84,"n/d")</x:f>
        <x:v>0.17861004281586096</x:v>
      </x:c>
      <x:c r="L84" s="7" t="str">
        <x:v>CAD_volume_x_specified_density</x:v>
      </x:c>
      <x:c r="M84" s="7" t="str">
        <x:v>Plano de conjunto / detalle funcional: TT10_C05_PC_20</x:v>
      </x:c>
      <x:c r="N84" s="7" t="str">
        <x:v>C05E_TT10_C04_TAPA6008_2.SLDPRT</x:v>
      </x:c>
    </x:row>
    <x:row r="85" ht="34" customHeight="1">
      <x:c r="B85" s="7" t="n">
        <x:v>79</x:v>
      </x:c>
      <x:c r="C85" s="7" t="str">
        <x:v>TT10_C04_TRAVESANO</x:v>
      </x:c>
      <x:c r="D85" s="7" t="str">
        <x:v>RHS100x50x5,L230; une los dos postes del puesto manual, a3</x:v>
      </x:c>
      <x:c r="E85" s="7" t="n">
        <x:v>1</x:v>
      </x:c>
      <x:c r="F85" s="7" t="str">
        <x:v>S275J0H / EN 10219-1</x:v>
      </x:c>
      <x:c r="G85" s="7" t="str">
        <x:v>Fabricación</x:v>
      </x:c>
      <x:c r="H85" s="9" t="n">
        <x:v>0.0003219999999999962</x:v>
      </x:c>
      <x:c r="I85" s="7" t="n">
        <x:v>7850.000000000001</x:v>
      </x:c>
      <x:c r="J85" s="14" t="n">
        <x:f>H85*I85</x:f>
        <x:v>2.5276999999999705</x:v>
      </x:c>
      <x:c r="K85" s="14" t="n">
        <x:f>IF(ISNUMBER(J85),E85*J85,"n/d")</x:f>
        <x:v>2.5276999999999705</x:v>
      </x:c>
      <x:c r="L85" s="7" t="str">
        <x:v>CAD_volume_x_specified_density</x:v>
      </x:c>
      <x:c r="M85" s="7" t="str">
        <x:v>Plano de conjunto / detalle funcional: TT10_C05_PC_16</x:v>
      </x:c>
      <x:c r="N85" s="7" t="str">
        <x:v>C05E_TT10_C04_TRAVESANO.SLDPRT</x:v>
      </x:c>
    </x:row>
    <x:row r="86" ht="34" customHeight="1">
      <x:c r="B86" s="7" t="n">
        <x:v>80</x:v>
      </x:c>
      <x:c r="C86" s="7" t="str">
        <x:v>TT10_C05_ARANDELA_TENSOR_0</x:v>
      </x:c>
      <x:c r="D86" s="7" t="str">
        <x:v>Arandela puente44x21x4, endurecida, cubre ranura22</x:v>
      </x:c>
      <x:c r="E86" s="7" t="n">
        <x:v>1</x:v>
      </x:c>
      <x:c r="F86" s="7" t="str">
        <x:v>Arandela endurecida 300 HV / ISO 7089</x:v>
      </x:c>
      <x:c r="G86" s="7" t="str">
        <x:v>Comercial</x:v>
      </x:c>
      <x:c r="H86" s="9" t="n">
        <x:v>0.00000469668101711676</x:v>
      </x:c>
      <x:c r="I86" s="7" t="n">
        <x:v>7850</x:v>
      </x:c>
      <x:c r="J86" s="14" t="n">
        <x:f>H86*I86</x:f>
        <x:v>0.03686894598436656</x:v>
      </x:c>
      <x:c r="K86" s="14" t="n">
        <x:f>IF(ISNUMBER(J86),E86*J86,"n/d")</x:f>
        <x:v>0.03686894598436656</x:v>
      </x:c>
      <x:c r="L86" s="7" t="str">
        <x:v>CAD_volume_x_specified_density</x:v>
      </x:c>
      <x:c r="M86" s="7" t="str">
        <x:v>BOM y montaje TT10_C05_PC_01; sin plano individual</x:v>
      </x:c>
      <x:c r="N86" s="7" t="str">
        <x:v>C05E_TT10_C05_ARANDELA_TENSOR_0.SLDPRT</x:v>
      </x:c>
    </x:row>
    <x:row r="87" ht="34" customHeight="1">
      <x:c r="B87" s="7" t="n">
        <x:v>81</x:v>
      </x:c>
      <x:c r="C87" s="7" t="str">
        <x:v>TT10_C05_ARANDELA_TENSOR_1</x:v>
      </x:c>
      <x:c r="D87" s="7" t="str">
        <x:v>Arandela puente44x21x4, endurecida, cubre ranura22</x:v>
      </x:c>
      <x:c r="E87" s="7" t="n">
        <x:v>1</x:v>
      </x:c>
      <x:c r="F87" s="7" t="str">
        <x:v>Arandela endurecida 300 HV / ISO 7089</x:v>
      </x:c>
      <x:c r="G87" s="7" t="str">
        <x:v>Comercial</x:v>
      </x:c>
      <x:c r="H87" s="9" t="n">
        <x:v>0.00000469668101711676</x:v>
      </x:c>
      <x:c r="I87" s="7" t="n">
        <x:v>7850</x:v>
      </x:c>
      <x:c r="J87" s="14" t="n">
        <x:f>H87*I87</x:f>
        <x:v>0.03686894598436656</x:v>
      </x:c>
      <x:c r="K87" s="14" t="n">
        <x:f>IF(ISNUMBER(J87),E87*J87,"n/d")</x:f>
        <x:v>0.03686894598436656</x:v>
      </x:c>
      <x:c r="L87" s="7" t="str">
        <x:v>CAD_volume_x_specified_density</x:v>
      </x:c>
      <x:c r="M87" s="7" t="str">
        <x:v>BOM y montaje TT10_C05_PC_01; sin plano individual</x:v>
      </x:c>
      <x:c r="N87" s="7" t="str">
        <x:v>C05E_TT10_C05_ARANDELA_TENSOR_1.SLDPRT</x:v>
      </x:c>
    </x:row>
    <x:row r="88" ht="34" customHeight="1">
      <x:c r="B88" s="7" t="n">
        <x:v>82</x:v>
      </x:c>
      <x:c r="C88" s="7" t="str">
        <x:v>TT10_C05_ARANDELA_TENSOR_2</x:v>
      </x:c>
      <x:c r="D88" s="7" t="str">
        <x:v>Arandela puente44x21x4, endurecida, cubre ranura22</x:v>
      </x:c>
      <x:c r="E88" s="7" t="n">
        <x:v>1</x:v>
      </x:c>
      <x:c r="F88" s="7" t="str">
        <x:v>Arandela endurecida 300 HV / ISO 7089</x:v>
      </x:c>
      <x:c r="G88" s="7" t="str">
        <x:v>Comercial</x:v>
      </x:c>
      <x:c r="H88" s="9" t="n">
        <x:v>0.000004696681017116755</x:v>
      </x:c>
      <x:c r="I88" s="7" t="n">
        <x:v>7850</x:v>
      </x:c>
      <x:c r="J88" s="14" t="n">
        <x:f>H88*I88</x:f>
        <x:v>0.03686894598436653</x:v>
      </x:c>
      <x:c r="K88" s="14" t="n">
        <x:f>IF(ISNUMBER(J88),E88*J88,"n/d")</x:f>
        <x:v>0.03686894598436653</x:v>
      </x:c>
      <x:c r="L88" s="7" t="str">
        <x:v>CAD_volume_x_specified_density</x:v>
      </x:c>
      <x:c r="M88" s="7" t="str">
        <x:v>BOM y montaje TT10_C05_PC_01; sin plano individual</x:v>
      </x:c>
      <x:c r="N88" s="7" t="str">
        <x:v>C05E_TT10_C05_ARANDELA_TENSOR_2.SLDPRT</x:v>
      </x:c>
    </x:row>
    <x:row r="89" ht="34" customHeight="1">
      <x:c r="B89" s="7" t="n">
        <x:v>83</x:v>
      </x:c>
      <x:c r="C89" s="7" t="str">
        <x:v>TT10_C05_ARANDELA_TENSOR_3</x:v>
      </x:c>
      <x:c r="D89" s="7" t="str">
        <x:v>Arandela puente44x21x4, endurecida, cubre ranura22</x:v>
      </x:c>
      <x:c r="E89" s="7" t="n">
        <x:v>1</x:v>
      </x:c>
      <x:c r="F89" s="7" t="str">
        <x:v>Arandela endurecida 300 HV / ISO 7089</x:v>
      </x:c>
      <x:c r="G89" s="7" t="str">
        <x:v>Comercial</x:v>
      </x:c>
      <x:c r="H89" s="9" t="n">
        <x:v>0.000004696681017116755</x:v>
      </x:c>
      <x:c r="I89" s="7" t="n">
        <x:v>7850</x:v>
      </x:c>
      <x:c r="J89" s="14" t="n">
        <x:f>H89*I89</x:f>
        <x:v>0.03686894598436653</x:v>
      </x:c>
      <x:c r="K89" s="14" t="n">
        <x:f>IF(ISNUMBER(J89),E89*J89,"n/d")</x:f>
        <x:v>0.03686894598436653</x:v>
      </x:c>
      <x:c r="L89" s="7" t="str">
        <x:v>CAD_volume_x_specified_density</x:v>
      </x:c>
      <x:c r="M89" s="7" t="str">
        <x:v>BOM y montaje TT10_C05_PC_01; sin plano individual</x:v>
      </x:c>
      <x:c r="N89" s="7" t="str">
        <x:v>C05E_TT10_C05_ARANDELA_TENSOR_3.SLDPRT</x:v>
      </x:c>
    </x:row>
    <x:row r="90" ht="34" customHeight="1">
      <x:c r="B90" s="7" t="n">
        <x:v>84</x:v>
      </x:c>
      <x:c r="C90" s="7" t="str">
        <x:v>TT10_C05_B20_TENSOR_0</x:v>
      </x:c>
      <x:c r="D90" s="7" t="str">
        <x:v>Tornillo M20x45,ISO4017 8.8; geometria nominal</x:v>
      </x:c>
      <x:c r="E90" s="7" t="n">
        <x:v>1</x:v>
      </x:c>
      <x:c r="F90" s="7" t="str">
        <x:v>Clase 8.8 / ISO 898-1</x:v>
      </x:c>
      <x:c r="G90" s="7" t="str">
        <x:v>Comercial</x:v>
      </x:c>
      <x:c r="H90" s="9" t="n">
        <x:v>0.000023879381156962525</x:v>
      </x:c>
      <x:c r="I90" s="7" t="n">
        <x:v>7850</x:v>
      </x:c>
      <x:c r="J90" s="14" t="n">
        <x:f>H90*I90</x:f>
        <x:v>0.18745314208215583</x:v>
      </x:c>
      <x:c r="K90" s="14" t="n">
        <x:f>IF(ISNUMBER(J90),E90*J90,"n/d")</x:f>
        <x:v>0.18745314208215583</x:v>
      </x:c>
      <x:c r="L90" s="7" t="str">
        <x:v>CAD_volume_x_specified_density</x:v>
      </x:c>
      <x:c r="M90" s="7" t="str">
        <x:v>BOM y montaje TT10_C05_PC_01; sin plano individual</x:v>
      </x:c>
      <x:c r="N90" s="7" t="str">
        <x:v>C05E_TT10_C05_B20_TENSOR_0.SLDPRT</x:v>
      </x:c>
    </x:row>
    <x:row r="91" ht="34" customHeight="1">
      <x:c r="B91" s="7" t="n">
        <x:v>85</x:v>
      </x:c>
      <x:c r="C91" s="7" t="str">
        <x:v>TT10_C05_B20_TENSOR_1</x:v>
      </x:c>
      <x:c r="D91" s="7" t="str">
        <x:v>Tornillo M20x45,ISO4017 8.8; geometria nominal</x:v>
      </x:c>
      <x:c r="E91" s="7" t="n">
        <x:v>1</x:v>
      </x:c>
      <x:c r="F91" s="7" t="str">
        <x:v>Clase 8.8 / ISO 898-1</x:v>
      </x:c>
      <x:c r="G91" s="7" t="str">
        <x:v>Comercial</x:v>
      </x:c>
      <x:c r="H91" s="9" t="n">
        <x:v>0.000023879381156962525</x:v>
      </x:c>
      <x:c r="I91" s="7" t="n">
        <x:v>7850</x:v>
      </x:c>
      <x:c r="J91" s="14" t="n">
        <x:f>H91*I91</x:f>
        <x:v>0.18745314208215583</x:v>
      </x:c>
      <x:c r="K91" s="14" t="n">
        <x:f>IF(ISNUMBER(J91),E91*J91,"n/d")</x:f>
        <x:v>0.18745314208215583</x:v>
      </x:c>
      <x:c r="L91" s="7" t="str">
        <x:v>CAD_volume_x_specified_density</x:v>
      </x:c>
      <x:c r="M91" s="7" t="str">
        <x:v>BOM y montaje TT10_C05_PC_01; sin plano individual</x:v>
      </x:c>
      <x:c r="N91" s="7" t="str">
        <x:v>C05E_TT10_C05_B20_TENSOR_1.SLDPRT</x:v>
      </x:c>
    </x:row>
    <x:row r="92" ht="34" customHeight="1">
      <x:c r="B92" s="7" t="n">
        <x:v>86</x:v>
      </x:c>
      <x:c r="C92" s="7" t="str">
        <x:v>TT10_C05_B20_TENSOR_2</x:v>
      </x:c>
      <x:c r="D92" s="7" t="str">
        <x:v>Tornillo M20x45,ISO4017 8.8; geometria nominal</x:v>
      </x:c>
      <x:c r="E92" s="7" t="n">
        <x:v>1</x:v>
      </x:c>
      <x:c r="F92" s="7" t="str">
        <x:v>Clase 8.8 / ISO 898-1</x:v>
      </x:c>
      <x:c r="G92" s="7" t="str">
        <x:v>Comercial</x:v>
      </x:c>
      <x:c r="H92" s="9" t="n">
        <x:v>0.00002387938115696255</x:v>
      </x:c>
      <x:c r="I92" s="7" t="n">
        <x:v>7850</x:v>
      </x:c>
      <x:c r="J92" s="14" t="n">
        <x:f>H92*I92</x:f>
        <x:v>0.18745314208215602</x:v>
      </x:c>
      <x:c r="K92" s="14" t="n">
        <x:f>IF(ISNUMBER(J92),E92*J92,"n/d")</x:f>
        <x:v>0.18745314208215602</x:v>
      </x:c>
      <x:c r="L92" s="7" t="str">
        <x:v>CAD_volume_x_specified_density</x:v>
      </x:c>
      <x:c r="M92" s="7" t="str">
        <x:v>BOM y montaje TT10_C05_PC_01; sin plano individual</x:v>
      </x:c>
      <x:c r="N92" s="7" t="str">
        <x:v>C05E_TT10_C05_B20_TENSOR_2.SLDPRT</x:v>
      </x:c>
    </x:row>
    <x:row r="93" ht="34" customHeight="1">
      <x:c r="B93" s="7" t="n">
        <x:v>87</x:v>
      </x:c>
      <x:c r="C93" s="7" t="str">
        <x:v>TT10_C05_B20_TENSOR_3</x:v>
      </x:c>
      <x:c r="D93" s="7" t="str">
        <x:v>Tornillo M20x45,ISO4017 8.8; geometria nominal</x:v>
      </x:c>
      <x:c r="E93" s="7" t="n">
        <x:v>1</x:v>
      </x:c>
      <x:c r="F93" s="7" t="str">
        <x:v>Clase 8.8 / ISO 898-1</x:v>
      </x:c>
      <x:c r="G93" s="7" t="str">
        <x:v>Comercial</x:v>
      </x:c>
      <x:c r="H93" s="9" t="n">
        <x:v>0.00002387938115696255</x:v>
      </x:c>
      <x:c r="I93" s="7" t="n">
        <x:v>7850</x:v>
      </x:c>
      <x:c r="J93" s="14" t="n">
        <x:f>H93*I93</x:f>
        <x:v>0.18745314208215602</x:v>
      </x:c>
      <x:c r="K93" s="14" t="n">
        <x:f>IF(ISNUMBER(J93),E93*J93,"n/d")</x:f>
        <x:v>0.18745314208215602</x:v>
      </x:c>
      <x:c r="L93" s="7" t="str">
        <x:v>CAD_volume_x_specified_density</x:v>
      </x:c>
      <x:c r="M93" s="7" t="str">
        <x:v>BOM y montaje TT10_C05_PC_01; sin plano individual</x:v>
      </x:c>
      <x:c r="N93" s="7" t="str">
        <x:v>C05E_TT10_C05_B20_TENSOR_3.SLDPRT</x:v>
      </x:c>
    </x:row>
    <x:row r="94" ht="34" customHeight="1">
      <x:c r="B94" s="7" t="n">
        <x:v>88</x:v>
      </x:c>
      <x:c r="C94" s="7" t="str">
        <x:v>TT10_C05_B4_RETEN_0_0</x:v>
      </x:c>
      <x:c r="D94" s="7" t="str">
        <x:v>M4x9,8.8; tornillo del puente cautivo; fijador desmontable</x:v>
      </x:c>
      <x:c r="E94" s="7" t="n">
        <x:v>1</x:v>
      </x:c>
      <x:c r="F94" s="7" t="str">
        <x:v>Clase 10.9 / ISO 898-1</x:v>
      </x:c>
      <x:c r="G94" s="7" t="str">
        <x:v>Comercial</x:v>
      </x:c>
      <x:c r="H94" s="9" t="n">
        <x:v>2.6703537555510515e-7</x:v>
      </x:c>
      <x:c r="I94" s="7" t="n">
        <x:v>7850</x:v>
      </x:c>
      <x:c r="J94" s="14" t="n">
        <x:f>H94*I94</x:f>
        <x:v>0.0020962276981075756</x:v>
      </x:c>
      <x:c r="K94" s="14" t="n">
        <x:f>IF(ISNUMBER(J94),E94*J94,"n/d")</x:f>
        <x:v>0.0020962276981075756</x:v>
      </x:c>
      <x:c r="L94" s="7" t="str">
        <x:v>CAD_volume_x_specified_density</x:v>
      </x:c>
      <x:c r="M94" s="7" t="str">
        <x:v>BOM y montaje TT10_C05_PC_01; sin plano individual</x:v>
      </x:c>
      <x:c r="N94" s="7" t="str">
        <x:v>C05E_TT10_C05_B4_RETEN_0_0.SLDPRT</x:v>
      </x:c>
    </x:row>
    <x:row r="95" ht="34" customHeight="1">
      <x:c r="B95" s="7" t="n">
        <x:v>89</x:v>
      </x:c>
      <x:c r="C95" s="7" t="str">
        <x:v>TT10_C05_B4_RETEN_0_1</x:v>
      </x:c>
      <x:c r="D95" s="7" t="str">
        <x:v>M4x9,8.8; tornillo del puente cautivo; fijador desmontable</x:v>
      </x:c>
      <x:c r="E95" s="7" t="n">
        <x:v>1</x:v>
      </x:c>
      <x:c r="F95" s="7" t="str">
        <x:v>Clase 10.9 / ISO 898-1</x:v>
      </x:c>
      <x:c r="G95" s="7" t="str">
        <x:v>Comercial</x:v>
      </x:c>
      <x:c r="H95" s="9" t="n">
        <x:v>2.6703537555510515e-7</x:v>
      </x:c>
      <x:c r="I95" s="7" t="n">
        <x:v>7850</x:v>
      </x:c>
      <x:c r="J95" s="14" t="n">
        <x:f>H95*I95</x:f>
        <x:v>0.0020962276981075756</x:v>
      </x:c>
      <x:c r="K95" s="14" t="n">
        <x:f>IF(ISNUMBER(J95),E95*J95,"n/d")</x:f>
        <x:v>0.0020962276981075756</x:v>
      </x:c>
      <x:c r="L95" s="7" t="str">
        <x:v>CAD_volume_x_specified_density</x:v>
      </x:c>
      <x:c r="M95" s="7" t="str">
        <x:v>BOM y montaje TT10_C05_PC_01; sin plano individual</x:v>
      </x:c>
      <x:c r="N95" s="7" t="str">
        <x:v>C05E_TT10_C05_B4_RETEN_0_1.SLDPRT</x:v>
      </x:c>
    </x:row>
    <x:row r="96" ht="34" customHeight="1">
      <x:c r="B96" s="7" t="n">
        <x:v>90</x:v>
      </x:c>
      <x:c r="C96" s="7" t="str">
        <x:v>TT10_C05_B4_RETEN_1_0</x:v>
      </x:c>
      <x:c r="D96" s="7" t="str">
        <x:v>M4x9,8.8; tornillo del puente cautivo; fijador desmontable</x:v>
      </x:c>
      <x:c r="E96" s="7" t="n">
        <x:v>1</x:v>
      </x:c>
      <x:c r="F96" s="7" t="str">
        <x:v>Clase 10.9 / ISO 898-1</x:v>
      </x:c>
      <x:c r="G96" s="7" t="str">
        <x:v>Comercial</x:v>
      </x:c>
      <x:c r="H96" s="9" t="n">
        <x:v>2.6703537555510515e-7</x:v>
      </x:c>
      <x:c r="I96" s="7" t="n">
        <x:v>7850</x:v>
      </x:c>
      <x:c r="J96" s="14" t="n">
        <x:f>H96*I96</x:f>
        <x:v>0.0020962276981075756</x:v>
      </x:c>
      <x:c r="K96" s="14" t="n">
        <x:f>IF(ISNUMBER(J96),E96*J96,"n/d")</x:f>
        <x:v>0.0020962276981075756</x:v>
      </x:c>
      <x:c r="L96" s="7" t="str">
        <x:v>CAD_volume_x_specified_density</x:v>
      </x:c>
      <x:c r="M96" s="7" t="str">
        <x:v>BOM y montaje TT10_C05_PC_01; sin plano individual</x:v>
      </x:c>
      <x:c r="N96" s="7" t="str">
        <x:v>C05E_TT10_C05_B4_RETEN_1_0.SLDPRT</x:v>
      </x:c>
    </x:row>
    <x:row r="97" ht="34" customHeight="1">
      <x:c r="B97" s="7" t="n">
        <x:v>91</x:v>
      </x:c>
      <x:c r="C97" s="7" t="str">
        <x:v>TT10_C05_B4_RETEN_1_1</x:v>
      </x:c>
      <x:c r="D97" s="7" t="str">
        <x:v>M4x9,8.8; tornillo del puente cautivo; fijador desmontable</x:v>
      </x:c>
      <x:c r="E97" s="7" t="n">
        <x:v>1</x:v>
      </x:c>
      <x:c r="F97" s="7" t="str">
        <x:v>Clase 10.9 / ISO 898-1</x:v>
      </x:c>
      <x:c r="G97" s="7" t="str">
        <x:v>Comercial</x:v>
      </x:c>
      <x:c r="H97" s="9" t="n">
        <x:v>2.6703537555510515e-7</x:v>
      </x:c>
      <x:c r="I97" s="7" t="n">
        <x:v>7850</x:v>
      </x:c>
      <x:c r="J97" s="14" t="n">
        <x:f>H97*I97</x:f>
        <x:v>0.0020962276981075756</x:v>
      </x:c>
      <x:c r="K97" s="14" t="n">
        <x:f>IF(ISNUMBER(J97),E97*J97,"n/d")</x:f>
        <x:v>0.0020962276981075756</x:v>
      </x:c>
      <x:c r="L97" s="7" t="str">
        <x:v>CAD_volume_x_specified_density</x:v>
      </x:c>
      <x:c r="M97" s="7" t="str">
        <x:v>BOM y montaje TT10_C05_PC_01; sin plano individual</x:v>
      </x:c>
      <x:c r="N97" s="7" t="str">
        <x:v>C05E_TT10_C05_B4_RETEN_1_1.SLDPRT</x:v>
      </x:c>
    </x:row>
    <x:row r="98" ht="34" customHeight="1">
      <x:c r="B98" s="7" t="n">
        <x:v>92</x:v>
      </x:c>
      <x:c r="C98" s="7" t="str">
        <x:v>TT10_C05_BASE_FIJA_TENSOR</x:v>
      </x:c>
      <x:c r="D98" s="7" t="str">
        <x:v>Base fija630x420x20; cuatro M20 roscados20;apriete100Nm;no son anclajes a losa</x:v>
      </x:c>
      <x:c r="E98" s="7" t="n">
        <x:v>1</x:v>
      </x:c>
      <x:c r="F98" s="7" t="str">
        <x:v>ASTM A36</x:v>
      </x:c>
      <x:c r="G98" s="7" t="str">
        <x:v>Fabricación</x:v>
      </x:c>
      <x:c r="H98" s="9" t="n">
        <x:v>0.00516886725877128</x:v>
      </x:c>
      <x:c r="I98" s="7" t="n">
        <x:v>7850</x:v>
      </x:c>
      <x:c r="J98" s="14" t="n">
        <x:f>H98*I98</x:f>
        <x:v>40.57560798135455</x:v>
      </x:c>
      <x:c r="K98" s="14" t="n">
        <x:f>IF(ISNUMBER(J98),E98*J98,"n/d")</x:f>
        <x:v>40.57560798135455</x:v>
      </x:c>
      <x:c r="L98" s="7" t="str">
        <x:v>CAD_volume_x_specified_density</x:v>
      </x:c>
      <x:c r="M98" s="7" t="str">
        <x:v>Plano de conjunto / detalle funcional: TT10_C05_PC_16</x:v>
      </x:c>
      <x:c r="N98" s="7" t="str">
        <x:v>C05E_TT10_C05_BASE_FIJA_TENSOR.SLDPRT</x:v>
      </x:c>
    </x:row>
    <x:row r="99" ht="34" customHeight="1">
      <x:c r="B99" s="7" t="n">
        <x:v>93</x:v>
      </x:c>
      <x:c r="C99" s="7" t="str">
        <x:v>TT10_C05_BDNB_28_23</x:v>
      </x:c>
      <x:c r="D99" s="7" t="str">
        <x:v>Warner BDNB 28.23Nm, brida lado entrada, exterior reconstruido según MCC-P-1310 03/25 p69; cotas nominales medias</x:v>
      </x:c>
      <x:c r="E99" s="7" t="n">
        <x:v>1</x:v>
      </x:c>
      <x:c r="F99" s="7" t="str">
        <x:v>Equipo comprado</x:v>
      </x:c>
      <x:c r="G99" s="7" t="str">
        <x:v>Comercial</x:v>
      </x:c>
      <x:c r="H99" s="9" t="n">
        <x:v>0.00011539652553403002</x:v>
      </x:c>
      <x:c r="I99" s="7"/>
      <x:c r="J99" s="14" t="n">
        <x:v>0.90718474</x:v>
      </x:c>
      <x:c r="K99" s="14" t="n">
        <x:f>IF(ISNUMBER(J99),E99*J99,"n/d")</x:f>
        <x:v>0.90718474</x:v>
      </x:c>
      <x:c r="L99" s="7" t="str">
        <x:v>BDNB 28.23 Nm / MCC-P-1310, p.69</x:v>
      </x:c>
      <x:c r="M99" s="7" t="str">
        <x:v>BOM y montaje TT10_C05_PC_01; sin plano individual</x:v>
      </x:c>
      <x:c r="N99" s="7" t="str">
        <x:v>TT10_C05_BDNB_28_23.SLDPRT</x:v>
      </x:c>
    </x:row>
    <x:row r="100" ht="34" customHeight="1">
      <x:c r="B100" s="7" t="n">
        <x:v>94</x:v>
      </x:c>
      <x:c r="C100" s="7" t="str">
        <x:v>TT10_C05_BDNB_APOYO_0_INFERIOR</x:v>
      </x:c>
      <x:c r="D100" s="7" t="str">
        <x:v>Apoyo partido6006, asientoH7, tapa2M6x60, roscasM6 cuerpo; soldaduraa4 base</x:v>
      </x:c>
      <x:c r="E100" s="7" t="n">
        <x:v>1</x:v>
      </x:c>
      <x:c r="F100" s="7" t="str">
        <x:v>ASTM A36</x:v>
      </x:c>
      <x:c r="G100" s="7" t="str">
        <x:v>Fabricación</x:v>
      </x:c>
      <x:c r="H100" s="9" t="n">
        <x:v>0.00015776257057435603</x:v>
      </x:c>
      <x:c r="I100" s="7" t="n">
        <x:v>7850</x:v>
      </x:c>
      <x:c r="J100" s="14" t="n">
        <x:f>H100*I100</x:f>
        <x:v>1.2384361790086948</x:v>
      </x:c>
      <x:c r="K100" s="14" t="n">
        <x:f>IF(ISNUMBER(J100),E100*J100,"n/d")</x:f>
        <x:v>1.2384361790086948</x:v>
      </x:c>
      <x:c r="L100" s="7" t="str">
        <x:v>Volumen CAD y densidad</x:v>
      </x:c>
      <x:c r="M100" s="7" t="str">
        <x:v>Plano de conjunto / detalle funcional: TT10_C05_PC_22</x:v>
      </x:c>
      <x:c r="N100" s="7" t="str">
        <x:v>TT10_C05_BDNB_APOYO_0_INFERIOR_B02.SLDPRT</x:v>
      </x:c>
    </x:row>
    <x:row r="101" ht="34" customHeight="1">
      <x:c r="B101" s="7" t="n">
        <x:v>95</x:v>
      </x:c>
      <x:c r="C101" s="7" t="str">
        <x:v>TT10_C05_BDNB_APOYO_0_TAPA</x:v>
      </x:c>
      <x:c r="D101" s="7" t="str">
        <x:v>Apoyo partido6006, asientoH7, tapa2M6x60, roscasM6 cuerpo; soldaduraa4 base</x:v>
      </x:c>
      <x:c r="E101" s="7" t="n">
        <x:v>1</x:v>
      </x:c>
      <x:c r="F101" s="7" t="str">
        <x:v>ASTM A36</x:v>
      </x:c>
      <x:c r="G101" s="7" t="str">
        <x:v>Fabricación</x:v>
      </x:c>
      <x:c r="H101" s="9" t="n">
        <x:v>0.000037498020692722796</x:v>
      </x:c>
      <x:c r="I101" s="7" t="n">
        <x:v>7850.000000000001</x:v>
      </x:c>
      <x:c r="J101" s="14" t="n">
        <x:f>H101*I101</x:f>
        <x:v>0.294359462437874</x:v>
      </x:c>
      <x:c r="K101" s="14" t="n">
        <x:f>IF(ISNUMBER(J101),E101*J101,"n/d")</x:f>
        <x:v>0.294359462437874</x:v>
      </x:c>
      <x:c r="L101" s="7" t="str">
        <x:v>Volumen CAD y densidad</x:v>
      </x:c>
      <x:c r="M101" s="7" t="str">
        <x:v>Plano de conjunto / detalle funcional: TT10_C05_PC_22</x:v>
      </x:c>
      <x:c r="N101" s="7" t="str">
        <x:v>TT10_C05_BDNB_APOYO_0_TAPA_B02.SLDPRT</x:v>
      </x:c>
    </x:row>
    <x:row r="102" ht="34" customHeight="1">
      <x:c r="B102" s="7" t="n">
        <x:v>96</x:v>
      </x:c>
      <x:c r="C102" s="7" t="str">
        <x:v>TT10_C05_BDNB_APOYO_1_INFERIOR</x:v>
      </x:c>
      <x:c r="D102" s="7" t="str">
        <x:v>Apoyo partido6006, asientoH7, tapa2M6x60, roscasM6 cuerpo; soldaduraa4 base</x:v>
      </x:c>
      <x:c r="E102" s="7" t="n">
        <x:v>1</x:v>
      </x:c>
      <x:c r="F102" s="7" t="str">
        <x:v>ASTM A36</x:v>
      </x:c>
      <x:c r="G102" s="7" t="str">
        <x:v>Fabricación</x:v>
      </x:c>
      <x:c r="H102" s="9" t="n">
        <x:v>0.00015776257057435714</x:v>
      </x:c>
      <x:c r="I102" s="7" t="n">
        <x:v>7850</x:v>
      </x:c>
      <x:c r="J102" s="14" t="n">
        <x:f>H102*I102</x:f>
        <x:v>1.2384361790087035</x:v>
      </x:c>
      <x:c r="K102" s="14" t="n">
        <x:f>IF(ISNUMBER(J102),E102*J102,"n/d")</x:f>
        <x:v>1.2384361790087035</x:v>
      </x:c>
      <x:c r="L102" s="7" t="str">
        <x:v>Volumen CAD y densidad</x:v>
      </x:c>
      <x:c r="M102" s="7" t="str">
        <x:v>Plano de conjunto / detalle funcional: TT10_C05_PC_22</x:v>
      </x:c>
      <x:c r="N102" s="7" t="str">
        <x:v>TT10_C05_BDNB_APOYO_1_INFERIOR_B02.SLDPRT</x:v>
      </x:c>
    </x:row>
    <x:row r="103" ht="34" customHeight="1">
      <x:c r="B103" s="7" t="n">
        <x:v>97</x:v>
      </x:c>
      <x:c r="C103" s="7" t="str">
        <x:v>TT10_C05_BDNB_APOYO_1_TAPA</x:v>
      </x:c>
      <x:c r="D103" s="7" t="str">
        <x:v>Apoyo partido6006, asientoH7, tapa2M6x60, roscasM6 cuerpo; soldaduraa4 base</x:v>
      </x:c>
      <x:c r="E103" s="7" t="n">
        <x:v>1</x:v>
      </x:c>
      <x:c r="F103" s="7" t="str">
        <x:v>ASTM A36</x:v>
      </x:c>
      <x:c r="G103" s="7" t="str">
        <x:v>Fabricación</x:v>
      </x:c>
      <x:c r="H103" s="9" t="n">
        <x:v>0.00003749802069272312</x:v>
      </x:c>
      <x:c r="I103" s="7" t="n">
        <x:v>7850.000000000001</x:v>
      </x:c>
      <x:c r="J103" s="14" t="n">
        <x:f>H103*I103</x:f>
        <x:v>0.29435946243787653</x:v>
      </x:c>
      <x:c r="K103" s="14" t="n">
        <x:f>IF(ISNUMBER(J103),E103*J103,"n/d")</x:f>
        <x:v>0.29435946243787653</x:v>
      </x:c>
      <x:c r="L103" s="7" t="str">
        <x:v>Volumen CAD y densidad</x:v>
      </x:c>
      <x:c r="M103" s="7" t="str">
        <x:v>Plano de conjunto / detalle funcional: TT10_C05_PC_22</x:v>
      </x:c>
      <x:c r="N103" s="7" t="str">
        <x:v>TT10_C05_BDNB_APOYO_1_TAPA_B02.SLDPRT</x:v>
      </x:c>
    </x:row>
    <x:row r="104" ht="34" customHeight="1">
      <x:c r="B104" s="7" t="n">
        <x:v>98</x:v>
      </x:c>
      <x:c r="C104" s="7" t="str">
        <x:v>TT10_C05_BDNB_APOYO_2_INFERIOR</x:v>
      </x:c>
      <x:c r="D104" s="7" t="str">
        <x:v>Apoyo partido6906, asientoH7, tapa2M6x60, roscasM6 cuerpo; soldaduraa4 base</x:v>
      </x:c>
      <x:c r="E104" s="7" t="n">
        <x:v>1</x:v>
      </x:c>
      <x:c r="F104" s="7" t="str">
        <x:v>ASTM A36</x:v>
      </x:c>
      <x:c r="G104" s="7" t="str">
        <x:v>Fabricación</x:v>
      </x:c>
      <x:c r="H104" s="9" t="n">
        <x:v>0.00012411986033650116</x:v>
      </x:c>
      <x:c r="I104" s="7" t="n">
        <x:v>7850</x:v>
      </x:c>
      <x:c r="J104" s="14" t="n">
        <x:f>H104*I104</x:f>
        <x:v>0.9743409036415341</x:v>
      </x:c>
      <x:c r="K104" s="14" t="n">
        <x:f>IF(ISNUMBER(J104),E104*J104,"n/d")</x:f>
        <x:v>0.9743409036415341</x:v>
      </x:c>
      <x:c r="L104" s="7" t="str">
        <x:v>Volumen CAD y densidad</x:v>
      </x:c>
      <x:c r="M104" s="7" t="str">
        <x:v>Plano de conjunto / detalle funcional: TT10_C05_PC_22</x:v>
      </x:c>
      <x:c r="N104" s="7" t="str">
        <x:v>TT10_C05_BDNB_APOYO_2_INFERIOR.SLDPRT</x:v>
      </x:c>
    </x:row>
    <x:row r="105" ht="34" customHeight="1">
      <x:c r="B105" s="7" t="n">
        <x:v>99</x:v>
      </x:c>
      <x:c r="C105" s="7" t="str">
        <x:v>TT10_C05_BDNB_APOYO_2_TAPA</x:v>
      </x:c>
      <x:c r="D105" s="7" t="str">
        <x:v>Apoyo partido6906, asientoH7, tapa2M6x60, roscasM6 cuerpo; soldaduraa4 base</x:v>
      </x:c>
      <x:c r="E105" s="7" t="n">
        <x:v>1</x:v>
      </x:c>
      <x:c r="F105" s="7" t="str">
        <x:v>ASTM A36</x:v>
      </x:c>
      <x:c r="G105" s="7" t="str">
        <x:v>Fabricación</x:v>
      </x:c>
      <x:c r="H105" s="9" t="n">
        <x:v>0.00003169366163727279</x:v>
      </x:c>
      <x:c r="I105" s="7" t="n">
        <x:v>7850</x:v>
      </x:c>
      <x:c r="J105" s="14" t="n">
        <x:f>H105*I105</x:f>
        <x:v>0.2487952438525914</x:v>
      </x:c>
      <x:c r="K105" s="14" t="n">
        <x:f>IF(ISNUMBER(J105),E105*J105,"n/d")</x:f>
        <x:v>0.2487952438525914</x:v>
      </x:c>
      <x:c r="L105" s="7" t="str">
        <x:v>Volumen CAD y densidad</x:v>
      </x:c>
      <x:c r="M105" s="7" t="str">
        <x:v>Plano de conjunto / detalle funcional: TT10_C05_PC_22</x:v>
      </x:c>
      <x:c r="N105" s="7" t="str">
        <x:v>TT10_C05_BDNB_APOYO_2_TAPA.SLDPRT</x:v>
      </x:c>
    </x:row>
    <x:row r="106" ht="34" customHeight="1">
      <x:c r="B106" s="7" t="n">
        <x:v>100</x:v>
      </x:c>
      <x:c r="C106" s="7" t="str">
        <x:v>TT10_C05_BDNB_APOYO_3_INFERIOR</x:v>
      </x:c>
      <x:c r="D106" s="7" t="str">
        <x:v>Apoyo partido6906, asientoH7, tapa2M6x60, roscasM6 cuerpo; soldaduraa4 base</x:v>
      </x:c>
      <x:c r="E106" s="7" t="n">
        <x:v>1</x:v>
      </x:c>
      <x:c r="F106" s="7" t="str">
        <x:v>ASTM A36</x:v>
      </x:c>
      <x:c r="G106" s="7" t="str">
        <x:v>Fabricación</x:v>
      </x:c>
      <x:c r="H106" s="9" t="n">
        <x:v>0.00012411986033650116</x:v>
      </x:c>
      <x:c r="I106" s="7" t="n">
        <x:v>7850</x:v>
      </x:c>
      <x:c r="J106" s="14" t="n">
        <x:f>H106*I106</x:f>
        <x:v>0.9743409036415341</x:v>
      </x:c>
      <x:c r="K106" s="14" t="n">
        <x:f>IF(ISNUMBER(J106),E106*J106,"n/d")</x:f>
        <x:v>0.9743409036415341</x:v>
      </x:c>
      <x:c r="L106" s="7" t="str">
        <x:v>Volumen CAD y densidad</x:v>
      </x:c>
      <x:c r="M106" s="7" t="str">
        <x:v>Plano de conjunto / detalle funcional: TT10_C05_PC_22</x:v>
      </x:c>
      <x:c r="N106" s="7" t="str">
        <x:v>TT10_C05_BDNB_APOYO_3_INFERIOR.SLDPRT</x:v>
      </x:c>
    </x:row>
    <x:row r="107" ht="34" customHeight="1">
      <x:c r="B107" s="7" t="n">
        <x:v>101</x:v>
      </x:c>
      <x:c r="C107" s="7" t="str">
        <x:v>TT10_C05_BDNB_APOYO_3_TAPA</x:v>
      </x:c>
      <x:c r="D107" s="7" t="str">
        <x:v>Apoyo partido6906, asientoH7, tapa2M6x60, roscasM6 cuerpo; soldaduraa4 base</x:v>
      </x:c>
      <x:c r="E107" s="7" t="n">
        <x:v>1</x:v>
      </x:c>
      <x:c r="F107" s="7" t="str">
        <x:v>ASTM A36</x:v>
      </x:c>
      <x:c r="G107" s="7" t="str">
        <x:v>Fabricación</x:v>
      </x:c>
      <x:c r="H107" s="9" t="n">
        <x:v>0.00003169366163727279</x:v>
      </x:c>
      <x:c r="I107" s="7" t="n">
        <x:v>7850</x:v>
      </x:c>
      <x:c r="J107" s="14" t="n">
        <x:f>H107*I107</x:f>
        <x:v>0.2487952438525914</x:v>
      </x:c>
      <x:c r="K107" s="14" t="n">
        <x:f>IF(ISNUMBER(J107),E107*J107,"n/d")</x:f>
        <x:v>0.2487952438525914</x:v>
      </x:c>
      <x:c r="L107" s="7" t="str">
        <x:v>Volumen CAD y densidad</x:v>
      </x:c>
      <x:c r="M107" s="7" t="str">
        <x:v>Plano de conjunto / detalle funcional: TT10_C05_PC_22</x:v>
      </x:c>
      <x:c r="N107" s="7" t="str">
        <x:v>TT10_C05_BDNB_APOYO_3_TAPA.SLDPRT</x:v>
      </x:c>
    </x:row>
    <x:row r="108" ht="34" customHeight="1">
      <x:c r="B108" s="7" t="n">
        <x:v>102</x:v>
      </x:c>
      <x:c r="C108" s="7" t="str">
        <x:v>TT10_C05_BDNB_BASE</x:v>
      </x:c>
      <x:c r="D108" s="7" t="str">
        <x:v>Base16 con ventana cadena,4pasos11;4M10x35 en placa existente roscadaM10</x:v>
      </x:c>
      <x:c r="E108" s="7" t="n">
        <x:v>1</x:v>
      </x:c>
      <x:c r="F108" s="7" t="str">
        <x:v>ASTM A36</x:v>
      </x:c>
      <x:c r="G108" s="7" t="str">
        <x:v>Fabricación</x:v>
      </x:c>
      <x:c r="H108" s="9" t="n">
        <x:v>0.0003475178766226491</x:v>
      </x:c>
      <x:c r="I108" s="7" t="n">
        <x:v>7849.999999999999</x:v>
      </x:c>
      <x:c r="J108" s="14" t="n">
        <x:f>H108*I108</x:f>
        <x:v>2.728015331487795</x:v>
      </x:c>
      <x:c r="K108" s="14" t="n">
        <x:f>IF(ISNUMBER(J108),E108*J108,"n/d")</x:f>
        <x:v>2.728015331487795</x:v>
      </x:c>
      <x:c r="L108" s="7" t="str">
        <x:v>Volumen CAD y densidad</x:v>
      </x:c>
      <x:c r="M108" s="7" t="str">
        <x:v>Plano de conjunto / detalle funcional: TT10_C05_PC_22</x:v>
      </x:c>
      <x:c r="N108" s="7" t="str">
        <x:v>TT10_C05_BDNB_BASE.SLDPRT</x:v>
      </x:c>
    </x:row>
    <x:row r="109" ht="34" customHeight="1">
      <x:c r="B109" s="7" t="n">
        <x:v>103</x:v>
      </x:c>
      <x:c r="C109" s="7" t="str">
        <x:v>TT10_C05_BDNB_CHAVETA_ENTRADA</x:v>
      </x:c>
      <x:c r="D109" s="7" t="str">
        <x:v>ChavetaDIN6885A8x7, longitud según código</x:v>
      </x:c>
      <x:c r="E109" s="7" t="n">
        <x:v>1</x:v>
      </x:c>
      <x:c r="F109" s="7" t="str">
        <x:v>C45E</x:v>
      </x:c>
      <x:c r="G109" s="7" t="str">
        <x:v>Comercial</x:v>
      </x:c>
      <x:c r="H109" s="9" t="n">
        <x:v>0.0000012320000000000229</x:v>
      </x:c>
      <x:c r="I109" s="7" t="n">
        <x:v>7850</x:v>
      </x:c>
      <x:c r="J109" s="14" t="n">
        <x:f>H109*I109</x:f>
        <x:v>0.00967120000000018</x:v>
      </x:c>
      <x:c r="K109" s="14" t="n">
        <x:f>IF(ISNUMBER(J109),E109*J109,"n/d")</x:f>
        <x:v>0.00967120000000018</x:v>
      </x:c>
      <x:c r="L109" s="7" t="str">
        <x:v>Volumen CAD y densidad</x:v>
      </x:c>
      <x:c r="M109" s="7" t="str">
        <x:v>BOM y montaje TT10_C05_PC_01; sin plano individual</x:v>
      </x:c>
      <x:c r="N109" s="7" t="str">
        <x:v>TT10_C05_BDNB_CHAVETA_ENTRADA.SLDPRT</x:v>
      </x:c>
    </x:row>
    <x:row r="110" ht="34" customHeight="1">
      <x:c r="B110" s="7" t="n">
        <x:v>104</x:v>
      </x:c>
      <x:c r="C110" s="7" t="str">
        <x:v>TT10_C05_BDNB_CHAVETA_SALIDA</x:v>
      </x:c>
      <x:c r="D110" s="7" t="str">
        <x:v>ChavetaDIN6885A8x7, longitud según código</x:v>
      </x:c>
      <x:c r="E110" s="7" t="n">
        <x:v>1</x:v>
      </x:c>
      <x:c r="F110" s="7" t="str">
        <x:v>C45E</x:v>
      </x:c>
      <x:c r="G110" s="7" t="str">
        <x:v>Comercial</x:v>
      </x:c>
      <x:c r="H110" s="9" t="n">
        <x:v>0.0000011200000000000208</x:v>
      </x:c>
      <x:c r="I110" s="7" t="n">
        <x:v>7850.000000000001</x:v>
      </x:c>
      <x:c r="J110" s="14" t="n">
        <x:f>H110*I110</x:f>
        <x:v>0.008792000000000164</x:v>
      </x:c>
      <x:c r="K110" s="14" t="n">
        <x:f>IF(ISNUMBER(J110),E110*J110,"n/d")</x:f>
        <x:v>0.008792000000000164</x:v>
      </x:c>
      <x:c r="L110" s="7" t="str">
        <x:v>Volumen CAD y densidad</x:v>
      </x:c>
      <x:c r="M110" s="7" t="str">
        <x:v>BOM y montaje TT10_C05_PC_01; sin plano individual</x:v>
      </x:c>
      <x:c r="N110" s="7" t="str">
        <x:v>TT10_C05_BDNB_CHAVETA_SALIDA.SLDPRT</x:v>
      </x:c>
    </x:row>
    <x:row r="111" ht="34" customHeight="1">
      <x:c r="B111" s="7" t="n">
        <x:v>105</x:v>
      </x:c>
      <x:c r="C111" s="7" t="str">
        <x:v>TT10_C05_BDNB_CORONA_20D</x:v>
      </x:c>
      <x:c r="D111" s="7" t="str">
        <x:v>Mädler10888120: interfaz modificada30H7/8JS9; dentado visual simplificado</x:v>
      </x:c>
      <x:c r="E111" s="7" t="n">
        <x:v>1</x:v>
      </x:c>
      <x:c r="F111" s="7" t="str">
        <x:v>Equipo comprado</x:v>
      </x:c>
      <x:c r="G111" s="7" t="str">
        <x:v>Comercial</x:v>
      </x:c>
      <x:c r="H111" s="9" t="n">
        <x:v>0.0003199668037050234</x:v>
      </x:c>
      <x:c r="I111" s="7"/>
      <x:c r="J111" s="14" t="str">
        <x:v>n/d</x:v>
      </x:c>
      <x:c r="K111" s="14" t="str">
        <x:f>IF(ISNUMBER(J111),E111*J111,"n/d")</x:f>
        <x:v>n/d</x:v>
      </x:c>
      <x:c r="L111" s="7" t="str">
        <x:v>Masa comercial sin acreditar</x:v>
      </x:c>
      <x:c r="M111" s="7" t="str">
        <x:v>BOM y montaje TT10_C05_PC_01; sin plano individual</x:v>
      </x:c>
      <x:c r="N111" s="7" t="str">
        <x:v>TT10_C05_BDNB_CORONA_20D.SLDPRT</x:v>
      </x:c>
    </x:row>
    <x:row r="112" ht="34" customHeight="1">
      <x:c r="B112" s="7" t="n">
        <x:v>106</x:v>
      </x:c>
      <x:c r="C112" s="7" t="str">
        <x:v>TT10_C05_BDNB_CUBO_SELECTOR</x:v>
      </x:c>
      <x:c r="D112" s="7" t="str">
        <x:v>Cubo manual con corona integral z48,m2.5,20 grados; asiento47 y garras conservadas</x:v>
      </x:c>
      <x:c r="E112" s="7" t="n">
        <x:v>1</x:v>
      </x:c>
      <x:c r="F112" s="7" t="str">
        <x:v>AISI 4140 bonificado</x:v>
      </x:c>
      <x:c r="G112" s="7" t="str">
        <x:v>Fabricación</x:v>
      </x:c>
      <x:c r="H112" s="9" t="n">
        <x:v>0.0003506090279183583</x:v>
      </x:c>
      <x:c r="I112" s="7" t="n">
        <x:v>7850.000000000001</x:v>
      </x:c>
      <x:c r="J112" s="14" t="n">
        <x:f>H112*I112</x:f>
        <x:v>2.752280869159113</x:v>
      </x:c>
      <x:c r="K112" s="14" t="n">
        <x:f>IF(ISNUMBER(J112),E112*J112,"n/d")</x:f>
        <x:v>2.752280869159113</x:v>
      </x:c>
      <x:c r="L112" s="7" t="str">
        <x:v>Volumen CAD y densidad</x:v>
      </x:c>
      <x:c r="M112" s="7" t="str">
        <x:v>Plano de conjunto / detalle funcional: TT10_C05_PC_23</x:v>
      </x:c>
      <x:c r="N112" s="7" t="str">
        <x:v>TT10_C05_BDNB_CUBO_SELECTOR.SLDPRT</x:v>
      </x:c>
    </x:row>
    <x:row r="113" ht="34" customHeight="1">
      <x:c r="B113" s="7" t="n">
        <x:v>107</x:v>
      </x:c>
      <x:c r="C113" s="7" t="str">
        <x:v>TT10_C05_BDNB_EJE_ENTRADA</x:v>
      </x:c>
      <x:c r="D113" s="7" t="str">
        <x:v>Eje30h6; socket12.73; chaveta8x7; taladro transversal4.825</x:v>
      </x:c>
      <x:c r="E113" s="7" t="n">
        <x:v>1</x:v>
      </x:c>
      <x:c r="F113" s="7" t="str">
        <x:v>AISI 4140 bonificado</x:v>
      </x:c>
      <x:c r="G113" s="7" t="str">
        <x:v>Fabricación</x:v>
      </x:c>
      <x:c r="H113" s="9" t="n">
        <x:v>0.00005852643761192953</x:v>
      </x:c>
      <x:c r="I113" s="7" t="n">
        <x:v>7850</x:v>
      </x:c>
      <x:c r="J113" s="14" t="n">
        <x:f>H113*I113</x:f>
        <x:v>0.4594325352536468</x:v>
      </x:c>
      <x:c r="K113" s="14" t="n">
        <x:f>IF(ISNUMBER(J113),E113*J113,"n/d")</x:f>
        <x:v>0.4594325352536468</x:v>
      </x:c>
      <x:c r="L113" s="7" t="str">
        <x:v>Volumen CAD y densidad de fuente de diseño (7850 kg/m³)</x:v>
      </x:c>
      <x:c r="M113" s="7" t="str">
        <x:v>Plano de conjunto / detalle funcional: TT10_C05_PC_23</x:v>
      </x:c>
      <x:c r="N113" s="7" t="str">
        <x:v>TT10_C05_BDNB_EJE_ENTRADA_B02.SLDPRT</x:v>
      </x:c>
    </x:row>
    <x:row r="114" ht="34" customHeight="1">
      <x:c r="B114" s="7" t="n">
        <x:v>108</x:v>
      </x:c>
      <x:c r="C114" s="7" t="str">
        <x:v>TT10_C05_BDNB_EJE_SALIDA</x:v>
      </x:c>
      <x:c r="D114" s="7" t="str">
        <x:v>Eje30h6, espiga12.70; dos6906; chaveta8x7; unión positiva3/16</x:v>
      </x:c>
      <x:c r="E114" s="7" t="n">
        <x:v>1</x:v>
      </x:c>
      <x:c r="F114" s="7" t="str">
        <x:v>AISI 4140 bonificado</x:v>
      </x:c>
      <x:c r="G114" s="7" t="str">
        <x:v>Fabricación</x:v>
      </x:c>
      <x:c r="H114" s="9" t="n">
        <x:v>0.00004123412607397491</x:v>
      </x:c>
      <x:c r="I114" s="7" t="n">
        <x:v>7850</x:v>
      </x:c>
      <x:c r="J114" s="14" t="n">
        <x:f>H114*I114</x:f>
        <x:v>0.323687889680703</x:v>
      </x:c>
      <x:c r="K114" s="14" t="n">
        <x:f>IF(ISNUMBER(J114),E114*J114,"n/d")</x:f>
        <x:v>0.323687889680703</x:v>
      </x:c>
      <x:c r="L114" s="7" t="str">
        <x:v>Volumen CAD y densidad de fuente de diseño (7850 kg/m³)</x:v>
      </x:c>
      <x:c r="M114" s="7" t="str">
        <x:v>Plano de conjunto / detalle funcional: TT10_C05_PC_23</x:v>
      </x:c>
      <x:c r="N114" s="7" t="str">
        <x:v>TT10_C05_BDNB_EJE_SALIDA.SLDPRT</x:v>
      </x:c>
    </x:row>
    <x:row r="115" ht="34" customHeight="1">
      <x:c r="B115" s="7" t="n">
        <x:v>109</x:v>
      </x:c>
      <x:c r="C115" s="7" t="str">
        <x:v>TT10_C05_BDNB_ENGRANAJE</x:v>
      </x:c>
      <x:c r="D115" s="7" t="str">
        <x:v>Engranaje48d,m2.5,20grados,b20;30H7,8JS9</x:v>
      </x:c>
      <x:c r="E115" s="7" t="n">
        <x:v>1</x:v>
      </x:c>
      <x:c r="F115" s="7" t="str">
        <x:v>AISI 4140 bonificado</x:v>
      </x:c>
      <x:c r="G115" s="7" t="str">
        <x:v>Fabricación</x:v>
      </x:c>
      <x:c r="H115" s="9" t="n">
        <x:v>0.00020949506056709943</x:v>
      </x:c>
      <x:c r="I115" s="7" t="n">
        <x:v>7850</x:v>
      </x:c>
      <x:c r="J115" s="14" t="n">
        <x:f>H115*I115</x:f>
        <x:v>1.6445362254517306</x:v>
      </x:c>
      <x:c r="K115" s="14" t="n">
        <x:f>IF(ISNUMBER(J115),E115*J115,"n/d")</x:f>
        <x:v>1.6445362254517306</x:v>
      </x:c>
      <x:c r="L115" s="7" t="str">
        <x:v>Volumen CAD y densidad</x:v>
      </x:c>
      <x:c r="M115" s="7" t="str">
        <x:v>Plano de conjunto / detalle funcional: TT10_C05_PC_23</x:v>
      </x:c>
      <x:c r="N115" s="7" t="str">
        <x:v>TT10_C05_BDNB_ENGRANAJE.SLDPRT</x:v>
      </x:c>
    </x:row>
    <x:row r="116" ht="34" customHeight="1">
      <x:c r="B116" s="7" t="n">
        <x:v>110</x:v>
      </x:c>
      <x:c r="C116" s="7" t="str">
        <x:v>TT10_C05_BDNB_M10</x:v>
      </x:c>
      <x:c r="D116" s="7" t="str">
        <x:v>TornilloISO4017 M10x35-8.8; rosca nominal</x:v>
      </x:c>
      <x:c r="E116" s="7" t="n">
        <x:v>4</x:v>
      </x:c>
      <x:c r="F116" s="7" t="str">
        <x:v>Clase 8.8 / ISO 898-1</x:v>
      </x:c>
      <x:c r="G116" s="7" t="str">
        <x:v>Comercial</x:v>
      </x:c>
      <x:c r="H116" s="9" t="n">
        <x:v>0.000004167789593451496</x:v>
      </x:c>
      <x:c r="I116" s="7" t="n">
        <x:v>7850</x:v>
      </x:c>
      <x:c r="J116" s="14" t="n">
        <x:f>H116*I116</x:f>
        <x:v>0.03271714830859424</x:v>
      </x:c>
      <x:c r="K116" s="14" t="n">
        <x:f>IF(ISNUMBER(J116),E116*J116,"n/d")</x:f>
        <x:v>0.13086859323437697</x:v>
      </x:c>
      <x:c r="L116" s="7" t="str">
        <x:v>Volumen CAD y densidad</x:v>
      </x:c>
      <x:c r="M116" s="7" t="str">
        <x:v>BOM y montaje TT10_C05_PC_01; sin plano individual</x:v>
      </x:c>
      <x:c r="N116" s="7" t="str">
        <x:v>TT10_C05_BDNB_M10.SLDPRT</x:v>
      </x:c>
    </x:row>
    <x:row r="117" ht="34" customHeight="1">
      <x:c r="B117" s="7" t="n">
        <x:v>111</x:v>
      </x:c>
      <x:c r="C117" s="7" t="str">
        <x:v>TT10_C05_BDNB_M5</x:v>
      </x:c>
      <x:c r="D117" s="7" t="str">
        <x:v>ISO4017 M5x20-8.8, rosca nominal</x:v>
      </x:c>
      <x:c r="E117" s="7" t="n">
        <x:v>4</x:v>
      </x:c>
      <x:c r="F117" s="7" t="str">
        <x:v>Clase 8.8 / ISO 898-1</x:v>
      </x:c>
      <x:c r="G117" s="7" t="str">
        <x:v>Comercial</x:v>
      </x:c>
      <x:c r="H117" s="9" t="n">
        <x:v>5.866887721464385e-7</x:v>
      </x:c>
      <x:c r="I117" s="7" t="n">
        <x:v>7850</x:v>
      </x:c>
      <x:c r="J117" s="14" t="n">
        <x:f>H117*I117</x:f>
        <x:v>0.004605506861349543</x:v>
      </x:c>
      <x:c r="K117" s="14" t="n">
        <x:f>IF(ISNUMBER(J117),E117*J117,"n/d")</x:f>
        <x:v>0.01842202744539817</x:v>
      </x:c>
      <x:c r="L117" s="7" t="str">
        <x:v>Volumen CAD y densidad</x:v>
      </x:c>
      <x:c r="M117" s="7" t="str">
        <x:v>BOM y montaje TT10_C05_PC_01; sin plano individual</x:v>
      </x:c>
      <x:c r="N117" s="7" t="str">
        <x:v>TT10_C05_BDNB_M5.SLDPRT</x:v>
      </x:c>
    </x:row>
    <x:row r="118" ht="34" customHeight="1">
      <x:c r="B118" s="7" t="n">
        <x:v>112</x:v>
      </x:c>
      <x:c r="C118" s="7" t="str">
        <x:v>TT10_C05_BDNB_M6</x:v>
      </x:c>
      <x:c r="D118" s="7" t="str">
        <x:v>TornilloISO4017 M6x60-8.8; rosca nominal</x:v>
      </x:c>
      <x:c r="E118" s="7" t="n">
        <x:v>8</x:v>
      </x:c>
      <x:c r="F118" s="7" t="str">
        <x:v>Clase 8.8 / ISO 898-1</x:v>
      </x:c>
      <x:c r="G118" s="7" t="str">
        <x:v>Comercial</x:v>
      </x:c>
      <x:c r="H118" s="9" t="n">
        <x:v>0.0000020428701944522644</x:v>
      </x:c>
      <x:c r="I118" s="7" t="n">
        <x:v>7850</x:v>
      </x:c>
      <x:c r="J118" s="14" t="n">
        <x:f>H118*I118</x:f>
        <x:v>0.016036531026450276</x:v>
      </x:c>
      <x:c r="K118" s="14" t="n">
        <x:f>IF(ISNUMBER(J118),E118*J118,"n/d")</x:f>
        <x:v>0.1282922482116022</x:v>
      </x:c>
      <x:c r="L118" s="7" t="str">
        <x:v>Volumen CAD y densidad</x:v>
      </x:c>
      <x:c r="M118" s="7" t="str">
        <x:v>BOM y montaje TT10_C05_PC_01; sin plano individual</x:v>
      </x:c>
      <x:c r="N118" s="7" t="str">
        <x:v>TT10_C05_BDNB_M6.SLDPRT</x:v>
      </x:c>
    </x:row>
    <x:row r="119" ht="34" customHeight="1">
      <x:c r="B119" s="7" t="n">
        <x:v>113</x:v>
      </x:c>
      <x:c r="C119" s="7" t="str">
        <x:v>TT10_C05_BDNB_N3_ENTRADA</x:v>
      </x:c>
      <x:c r="D119" s="7" t="str">
        <x:v>TuercaISO7042 M3 autoblocante metálica, rosca nominal</x:v>
      </x:c>
      <x:c r="E119" s="7" t="n">
        <x:v>1</x:v>
      </x:c>
      <x:c r="F119" s="7" t="str">
        <x:v>Tuerca clase 8 / ISO 898-2</x:v>
      </x:c>
      <x:c r="G119" s="7" t="str">
        <x:v>Comercial</x:v>
      </x:c>
      <x:c r="H119" s="9" t="n">
        <x:v>8.515411977298088e-8</x:v>
      </x:c>
      <x:c r="I119" s="7" t="n">
        <x:v>7850</x:v>
      </x:c>
      <x:c r="J119" s="14" t="n">
        <x:f>H119*I119</x:f>
        <x:v>0.0006684598402179</x:v>
      </x:c>
      <x:c r="K119" s="14" t="n">
        <x:f>IF(ISNUMBER(J119),E119*J119,"n/d")</x:f>
        <x:v>0.0006684598402179</x:v>
      </x:c>
      <x:c r="L119" s="7" t="str">
        <x:v>Volumen CAD y densidad</x:v>
      </x:c>
      <x:c r="M119" s="7" t="str">
        <x:v>BOM y montaje TT10_C05_PC_01; sin plano individual</x:v>
      </x:c>
      <x:c r="N119" s="7" t="str">
        <x:v>TT10_C05_BDNB_N3_ENTRADA.SLDPRT</x:v>
      </x:c>
    </x:row>
    <x:row r="120" ht="34" customHeight="1">
      <x:c r="B120" s="7" t="n">
        <x:v>114</x:v>
      </x:c>
      <x:c r="C120" s="7" t="str">
        <x:v>TT10_C05_BDNB_N3_SALIDA</x:v>
      </x:c>
      <x:c r="D120" s="7" t="str">
        <x:v>TuercaISO7042 M3 autoblocante metálica, rosca nominal</x:v>
      </x:c>
      <x:c r="E120" s="7" t="n">
        <x:v>1</x:v>
      </x:c>
      <x:c r="F120" s="7" t="str">
        <x:v>Tuerca clase 8 / ISO 898-2</x:v>
      </x:c>
      <x:c r="G120" s="7" t="str">
        <x:v>Comercial</x:v>
      </x:c>
      <x:c r="H120" s="9" t="n">
        <x:v>8.515411977298087e-8</x:v>
      </x:c>
      <x:c r="I120" s="7" t="n">
        <x:v>7850</x:v>
      </x:c>
      <x:c r="J120" s="14" t="n">
        <x:f>H120*I120</x:f>
        <x:v>0.0006684598402178999</x:v>
      </x:c>
      <x:c r="K120" s="14" t="n">
        <x:f>IF(ISNUMBER(J120),E120*J120,"n/d")</x:f>
        <x:v>0.0006684598402178999</x:v>
      </x:c>
      <x:c r="L120" s="7" t="str">
        <x:v>Volumen CAD y densidad</x:v>
      </x:c>
      <x:c r="M120" s="7" t="str">
        <x:v>BOM y montaje TT10_C05_PC_01; sin plano individual</x:v>
      </x:c>
      <x:c r="N120" s="7" t="str">
        <x:v>TT10_C05_BDNB_N3_SALIDA.SLDPRT</x:v>
      </x:c>
    </x:row>
    <x:row r="121" ht="34" customHeight="1">
      <x:c r="B121" s="7" t="n">
        <x:v>115</x:v>
      </x:c>
      <x:c r="C121" s="7" t="str">
        <x:v>TT10_C05_BDNB_N5</x:v>
      </x:c>
      <x:c r="D121" s="7" t="str">
        <x:v>TuercaISO4032 M5-8; rosca nominal</x:v>
      </x:c>
      <x:c r="E121" s="7" t="n">
        <x:v>4</x:v>
      </x:c>
      <x:c r="F121" s="7" t="str">
        <x:v>Tuerca clase 8 / ISO 898-2</x:v>
      </x:c>
      <x:c r="G121" s="7" t="str">
        <x:v>Comercial</x:v>
      </x:c>
      <x:c r="H121" s="9" t="n">
        <x:v>1.6628480895949237e-7</x:v>
      </x:c>
      <x:c r="I121" s="7" t="n">
        <x:v>7850</x:v>
      </x:c>
      <x:c r="J121" s="14" t="n">
        <x:f>H121*I121</x:f>
        <x:v>0.0013053357503320152</x:v>
      </x:c>
      <x:c r="K121" s="14" t="n">
        <x:f>IF(ISNUMBER(J121),E121*J121,"n/d")</x:f>
        <x:v>0.005221343001328061</x:v>
      </x:c>
      <x:c r="L121" s="7" t="str">
        <x:v>Volumen CAD y densidad</x:v>
      </x:c>
      <x:c r="M121" s="7" t="str">
        <x:v>BOM y montaje TT10_C05_PC_01; sin plano individual</x:v>
      </x:c>
      <x:c r="N121" s="7" t="str">
        <x:v>TT10_C05_BDNB_N5.SLDPRT</x:v>
      </x:c>
    </x:row>
    <x:row r="122" ht="34" customHeight="1">
      <x:c r="B122" s="7" t="n">
        <x:v>116</x:v>
      </x:c>
      <x:c r="C122" s="7" t="str">
        <x:v>TT10_C05_BDNB_PASADOR_ENTRADA</x:v>
      </x:c>
      <x:c r="D122" s="7" t="str">
        <x:v>Pasador transversal3/16, cabeza7, puntaM3x5; C45E bonificado, Rp0.2 minimo650MPa</x:v>
      </x:c>
      <x:c r="E122" s="7" t="n">
        <x:v>1</x:v>
      </x:c>
      <x:c r="F122" s="7" t="str">
        <x:v>C45E / EN 10083-2</x:v>
      </x:c>
      <x:c r="G122" s="7" t="str">
        <x:v>Fabricación</x:v>
      </x:c>
      <x:c r="H122" s="9" t="n">
        <x:v>7.179857209745629e-7</x:v>
      </x:c>
      <x:c r="I122" s="7" t="n">
        <x:v>7850</x:v>
      </x:c>
      <x:c r="J122" s="14" t="n">
        <x:f>H122*I122</x:f>
        <x:v>0.005636187909650319</x:v>
      </x:c>
      <x:c r="K122" s="14" t="n">
        <x:f>IF(ISNUMBER(J122),E122*J122,"n/d")</x:f>
        <x:v>0.005636187909650319</x:v>
      </x:c>
      <x:c r="L122" s="7" t="str">
        <x:v>Volumen CAD y densidad</x:v>
      </x:c>
      <x:c r="M122" s="7" t="str">
        <x:v>Plano de conjunto / detalle funcional: TT10_C05_PC_23</x:v>
      </x:c>
      <x:c r="N122" s="7" t="str">
        <x:v>TT10_C05_BDNB_PASADOR_ENTRADA.SLDPRT</x:v>
      </x:c>
    </x:row>
    <x:row r="123" ht="34" customHeight="1">
      <x:c r="B123" s="7" t="n">
        <x:v>117</x:v>
      </x:c>
      <x:c r="C123" s="7" t="str">
        <x:v>TT10_C05_BDNB_PASADOR_SALIDA</x:v>
      </x:c>
      <x:c r="D123" s="7" t="str">
        <x:v>Pasador transversal3/16, cabeza7, puntaM3x5; C45E bonificado, Rp0.2 minimo650MPa</x:v>
      </x:c>
      <x:c r="E123" s="7" t="n">
        <x:v>1</x:v>
      </x:c>
      <x:c r="F123" s="7" t="str">
        <x:v>C45E / EN 10083-2</x:v>
      </x:c>
      <x:c r="G123" s="7" t="str">
        <x:v>Fabricación</x:v>
      </x:c>
      <x:c r="H123" s="9" t="n">
        <x:v>5.04218503230306e-7</x:v>
      </x:c>
      <x:c r="I123" s="7" t="n">
        <x:v>7849.999999999999</x:v>
      </x:c>
      <x:c r="J123" s="14" t="n">
        <x:f>H123*I123</x:f>
        <x:v>0.003958115250357902</x:v>
      </x:c>
      <x:c r="K123" s="14" t="n">
        <x:f>IF(ISNUMBER(J123),E123*J123,"n/d")</x:f>
        <x:v>0.003958115250357902</x:v>
      </x:c>
      <x:c r="L123" s="7" t="str">
        <x:v>Volumen CAD y densidad</x:v>
      </x:c>
      <x:c r="M123" s="7" t="str">
        <x:v>Plano de conjunto / detalle funcional: TT10_C05_PC_23</x:v>
      </x:c>
      <x:c r="N123" s="7" t="str">
        <x:v>TT10_C05_BDNB_PASADOR_SALIDA.SLDPRT</x:v>
      </x:c>
    </x:row>
    <x:row r="124" ht="34" customHeight="1">
      <x:c r="B124" s="7" t="n">
        <x:v>118</x:v>
      </x:c>
      <x:c r="C124" s="7" t="str">
        <x:v>TT10_C05_BDNB_PLACA_REACCION</x:v>
      </x:c>
      <x:c r="D124" s="7" t="str">
        <x:v>Reacción BDNB8mm,4Ø5.5PCD53.85; soldaduraa4 ambos lados a base</x:v>
      </x:c>
      <x:c r="E124" s="7" t="n">
        <x:v>1</x:v>
      </x:c>
      <x:c r="F124" s="7" t="str">
        <x:v>ASTM A36</x:v>
      </x:c>
      <x:c r="G124" s="7" t="str">
        <x:v>Fabricación</x:v>
      </x:c>
      <x:c r="H124" s="9" t="n">
        <x:v>0.00010736989400737638</x:v>
      </x:c>
      <x:c r="I124" s="7" t="n">
        <x:v>7850</x:v>
      </x:c>
      <x:c r="J124" s="14" t="n">
        <x:f>H124*I124</x:f>
        <x:v>0.8428536679579046</x:v>
      </x:c>
      <x:c r="K124" s="14" t="n">
        <x:f>IF(ISNUMBER(J124),E124*J124,"n/d")</x:f>
        <x:v>0.8428536679579046</x:v>
      </x:c>
      <x:c r="L124" s="7" t="str">
        <x:v>Volumen CAD y densidad</x:v>
      </x:c>
      <x:c r="M124" s="7" t="str">
        <x:v>Plano de conjunto / detalle funcional: TT10_C05_PC_22</x:v>
      </x:c>
      <x:c r="N124" s="7" t="str">
        <x:v>TT10_C05_BDNB_PLACA_REACCION.SLDPRT</x:v>
      </x:c>
    </x:row>
    <x:row r="125" ht="34" customHeight="1">
      <x:c r="B125" s="7" t="n">
        <x:v>119</x:v>
      </x:c>
      <x:c r="C125" s="7" t="str">
        <x:v>TT10_C05_BDNB_RODAMIENTO_0</x:v>
      </x:c>
      <x:c r="D125" s="7" t="str">
        <x:v>RodamientoSKF6006; envolvente de montaje; selección de vida separada</x:v>
      </x:c>
      <x:c r="E125" s="7" t="n">
        <x:v>1</x:v>
      </x:c>
      <x:c r="F125" s="7" t="str">
        <x:v>Equipo comprado</x:v>
      </x:c>
      <x:c r="G125" s="7" t="str">
        <x:v>Comercial</x:v>
      </x:c>
      <x:c r="H125" s="9" t="n">
        <x:v>0.00002169662426385442</x:v>
      </x:c>
      <x:c r="I125" s="7"/>
      <x:c r="J125" s="14" t="str">
        <x:v>n/d</x:v>
      </x:c>
      <x:c r="K125" s="14" t="str">
        <x:f>IF(ISNUMBER(J125),E125*J125,"n/d")</x:f>
        <x:v>n/d</x:v>
      </x:c>
      <x:c r="L125" s="7" t="str">
        <x:v>Masa comercial sin acreditar</x:v>
      </x:c>
      <x:c r="M125" s="7" t="str">
        <x:v>BOM y montaje TT10_C05_PC_01; sin plano individual</x:v>
      </x:c>
      <x:c r="N125" s="7" t="str">
        <x:v>TT10_C05_BDNB_RODAMIENTO_0_B02.SLDPRT</x:v>
      </x:c>
    </x:row>
    <x:row r="126" ht="34" customHeight="1">
      <x:c r="B126" s="7" t="n">
        <x:v>120</x:v>
      </x:c>
      <x:c r="C126" s="7" t="str">
        <x:v>TT10_C05_BDNB_RODAMIENTO_1</x:v>
      </x:c>
      <x:c r="D126" s="7" t="str">
        <x:v>RodamientoSKF6006; envolvente de montaje; selección de vida separada</x:v>
      </x:c>
      <x:c r="E126" s="7" t="n">
        <x:v>1</x:v>
      </x:c>
      <x:c r="F126" s="7" t="str">
        <x:v>Equipo comprado</x:v>
      </x:c>
      <x:c r="G126" s="7" t="str">
        <x:v>Comercial</x:v>
      </x:c>
      <x:c r="H126" s="9" t="n">
        <x:v>0.00002169662426385442</x:v>
      </x:c>
      <x:c r="I126" s="7"/>
      <x:c r="J126" s="14" t="str">
        <x:v>n/d</x:v>
      </x:c>
      <x:c r="K126" s="14" t="str">
        <x:f>IF(ISNUMBER(J126),E126*J126,"n/d")</x:f>
        <x:v>n/d</x:v>
      </x:c>
      <x:c r="L126" s="7" t="str">
        <x:v>Masa comercial sin acreditar</x:v>
      </x:c>
      <x:c r="M126" s="7" t="str">
        <x:v>BOM y montaje TT10_C05_PC_01; sin plano individual</x:v>
      </x:c>
      <x:c r="N126" s="7" t="str">
        <x:v>TT10_C05_BDNB_RODAMIENTO_1_B02.SLDPRT</x:v>
      </x:c>
    </x:row>
    <x:row r="127" ht="34" customHeight="1">
      <x:c r="B127" s="7" t="n">
        <x:v>121</x:v>
      </x:c>
      <x:c r="C127" s="7" t="str">
        <x:v>TT10_C05_BDNB_RODAMIENTO_2</x:v>
      </x:c>
      <x:c r="D127" s="7" t="str">
        <x:v>RodamientoSKF6906; envolvente de montaje; selección de vida separada</x:v>
      </x:c>
      <x:c r="E127" s="7" t="n">
        <x:v>1</x:v>
      </x:c>
      <x:c r="F127" s="7" t="str">
        <x:v>Equipo comprado</x:v>
      </x:c>
      <x:c r="G127" s="7" t="str">
        <x:v>Comercial</x:v>
      </x:c>
      <x:c r="H127" s="9" t="n">
        <x:v>0.000009252775762985294</x:v>
      </x:c>
      <x:c r="I127" s="7"/>
      <x:c r="J127" s="14" t="str">
        <x:v>n/d</x:v>
      </x:c>
      <x:c r="K127" s="14" t="str">
        <x:f>IF(ISNUMBER(J127),E127*J127,"n/d")</x:f>
        <x:v>n/d</x:v>
      </x:c>
      <x:c r="L127" s="7" t="str">
        <x:v>Masa comercial sin acreditar</x:v>
      </x:c>
      <x:c r="M127" s="7" t="str">
        <x:v>BOM y montaje TT10_C05_PC_01; sin plano individual</x:v>
      </x:c>
      <x:c r="N127" s="7" t="str">
        <x:v>TT10_C05_BDNB_RODAMIENTO_2.SLDPRT</x:v>
      </x:c>
    </x:row>
    <x:row r="128" ht="34" customHeight="1">
      <x:c r="B128" s="7" t="n">
        <x:v>122</x:v>
      </x:c>
      <x:c r="C128" s="7" t="str">
        <x:v>TT10_C05_BDNB_RODAMIENTO_3</x:v>
      </x:c>
      <x:c r="D128" s="7" t="str">
        <x:v>RodamientoSKF6906; envolvente de montaje; selección de vida separada</x:v>
      </x:c>
      <x:c r="E128" s="7" t="n">
        <x:v>1</x:v>
      </x:c>
      <x:c r="F128" s="7" t="str">
        <x:v>Equipo comprado</x:v>
      </x:c>
      <x:c r="G128" s="7" t="str">
        <x:v>Comercial</x:v>
      </x:c>
      <x:c r="H128" s="9" t="n">
        <x:v>0.000009252775762985294</x:v>
      </x:c>
      <x:c r="I128" s="7"/>
      <x:c r="J128" s="14" t="str">
        <x:v>n/d</x:v>
      </x:c>
      <x:c r="K128" s="14" t="str">
        <x:f>IF(ISNUMBER(J128),E128*J128,"n/d")</x:f>
        <x:v>n/d</x:v>
      </x:c>
      <x:c r="L128" s="7" t="str">
        <x:v>Masa comercial sin acreditar</x:v>
      </x:c>
      <x:c r="M128" s="7" t="str">
        <x:v>BOM y montaje TT10_C05_PC_01; sin plano individual</x:v>
      </x:c>
      <x:c r="N128" s="7" t="str">
        <x:v>TT10_C05_BDNB_RODAMIENTO_3.SLDPRT</x:v>
      </x:c>
    </x:row>
    <x:row r="129" ht="34" customHeight="1">
      <x:c r="B129" s="7" t="n">
        <x:v>123</x:v>
      </x:c>
      <x:c r="C129" s="7" t="str">
        <x:v>TT10_C05_BDNB_W10</x:v>
      </x:c>
      <x:c r="D129" s="7" t="str">
        <x:v>ArandelaISO7089 M10</x:v>
      </x:c>
      <x:c r="E129" s="7" t="n">
        <x:v>4</x:v>
      </x:c>
      <x:c r="F129" s="7" t="str">
        <x:v>Arandela endurecida 300 HV / ISO 7089</x:v>
      </x:c>
      <x:c r="G129" s="7" t="str">
        <x:v>Comercial</x:v>
      </x:c>
      <x:c r="H129" s="9" t="n">
        <x:v>4.5513823568882137e-7</x:v>
      </x:c>
      <x:c r="I129" s="7" t="n">
        <x:v>7850</x:v>
      </x:c>
      <x:c r="J129" s="14" t="n">
        <x:f>H129*I129</x:f>
        <x:v>0.0035728351501572476</x:v>
      </x:c>
      <x:c r="K129" s="14" t="n">
        <x:f>IF(ISNUMBER(J129),E129*J129,"n/d")</x:f>
        <x:v>0.01429134060062899</x:v>
      </x:c>
      <x:c r="L129" s="7" t="str">
        <x:v>Volumen CAD y densidad</x:v>
      </x:c>
      <x:c r="M129" s="7" t="str">
        <x:v>BOM y montaje TT10_C05_PC_01; sin plano individual</x:v>
      </x:c>
      <x:c r="N129" s="7" t="str">
        <x:v>TT10_C05_BDNB_W10.SLDPRT</x:v>
      </x:c>
    </x:row>
    <x:row r="130" ht="34" customHeight="1">
      <x:c r="B130" s="7" t="n">
        <x:v>124</x:v>
      </x:c>
      <x:c r="C130" s="7" t="str">
        <x:v>TT10_C05_BDNB_W5</x:v>
      </x:c>
      <x:c r="D130" s="7" t="str">
        <x:v>ArandelaDIN433 M5,9x5.3x1</x:v>
      </x:c>
      <x:c r="E130" s="7" t="n">
        <x:v>4</x:v>
      </x:c>
      <x:c r="F130" s="7" t="str">
        <x:v>Arandela endurecida 300 HV / ISO 7089</x:v>
      </x:c>
      <x:c r="G130" s="7" t="str">
        <x:v>Comercial</x:v>
      </x:c>
      <x:c r="H130" s="9" t="n">
        <x:v>4.155541682535898e-8</x:v>
      </x:c>
      <x:c r="I130" s="7" t="n">
        <x:v>7849.999999999999</x:v>
      </x:c>
      <x:c r="J130" s="14" t="n">
        <x:f>H130*I130</x:f>
        <x:v>0.00032621002207906797</x:v>
      </x:c>
      <x:c r="K130" s="14" t="n">
        <x:f>IF(ISNUMBER(J130),E130*J130,"n/d")</x:f>
        <x:v>0.0013048400883162719</x:v>
      </x:c>
      <x:c r="L130" s="7" t="str">
        <x:v>Volumen CAD y densidad</x:v>
      </x:c>
      <x:c r="M130" s="7" t="str">
        <x:v>BOM y montaje TT10_C05_PC_01; sin plano individual</x:v>
      </x:c>
      <x:c r="N130" s="7" t="str">
        <x:v>TT10_C05_BDNB_W5.SLDPRT</x:v>
      </x:c>
    </x:row>
    <x:row r="131" ht="34" customHeight="1">
      <x:c r="B131" s="7" t="n">
        <x:v>125</x:v>
      </x:c>
      <x:c r="C131" s="7" t="str">
        <x:v>TT10_C05_BDNB_W6</x:v>
      </x:c>
      <x:c r="D131" s="7" t="str">
        <x:v>ArandelaISO7089 M6</x:v>
      </x:c>
      <x:c r="E131" s="7" t="n">
        <x:v>8</x:v>
      </x:c>
      <x:c r="F131" s="7" t="str">
        <x:v>Arandela endurecida 300 HV / ISO 7089</x:v>
      </x:c>
      <x:c r="G131" s="7" t="str">
        <x:v>Comercial</x:v>
      </x:c>
      <x:c r="H131" s="9" t="n">
        <x:v>1.2948388281035694e-7</x:v>
      </x:c>
      <x:c r="I131" s="7" t="n">
        <x:v>7850</x:v>
      </x:c>
      <x:c r="J131" s="14" t="n">
        <x:f>H131*I131</x:f>
        <x:v>0.001016448480061302</x:v>
      </x:c>
      <x:c r="K131" s="14" t="n">
        <x:f>IF(ISNUMBER(J131),E131*J131,"n/d")</x:f>
        <x:v>0.008131587840490416</x:v>
      </x:c>
      <x:c r="L131" s="7" t="str">
        <x:v>Volumen CAD y densidad</x:v>
      </x:c>
      <x:c r="M131" s="7" t="str">
        <x:v>BOM y montaje TT10_C05_PC_01; sin plano individual</x:v>
      </x:c>
      <x:c r="N131" s="7" t="str">
        <x:v>TT10_C05_BDNB_W6.SLDPRT</x:v>
      </x:c>
    </x:row>
    <x:row r="132" ht="34" customHeight="1">
      <x:c r="B132" s="7" t="n">
        <x:v>126</x:v>
      </x:c>
      <x:c r="C132" s="7" t="str">
        <x:v>TT10_C05_BLOQUE_SELECTOR</x:v>
      </x:c>
      <x:c r="D132" s="7" t="str">
        <x:v>BloqueC03 conservado con4M4laterales para retencion cautiva</x:v>
      </x:c>
      <x:c r="E132" s="7" t="n">
        <x:v>1</x:v>
      </x:c>
      <x:c r="F132" s="7" t="str">
        <x:v>ASTM A36</x:v>
      </x:c>
      <x:c r="G132" s="7" t="str">
        <x:v>Fabricación</x:v>
      </x:c>
      <x:c r="H132" s="9" t="n">
        <x:v>0.0000530843553293661</x:v>
      </x:c>
      <x:c r="I132" s="7" t="n">
        <x:v>7850.000000000001</x:v>
      </x:c>
      <x:c r="J132" s="14" t="n">
        <x:f>H132*I132</x:f>
        <x:v>0.4167121893355239</x:v>
      </x:c>
      <x:c r="K132" s="14" t="n">
        <x:f>IF(ISNUMBER(J132),E132*J132,"n/d")</x:f>
        <x:v>0.4167121893355239</x:v>
      </x:c>
      <x:c r="L132" s="7" t="str">
        <x:v>CAD_volume_x_specified_density</x:v>
      </x:c>
      <x:c r="M132" s="7" t="str">
        <x:v>Plano de conjunto / detalle funcional: TT10_C05_PC_21</x:v>
      </x:c>
      <x:c r="N132" s="7" t="str">
        <x:v>C05E_TT10_C05_BLOQUE_SELECTOR.SLDPRT</x:v>
      </x:c>
    </x:row>
    <x:row r="133" ht="34" customHeight="1">
      <x:c r="B133" s="7" t="n">
        <x:v>127</x:v>
      </x:c>
      <x:c r="C133" s="7" t="str">
        <x:v>TT10_C05_CORREDERA_TENSOR</x:v>
      </x:c>
      <x:c r="D133" s="7" t="str">
        <x:v>Corredera comun590x320x20;4ranuras22x62; carrera Y+/-20mm; ambos postes solidarios</x:v>
      </x:c>
      <x:c r="E133" s="7" t="n">
        <x:v>1</x:v>
      </x:c>
      <x:c r="F133" s="7" t="str">
        <x:v>ASTM A36</x:v>
      </x:c>
      <x:c r="G133" s="7" t="str">
        <x:v>Fabricación</x:v>
      </x:c>
      <x:c r="H133" s="9" t="n">
        <x:v>0.003675384410926145</x:v>
      </x:c>
      <x:c r="I133" s="7" t="n">
        <x:v>7849.999999999999</x:v>
      </x:c>
      <x:c r="J133" s="14" t="n">
        <x:f>H133*I133</x:f>
        <x:v>28.851767625770236</x:v>
      </x:c>
      <x:c r="K133" s="14" t="n">
        <x:f>IF(ISNUMBER(J133),E133*J133,"n/d")</x:f>
        <x:v>28.851767625770236</x:v>
      </x:c>
      <x:c r="L133" s="7" t="str">
        <x:v>CAD_volume_x_specified_density</x:v>
      </x:c>
      <x:c r="M133" s="7" t="str">
        <x:v>Plano de conjunto / detalle funcional: TT10_C05_PC_16</x:v>
      </x:c>
      <x:c r="N133" s="7" t="str">
        <x:v>C05E_TT10_C05_CORREDERA_TENSOR.SLDPRT</x:v>
      </x:c>
    </x:row>
    <x:row r="134" ht="34" customHeight="1">
      <x:c r="B134" s="7" t="n">
        <x:v>128</x:v>
      </x:c>
      <x:c r="C134" s="7" t="str">
        <x:v>TT10_C05_GUIA_TENSOR_0</x:v>
      </x:c>
      <x:c r="D134" s="7" t="str">
        <x:v>Guia lateral mecanizada;holgura transversal total0.3..0.5mm; soldar a base fija y mecanizar despues</x:v>
      </x:c>
      <x:c r="E134" s="7" t="n">
        <x:v>1</x:v>
      </x:c>
      <x:c r="F134" s="7" t="str">
        <x:v>ASTM A36</x:v>
      </x:c>
      <x:c r="G134" s="7" t="str">
        <x:v>Fabricación</x:v>
      </x:c>
      <x:c r="H134" s="9" t="n">
        <x:v>0.00014220000000000012</x:v>
      </x:c>
      <x:c r="I134" s="7" t="n">
        <x:v>7850</x:v>
      </x:c>
      <x:c r="J134" s="14" t="n">
        <x:f>H134*I134</x:f>
        <x:v>1.116270000000001</x:v>
      </x:c>
      <x:c r="K134" s="14" t="n">
        <x:f>IF(ISNUMBER(J134),E134*J134,"n/d")</x:f>
        <x:v>1.116270000000001</x:v>
      </x:c>
      <x:c r="L134" s="7" t="str">
        <x:v>CAD_volume_x_specified_density</x:v>
      </x:c>
      <x:c r="M134" s="7" t="str">
        <x:v>Plano de conjunto / detalle funcional: TT10_C05_PC_16</x:v>
      </x:c>
      <x:c r="N134" s="7" t="str">
        <x:v>C05E_TT10_C05_GUIA_TENSOR_0.SLDPRT</x:v>
      </x:c>
    </x:row>
    <x:row r="135" ht="34" customHeight="1">
      <x:c r="B135" s="7" t="n">
        <x:v>129</x:v>
      </x:c>
      <x:c r="C135" s="7" t="str">
        <x:v>TT10_C05_GUIA_TENSOR_1</x:v>
      </x:c>
      <x:c r="D135" s="7" t="str">
        <x:v>Guia lateral mecanizada;holgura transversal total0.3..0.5mm; soldar a base fija y mecanizar despues</x:v>
      </x:c>
      <x:c r="E135" s="7" t="n">
        <x:v>1</x:v>
      </x:c>
      <x:c r="F135" s="7" t="str">
        <x:v>ASTM A36</x:v>
      </x:c>
      <x:c r="G135" s="7" t="str">
        <x:v>Fabricación</x:v>
      </x:c>
      <x:c r="H135" s="9" t="n">
        <x:v>0.0001421999999999993</x:v>
      </x:c>
      <x:c r="I135" s="7" t="n">
        <x:v>7850</x:v>
      </x:c>
      <x:c r="J135" s="14" t="n">
        <x:f>H135*I135</x:f>
        <x:v>1.1162699999999945</x:v>
      </x:c>
      <x:c r="K135" s="14" t="n">
        <x:f>IF(ISNUMBER(J135),E135*J135,"n/d")</x:f>
        <x:v>1.1162699999999945</x:v>
      </x:c>
      <x:c r="L135" s="7" t="str">
        <x:v>CAD_volume_x_specified_density</x:v>
      </x:c>
      <x:c r="M135" s="7" t="str">
        <x:v>Plano de conjunto / detalle funcional: TT10_C05_PC_16</x:v>
      </x:c>
      <x:c r="N135" s="7" t="str">
        <x:v>C05E_TT10_C05_GUIA_TENSOR_1.SLDPRT</x:v>
      </x:c>
    </x:row>
    <x:row r="136" ht="34" customHeight="1">
      <x:c r="B136" s="7" t="n">
        <x:v>130</x:v>
      </x:c>
      <x:c r="C136" s="7" t="str">
        <x:v>TT10_C05_JACK_M16_0_0</x:v>
      </x:c>
      <x:c r="D136" s="7" t="str">
        <x:v>M16x80,8.8 de regulacion; rosca total; punta plana; bloquear con contratuerca</x:v>
      </x:c>
      <x:c r="E136" s="7" t="n">
        <x:v>1</x:v>
      </x:c>
      <x:c r="F136" s="7" t="str">
        <x:v>8.8</x:v>
      </x:c>
      <x:c r="G136" s="7" t="str">
        <x:v>Comercial</x:v>
      </x:c>
      <x:c r="H136" s="9" t="n">
        <x:v>0.000019826184130728568</x:v>
      </x:c>
      <x:c r="I136" s="7"/>
      <x:c r="J136" s="14" t="str">
        <x:v>n/d</x:v>
      </x:c>
      <x:c r="K136" s="14" t="str">
        <x:f>IF(ISNUMBER(J136),E136*J136,"n/d")</x:f>
        <x:v>n/d</x:v>
      </x:c>
      <x:c r="L136" s="7" t="str">
        <x:v>OEM_mass_required</x:v>
      </x:c>
      <x:c r="M136" s="7" t="str">
        <x:v>BOM y montaje TT10_C05_PC_01; sin plano individual</x:v>
      </x:c>
      <x:c r="N136" s="7" t="str">
        <x:v>C05E_TT10_C05_JACK_M16_0_0.SLDPRT</x:v>
      </x:c>
    </x:row>
    <x:row r="137" ht="34" customHeight="1">
      <x:c r="B137" s="7" t="n">
        <x:v>131</x:v>
      </x:c>
      <x:c r="C137" s="7" t="str">
        <x:v>TT10_C05_JACK_M16_0_1</x:v>
      </x:c>
      <x:c r="D137" s="7" t="str">
        <x:v>M16x80,8.8 de regulacion; rosca total; punta plana; bloquear con contratuerca</x:v>
      </x:c>
      <x:c r="E137" s="7" t="n">
        <x:v>1</x:v>
      </x:c>
      <x:c r="F137" s="7" t="str">
        <x:v>8.8</x:v>
      </x:c>
      <x:c r="G137" s="7" t="str">
        <x:v>Comercial</x:v>
      </x:c>
      <x:c r="H137" s="9" t="n">
        <x:v>0.000019826184130728547</x:v>
      </x:c>
      <x:c r="I137" s="7"/>
      <x:c r="J137" s="14" t="str">
        <x:v>n/d</x:v>
      </x:c>
      <x:c r="K137" s="14" t="str">
        <x:f>IF(ISNUMBER(J137),E137*J137,"n/d")</x:f>
        <x:v>n/d</x:v>
      </x:c>
      <x:c r="L137" s="7" t="str">
        <x:v>OEM_mass_required</x:v>
      </x:c>
      <x:c r="M137" s="7" t="str">
        <x:v>BOM y montaje TT10_C05_PC_01; sin plano individual</x:v>
      </x:c>
      <x:c r="N137" s="7" t="str">
        <x:v>C05E_TT10_C05_JACK_M16_0_1.SLDPRT</x:v>
      </x:c>
    </x:row>
    <x:row r="138" ht="34" customHeight="1">
      <x:c r="B138" s="7" t="n">
        <x:v>132</x:v>
      </x:c>
      <x:c r="C138" s="7" t="str">
        <x:v>TT10_C05_JACK_M16_1_0</x:v>
      </x:c>
      <x:c r="D138" s="7" t="str">
        <x:v>M16x80,8.8 de regulacion; rosca total; punta plana; bloquear con contratuerca</x:v>
      </x:c>
      <x:c r="E138" s="7" t="n">
        <x:v>1</x:v>
      </x:c>
      <x:c r="F138" s="7" t="str">
        <x:v>8.8</x:v>
      </x:c>
      <x:c r="G138" s="7" t="str">
        <x:v>Comercial</x:v>
      </x:c>
      <x:c r="H138" s="9" t="n">
        <x:v>0.00001982618413072857</x:v>
      </x:c>
      <x:c r="I138" s="7"/>
      <x:c r="J138" s="14" t="str">
        <x:v>n/d</x:v>
      </x:c>
      <x:c r="K138" s="14" t="str">
        <x:f>IF(ISNUMBER(J138),E138*J138,"n/d")</x:f>
        <x:v>n/d</x:v>
      </x:c>
      <x:c r="L138" s="7" t="str">
        <x:v>OEM_mass_required</x:v>
      </x:c>
      <x:c r="M138" s="7" t="str">
        <x:v>BOM y montaje TT10_C05_PC_01; sin plano individual</x:v>
      </x:c>
      <x:c r="N138" s="7" t="str">
        <x:v>C05E_TT10_C05_JACK_M16_1_0.SLDPRT</x:v>
      </x:c>
    </x:row>
    <x:row r="139" ht="34" customHeight="1">
      <x:c r="B139" s="7" t="n">
        <x:v>133</x:v>
      </x:c>
      <x:c r="C139" s="7" t="str">
        <x:v>TT10_C05_JACK_M16_1_1</x:v>
      </x:c>
      <x:c r="D139" s="7" t="str">
        <x:v>M16x80,8.8 de regulacion; rosca total; punta plana; bloquear con contratuerca</x:v>
      </x:c>
      <x:c r="E139" s="7" t="n">
        <x:v>1</x:v>
      </x:c>
      <x:c r="F139" s="7" t="str">
        <x:v>8.8</x:v>
      </x:c>
      <x:c r="G139" s="7" t="str">
        <x:v>Comercial</x:v>
      </x:c>
      <x:c r="H139" s="9" t="n">
        <x:v>0.00001982618413072855</x:v>
      </x:c>
      <x:c r="I139" s="7"/>
      <x:c r="J139" s="14" t="str">
        <x:v>n/d</x:v>
      </x:c>
      <x:c r="K139" s="14" t="str">
        <x:f>IF(ISNUMBER(J139),E139*J139,"n/d")</x:f>
        <x:v>n/d</x:v>
      </x:c>
      <x:c r="L139" s="7" t="str">
        <x:v>OEM_mass_required</x:v>
      </x:c>
      <x:c r="M139" s="7" t="str">
        <x:v>BOM y montaje TT10_C05_PC_01; sin plano individual</x:v>
      </x:c>
      <x:c r="N139" s="7" t="str">
        <x:v>C05E_TT10_C05_JACK_M16_1_1.SLDPRT</x:v>
      </x:c>
    </x:row>
    <x:row r="140" ht="34" customHeight="1">
      <x:c r="B140" s="7" t="n">
        <x:v>134</x:v>
      </x:c>
      <x:c r="C140" s="7" t="str">
        <x:v>TT10_C05_JAM_M16_0_0</x:v>
      </x:c>
      <x:c r="D140" s="7" t="str">
        <x:v>ContratuercaM16 clase8; mantener ajuste con cuatro M20 apretados</x:v>
      </x:c>
      <x:c r="E140" s="7" t="n">
        <x:v>1</x:v>
      </x:c>
      <x:c r="F140" s="7" t="str">
        <x:v>Tuerca clase 8 / ISO 898-2</x:v>
      </x:c>
      <x:c r="G140" s="7" t="str">
        <x:v>Comercial</x:v>
      </x:c>
      <x:c r="H140" s="9" t="n">
        <x:v>0.0000017306104460513005</x:v>
      </x:c>
      <x:c r="I140" s="7" t="n">
        <x:v>7850</x:v>
      </x:c>
      <x:c r="J140" s="14" t="n">
        <x:f>H140*I140</x:f>
        <x:v>0.01358529200150271</x:v>
      </x:c>
      <x:c r="K140" s="14" t="n">
        <x:f>IF(ISNUMBER(J140),E140*J140,"n/d")</x:f>
        <x:v>0.01358529200150271</x:v>
      </x:c>
      <x:c r="L140" s="7" t="str">
        <x:v>CAD_volume_x_specified_density</x:v>
      </x:c>
      <x:c r="M140" s="7" t="str">
        <x:v>BOM y montaje TT10_C05_PC_01; sin plano individual</x:v>
      </x:c>
      <x:c r="N140" s="7" t="str">
        <x:v>C05E_TT10_C05_JAM_M16_0_0.SLDPRT</x:v>
      </x:c>
    </x:row>
    <x:row r="141" ht="34" customHeight="1">
      <x:c r="B141" s="7" t="n">
        <x:v>135</x:v>
      </x:c>
      <x:c r="C141" s="7" t="str">
        <x:v>TT10_C05_JAM_M16_0_1</x:v>
      </x:c>
      <x:c r="D141" s="7" t="str">
        <x:v>ContratuercaM16 clase8; mantener ajuste con cuatro M20 apretados</x:v>
      </x:c>
      <x:c r="E141" s="7" t="n">
        <x:v>1</x:v>
      </x:c>
      <x:c r="F141" s="7" t="str">
        <x:v>Tuerca clase 8 / ISO 898-2</x:v>
      </x:c>
      <x:c r="G141" s="7" t="str">
        <x:v>Comercial</x:v>
      </x:c>
      <x:c r="H141" s="9" t="n">
        <x:v>0.000001730610446051304</x:v>
      </x:c>
      <x:c r="I141" s="7" t="n">
        <x:v>7850</x:v>
      </x:c>
      <x:c r="J141" s="14" t="n">
        <x:f>H141*I141</x:f>
        <x:v>0.013585292001502736</x:v>
      </x:c>
      <x:c r="K141" s="14" t="n">
        <x:f>IF(ISNUMBER(J141),E141*J141,"n/d")</x:f>
        <x:v>0.013585292001502736</x:v>
      </x:c>
      <x:c r="L141" s="7" t="str">
        <x:v>CAD_volume_x_specified_density</x:v>
      </x:c>
      <x:c r="M141" s="7" t="str">
        <x:v>BOM y montaje TT10_C05_PC_01; sin plano individual</x:v>
      </x:c>
      <x:c r="N141" s="7" t="str">
        <x:v>C05E_TT10_C05_JAM_M16_0_1.SLDPRT</x:v>
      </x:c>
    </x:row>
    <x:row r="142" ht="34" customHeight="1">
      <x:c r="B142" s="7" t="n">
        <x:v>136</x:v>
      </x:c>
      <x:c r="C142" s="7" t="str">
        <x:v>TT10_C05_JAM_M16_1_0</x:v>
      </x:c>
      <x:c r="D142" s="7" t="str">
        <x:v>ContratuercaM16 clase8; mantener ajuste con cuatro M20 apretados</x:v>
      </x:c>
      <x:c r="E142" s="7" t="n">
        <x:v>1</x:v>
      </x:c>
      <x:c r="F142" s="7" t="str">
        <x:v>Tuerca clase 8 / ISO 898-2</x:v>
      </x:c>
      <x:c r="G142" s="7" t="str">
        <x:v>Comercial</x:v>
      </x:c>
      <x:c r="H142" s="9" t="n">
        <x:v>0.0000017306104460513005</x:v>
      </x:c>
      <x:c r="I142" s="7" t="n">
        <x:v>7850</x:v>
      </x:c>
      <x:c r="J142" s="14" t="n">
        <x:f>H142*I142</x:f>
        <x:v>0.01358529200150271</x:v>
      </x:c>
      <x:c r="K142" s="14" t="n">
        <x:f>IF(ISNUMBER(J142),E142*J142,"n/d")</x:f>
        <x:v>0.01358529200150271</x:v>
      </x:c>
      <x:c r="L142" s="7" t="str">
        <x:v>CAD_volume_x_specified_density</x:v>
      </x:c>
      <x:c r="M142" s="7" t="str">
        <x:v>BOM y montaje TT10_C05_PC_01; sin plano individual</x:v>
      </x:c>
      <x:c r="N142" s="7" t="str">
        <x:v>C05E_TT10_C05_JAM_M16_1_0.SLDPRT</x:v>
      </x:c>
    </x:row>
    <x:row r="143" ht="34" customHeight="1">
      <x:c r="B143" s="7" t="n">
        <x:v>137</x:v>
      </x:c>
      <x:c r="C143" s="7" t="str">
        <x:v>TT10_C05_JAM_M16_1_1</x:v>
      </x:c>
      <x:c r="D143" s="7" t="str">
        <x:v>ContratuercaM16 clase8; mantener ajuste con cuatro M20 apretados</x:v>
      </x:c>
      <x:c r="E143" s="7" t="n">
        <x:v>1</x:v>
      </x:c>
      <x:c r="F143" s="7" t="str">
        <x:v>Tuerca clase 8 / ISO 898-2</x:v>
      </x:c>
      <x:c r="G143" s="7" t="str">
        <x:v>Comercial</x:v>
      </x:c>
      <x:c r="H143" s="9" t="n">
        <x:v>0.000001730610446051304</x:v>
      </x:c>
      <x:c r="I143" s="7" t="n">
        <x:v>7850</x:v>
      </x:c>
      <x:c r="J143" s="14" t="n">
        <x:f>H143*I143</x:f>
        <x:v>0.013585292001502736</x:v>
      </x:c>
      <x:c r="K143" s="14" t="n">
        <x:f>IF(ISNUMBER(J143),E143*J143,"n/d")</x:f>
        <x:v>0.013585292001502736</x:v>
      </x:c>
      <x:c r="L143" s="7" t="str">
        <x:v>CAD_volume_x_specified_density</x:v>
      </x:c>
      <x:c r="M143" s="7" t="str">
        <x:v>BOM y montaje TT10_C05_PC_01; sin plano individual</x:v>
      </x:c>
      <x:c r="N143" s="7" t="str">
        <x:v>C05E_TT10_C05_JAM_M16_1_1.SLDPRT</x:v>
      </x:c>
    </x:row>
    <x:row r="144" ht="34" customHeight="1">
      <x:c r="B144" s="7" t="n">
        <x:v>138</x:v>
      </x:c>
      <x:c r="C144" s="7" t="str">
        <x:v>TT10_C05_OREJA_TENSOR_0_0</x:v>
      </x:c>
      <x:c r="D144" s="7" t="str">
        <x:v>Oreja36x20x36;M16x2; soldaduraa6 a base fija</x:v>
      </x:c>
      <x:c r="E144" s="7" t="n">
        <x:v>1</x:v>
      </x:c>
      <x:c r="F144" s="7" t="str">
        <x:v>ASTM A36</x:v>
      </x:c>
      <x:c r="G144" s="7" t="str">
        <x:v>Fabricación</x:v>
      </x:c>
      <x:c r="H144" s="9" t="n">
        <x:v>0.000021898761403404613</x:v>
      </x:c>
      <x:c r="I144" s="7" t="n">
        <x:v>7850</x:v>
      </x:c>
      <x:c r="J144" s="14" t="n">
        <x:f>H144*I144</x:f>
        <x:v>0.1719052770167262</x:v>
      </x:c>
      <x:c r="K144" s="14" t="n">
        <x:f>IF(ISNUMBER(J144),E144*J144,"n/d")</x:f>
        <x:v>0.1719052770167262</x:v>
      </x:c>
      <x:c r="L144" s="7" t="str">
        <x:v>CAD_volume_x_specified_density</x:v>
      </x:c>
      <x:c r="M144" s="7" t="str">
        <x:v>Plano de conjunto / detalle funcional: TT10_C05_PC_16</x:v>
      </x:c>
      <x:c r="N144" s="7" t="str">
        <x:v>C05E_TT10_C05_OREJA_TENSOR_0_0.SLDPRT</x:v>
      </x:c>
    </x:row>
    <x:row r="145" ht="34" customHeight="1">
      <x:c r="B145" s="7" t="n">
        <x:v>139</x:v>
      </x:c>
      <x:c r="C145" s="7" t="str">
        <x:v>TT10_C05_OREJA_TENSOR_0_1</x:v>
      </x:c>
      <x:c r="D145" s="7" t="str">
        <x:v>Oreja36x20x36;M16x2; soldaduraa6 a base fija</x:v>
      </x:c>
      <x:c r="E145" s="7" t="n">
        <x:v>1</x:v>
      </x:c>
      <x:c r="F145" s="7" t="str">
        <x:v>ASTM A36</x:v>
      </x:c>
      <x:c r="G145" s="7" t="str">
        <x:v>Fabricación</x:v>
      </x:c>
      <x:c r="H145" s="9" t="n">
        <x:v>0.000021898761403404616</x:v>
      </x:c>
      <x:c r="I145" s="7" t="n">
        <x:v>7850</x:v>
      </x:c>
      <x:c r="J145" s="14" t="n">
        <x:f>H145*I145</x:f>
        <x:v>0.17190527701672623</x:v>
      </x:c>
      <x:c r="K145" s="14" t="n">
        <x:f>IF(ISNUMBER(J145),E145*J145,"n/d")</x:f>
        <x:v>0.17190527701672623</x:v>
      </x:c>
      <x:c r="L145" s="7" t="str">
        <x:v>CAD_volume_x_specified_density</x:v>
      </x:c>
      <x:c r="M145" s="7" t="str">
        <x:v>Plano de conjunto / detalle funcional: TT10_C05_PC_16</x:v>
      </x:c>
      <x:c r="N145" s="7" t="str">
        <x:v>C05E_TT10_C05_OREJA_TENSOR_0_1.SLDPRT</x:v>
      </x:c>
    </x:row>
    <x:row r="146" ht="34" customHeight="1">
      <x:c r="B146" s="7" t="n">
        <x:v>140</x:v>
      </x:c>
      <x:c r="C146" s="7" t="str">
        <x:v>TT10_C05_OREJA_TENSOR_1_0</x:v>
      </x:c>
      <x:c r="D146" s="7" t="str">
        <x:v>Oreja36x20x36;M16x2; soldaduraa6 a base fija</x:v>
      </x:c>
      <x:c r="E146" s="7" t="n">
        <x:v>1</x:v>
      </x:c>
      <x:c r="F146" s="7" t="str">
        <x:v>ASTM A36</x:v>
      </x:c>
      <x:c r="G146" s="7" t="str">
        <x:v>Fabricación</x:v>
      </x:c>
      <x:c r="H146" s="9" t="n">
        <x:v>0.000021898761403404616</x:v>
      </x:c>
      <x:c r="I146" s="7" t="n">
        <x:v>7850</x:v>
      </x:c>
      <x:c r="J146" s="14" t="n">
        <x:f>H146*I146</x:f>
        <x:v>0.17190527701672623</x:v>
      </x:c>
      <x:c r="K146" s="14" t="n">
        <x:f>IF(ISNUMBER(J146),E146*J146,"n/d")</x:f>
        <x:v>0.17190527701672623</x:v>
      </x:c>
      <x:c r="L146" s="7" t="str">
        <x:v>CAD_volume_x_specified_density</x:v>
      </x:c>
      <x:c r="M146" s="7" t="str">
        <x:v>Plano de conjunto / detalle funcional: TT10_C05_PC_16</x:v>
      </x:c>
      <x:c r="N146" s="7" t="str">
        <x:v>C05E_TT10_C05_OREJA_TENSOR_1_0.SLDPRT</x:v>
      </x:c>
    </x:row>
    <x:row r="147" ht="34" customHeight="1">
      <x:c r="B147" s="7" t="n">
        <x:v>141</x:v>
      </x:c>
      <x:c r="C147" s="7" t="str">
        <x:v>TT10_C05_OREJA_TENSOR_1_1</x:v>
      </x:c>
      <x:c r="D147" s="7" t="str">
        <x:v>Oreja36x20x36;M16x2; soldaduraa6 a base fija</x:v>
      </x:c>
      <x:c r="E147" s="7" t="n">
        <x:v>1</x:v>
      </x:c>
      <x:c r="F147" s="7" t="str">
        <x:v>ASTM A36</x:v>
      </x:c>
      <x:c r="G147" s="7" t="str">
        <x:v>Fabricación</x:v>
      </x:c>
      <x:c r="H147" s="9" t="n">
        <x:v>0.000021898761403404613</x:v>
      </x:c>
      <x:c r="I147" s="7" t="n">
        <x:v>7850</x:v>
      </x:c>
      <x:c r="J147" s="14" t="n">
        <x:f>H147*I147</x:f>
        <x:v>0.1719052770167262</x:v>
      </x:c>
      <x:c r="K147" s="14" t="n">
        <x:f>IF(ISNUMBER(J147),E147*J147,"n/d")</x:f>
        <x:v>0.1719052770167262</x:v>
      </x:c>
      <x:c r="L147" s="7" t="str">
        <x:v>CAD_volume_x_specified_density</x:v>
      </x:c>
      <x:c r="M147" s="7" t="str">
        <x:v>Plano de conjunto / detalle funcional: TT10_C05_PC_16</x:v>
      </x:c>
      <x:c r="N147" s="7" t="str">
        <x:v>C05E_TT10_C05_OREJA_TENSOR_1_1.SLDPRT</x:v>
      </x:c>
    </x:row>
    <x:row r="148" ht="34" customHeight="1">
      <x:c r="B148" s="7" t="n">
        <x:v>142</x:v>
      </x:c>
      <x:c r="C148" s="7" t="str">
        <x:v>TT10_C05_POSTE_CORTO_TENSOR</x:v>
      </x:c>
      <x:c r="D148" s="7" t="str">
        <x:v>RHS50x50x5;L1037.5;recortado20para conservar altura del eje</x:v>
      </x:c>
      <x:c r="E148" s="7" t="n">
        <x:v>1</x:v>
      </x:c>
      <x:c r="F148" s="7" t="str">
        <x:v>S275J0H / EN 10219-1</x:v>
      </x:c>
      <x:c r="G148" s="7" t="str">
        <x:v>Fabricación</x:v>
      </x:c>
      <x:c r="H148" s="9" t="n">
        <x:v>0.0009337499999999886</x:v>
      </x:c>
      <x:c r="I148" s="7" t="n">
        <x:v>7850</x:v>
      </x:c>
      <x:c r="J148" s="14" t="n">
        <x:f>H148*I148</x:f>
        <x:v>7.329937499999911</x:v>
      </x:c>
      <x:c r="K148" s="14" t="n">
        <x:f>IF(ISNUMBER(J148),E148*J148,"n/d")</x:f>
        <x:v>7.329937499999911</x:v>
      </x:c>
      <x:c r="L148" s="7" t="str">
        <x:v>CAD_volume_x_specified_density</x:v>
      </x:c>
      <x:c r="M148" s="7" t="str">
        <x:v>Plano de conjunto / detalle funcional: TT10_C05_PC_16</x:v>
      </x:c>
      <x:c r="N148" s="7" t="str">
        <x:v>C05E_TT10_C05_POSTE_CORTO_TENSOR.SLDPRT</x:v>
      </x:c>
    </x:row>
    <x:row r="149" ht="34" customHeight="1">
      <x:c r="B149" s="7" t="n">
        <x:v>143</x:v>
      </x:c>
      <x:c r="C149" s="7" t="str">
        <x:v>TT10_C05_POSTE_VOLANTE_TENSOR</x:v>
      </x:c>
      <x:c r="D149" s="7" t="str">
        <x:v>Poste del volante recortado20mm; conservar mecanizado superior y centros</x:v>
      </x:c>
      <x:c r="E149" s="7" t="n">
        <x:v>1</x:v>
      </x:c>
      <x:c r="F149" s="7" t="str">
        <x:v>ASTM A36</x:v>
      </x:c>
      <x:c r="G149" s="7" t="str">
        <x:v>Fabricación</x:v>
      </x:c>
      <x:c r="H149" s="9" t="n">
        <x:v>0.0029702016000000544</x:v>
      </x:c>
      <x:c r="I149" s="7" t="n">
        <x:v>7850</x:v>
      </x:c>
      <x:c r="J149" s="14" t="n">
        <x:f>H149*I149</x:f>
        <x:v>23.316082560000428</x:v>
      </x:c>
      <x:c r="K149" s="14" t="n">
        <x:f>IF(ISNUMBER(J149),E149*J149,"n/d")</x:f>
        <x:v>23.316082560000428</x:v>
      </x:c>
      <x:c r="L149" s="7" t="str">
        <x:v>CAD_volume_x_specified_density</x:v>
      </x:c>
      <x:c r="M149" s="7" t="str">
        <x:v>Plano de conjunto / detalle funcional: TT10_C05_PC_16</x:v>
      </x:c>
      <x:c r="N149" s="7" t="str">
        <x:v>C05E_TT10_C05_POSTE_VOLANTE_TENSOR.SLDPRT</x:v>
      </x:c>
    </x:row>
    <x:row r="150" ht="34" customHeight="1">
      <x:c r="B150" s="7" t="n">
        <x:v>144</x:v>
      </x:c>
      <x:c r="C150" s="7" t="str">
        <x:v>TT10_C05_RETEN_CAUTIVO_SELECTOR</x:v>
      </x:c>
      <x:c r="D150" s="7" t="str">
        <x:v>Puente cautivo para pasadorD6;23mm hasta cabeza, permite levantar16mm;4M4 laterales al bloque</x:v>
      </x:c>
      <x:c r="E150" s="7" t="n">
        <x:v>1</x:v>
      </x:c>
      <x:c r="F150" s="7" t="str">
        <x:v>ASTM A36</x:v>
      </x:c>
      <x:c r="G150" s="7" t="str">
        <x:v>Fabricación</x:v>
      </x:c>
      <x:c r="H150" s="9" t="n">
        <x:v>0.000014236642079838027</x:v>
      </x:c>
      <x:c r="I150" s="7" t="n">
        <x:v>7850</x:v>
      </x:c>
      <x:c r="J150" s="14" t="n">
        <x:f>H150*I150</x:f>
        <x:v>0.11175764032672851</x:v>
      </x:c>
      <x:c r="K150" s="14" t="n">
        <x:f>IF(ISNUMBER(J150),E150*J150,"n/d")</x:f>
        <x:v>0.11175764032672851</x:v>
      </x:c>
      <x:c r="L150" s="7" t="str">
        <x:v>CAD_volume_x_specified_density</x:v>
      </x:c>
      <x:c r="M150" s="7" t="str">
        <x:v>Plano de conjunto / detalle funcional: TT10_C05_PC_21</x:v>
      </x:c>
      <x:c r="N150" s="7" t="str">
        <x:v>C05E_TT10_C05_RETEN_CAUTIVO_SELECTOR.SLDPRT</x:v>
      </x:c>
    </x:row>
    <x:row r="151" ht="34" customHeight="1">
      <x:c r="B151" s="7" t="n">
        <x:v>145</x:v>
      </x:c>
      <x:c r="C151" s="7" t="str">
        <x:v>TT10_CART_N_INF</x:v>
      </x:c>
      <x:c r="D151" s="7" t="str">
        <x:v>Cartela horizontal20 entre puente y placa de nodo</x:v>
      </x:c>
      <x:c r="E151" s="7" t="n">
        <x:v>1</x:v>
      </x:c>
      <x:c r="F151" s="7" t="str">
        <x:v>ASTM A36</x:v>
      </x:c>
      <x:c r="G151" s="7" t="str">
        <x:v>Fabricación</x:v>
      </x:c>
      <x:c r="H151" s="9" t="n">
        <x:v>0.00034500000000000015</x:v>
      </x:c>
      <x:c r="I151" s="7" t="n">
        <x:v>7849.999999999999</x:v>
      </x:c>
      <x:c r="J151" s="14" t="n">
        <x:f>H151*I151</x:f>
        <x:v>2.708250000000001</x:v>
      </x:c>
      <x:c r="K151" s="14" t="n">
        <x:f>IF(ISNUMBER(J151),E151*J151,"n/d")</x:f>
        <x:v>2.708250000000001</x:v>
      </x:c>
      <x:c r="L151" s="7" t="str">
        <x:v>CAD_volume_x_specified_density</x:v>
      </x:c>
      <x:c r="M151" s="7" t="str">
        <x:v>Plano de conjunto / detalle funcional: TT10_C05_PC_02</x:v>
      </x:c>
      <x:c r="N151" s="7" t="str">
        <x:v>C05E_TT10_CART_N_INF.SLDPRT</x:v>
      </x:c>
    </x:row>
    <x:row r="152" ht="34" customHeight="1">
      <x:c r="B152" s="7" t="n">
        <x:v>146</x:v>
      </x:c>
      <x:c r="C152" s="7" t="str">
        <x:v>TT10_CART_N_SUP</x:v>
      </x:c>
      <x:c r="D152" s="7" t="str">
        <x:v>Cartela horizontal20 entre puente y placa de nodo</x:v>
      </x:c>
      <x:c r="E152" s="7" t="n">
        <x:v>1</x:v>
      </x:c>
      <x:c r="F152" s="7" t="str">
        <x:v>ASTM A36</x:v>
      </x:c>
      <x:c r="G152" s="7" t="str">
        <x:v>Fabricación</x:v>
      </x:c>
      <x:c r="H152" s="9" t="n">
        <x:v>0.00034500000000000015</x:v>
      </x:c>
      <x:c r="I152" s="7" t="n">
        <x:v>7849.999999999999</x:v>
      </x:c>
      <x:c r="J152" s="14" t="n">
        <x:f>H152*I152</x:f>
        <x:v>2.708250000000001</x:v>
      </x:c>
      <x:c r="K152" s="14" t="n">
        <x:f>IF(ISNUMBER(J152),E152*J152,"n/d")</x:f>
        <x:v>2.708250000000001</x:v>
      </x:c>
      <x:c r="L152" s="7" t="str">
        <x:v>CAD_volume_x_specified_density</x:v>
      </x:c>
      <x:c r="M152" s="7" t="str">
        <x:v>Plano de conjunto / detalle funcional: TT10_C05_PC_02</x:v>
      </x:c>
      <x:c r="N152" s="7" t="str">
        <x:v>C05E_TT10_CART_N_SUP.SLDPRT</x:v>
      </x:c>
    </x:row>
    <x:row r="153" ht="34" customHeight="1">
      <x:c r="B153" s="7" t="n">
        <x:v>147</x:v>
      </x:c>
      <x:c r="C153" s="7" t="str">
        <x:v>TT10_CART_P_INF</x:v>
      </x:c>
      <x:c r="D153" s="7" t="str">
        <x:v>Cartela horizontal20 entre puente y placa de nodo</x:v>
      </x:c>
      <x:c r="E153" s="7" t="n">
        <x:v>1</x:v>
      </x:c>
      <x:c r="F153" s="7" t="str">
        <x:v>ASTM A36</x:v>
      </x:c>
      <x:c r="G153" s="7" t="str">
        <x:v>Fabricación</x:v>
      </x:c>
      <x:c r="H153" s="9" t="n">
        <x:v>0.0003450000000000001</x:v>
      </x:c>
      <x:c r="I153" s="7" t="n">
        <x:v>7850.000000000001</x:v>
      </x:c>
      <x:c r="J153" s="14" t="n">
        <x:f>H153*I153</x:f>
        <x:v>2.708250000000001</x:v>
      </x:c>
      <x:c r="K153" s="14" t="n">
        <x:f>IF(ISNUMBER(J153),E153*J153,"n/d")</x:f>
        <x:v>2.708250000000001</x:v>
      </x:c>
      <x:c r="L153" s="7" t="str">
        <x:v>CAD_volume_x_specified_density</x:v>
      </x:c>
      <x:c r="M153" s="7" t="str">
        <x:v>Plano de conjunto / detalle funcional: TT10_C05_PC_02</x:v>
      </x:c>
      <x:c r="N153" s="7" t="str">
        <x:v>C05E_TT10_CART_P_INF.SLDPRT</x:v>
      </x:c>
    </x:row>
    <x:row r="154" ht="34" customHeight="1">
      <x:c r="B154" s="7" t="n">
        <x:v>148</x:v>
      </x:c>
      <x:c r="C154" s="7" t="str">
        <x:v>TT10_CART_P_SUP</x:v>
      </x:c>
      <x:c r="D154" s="7" t="str">
        <x:v>Cartela horizontal20 entre puente y placa de nodo</x:v>
      </x:c>
      <x:c r="E154" s="7" t="n">
        <x:v>1</x:v>
      </x:c>
      <x:c r="F154" s="7" t="str">
        <x:v>ASTM A36</x:v>
      </x:c>
      <x:c r="G154" s="7" t="str">
        <x:v>Fabricación</x:v>
      </x:c>
      <x:c r="H154" s="9" t="n">
        <x:v>0.00034500000000000015</x:v>
      </x:c>
      <x:c r="I154" s="7" t="n">
        <x:v>7849.999999999999</x:v>
      </x:c>
      <x:c r="J154" s="14" t="n">
        <x:f>H154*I154</x:f>
        <x:v>2.708250000000001</x:v>
      </x:c>
      <x:c r="K154" s="14" t="n">
        <x:f>IF(ISNUMBER(J154),E154*J154,"n/d")</x:f>
        <x:v>2.708250000000001</x:v>
      </x:c>
      <x:c r="L154" s="7" t="str">
        <x:v>CAD_volume_x_specified_density</x:v>
      </x:c>
      <x:c r="M154" s="7" t="str">
        <x:v>Plano de conjunto / detalle funcional: TT10_C05_PC_02</x:v>
      </x:c>
      <x:c r="N154" s="7" t="str">
        <x:v>C05E_TT10_CART_P_SUP.SLDPRT</x:v>
      </x:c>
    </x:row>
    <x:row r="155" ht="34" customHeight="1">
      <x:c r="B155" s="7" t="n">
        <x:v>149</x:v>
      </x:c>
      <x:c r="C155" s="7" t="str">
        <x:v>TT10_COLLAR_N</x:v>
      </x:c>
      <x:c r="D155" s="7" t="str">
        <x:v>Casquillo D220/d200.2 L161: transmisión de apriete y pista de sello</x:v>
      </x:c>
      <x:c r="E155" s="7" t="n">
        <x:v>1</x:v>
      </x:c>
      <x:c r="F155" s="7" t="str">
        <x:v>C45E / EN 10083-2</x:v>
      </x:c>
      <x:c r="G155" s="7" t="str">
        <x:v>Fabricación</x:v>
      </x:c>
      <x:c r="H155" s="9" t="n">
        <x:v>0.0010520514898699766</x:v>
      </x:c>
      <x:c r="I155" s="7" t="n">
        <x:v>7850</x:v>
      </x:c>
      <x:c r="J155" s="14" t="n">
        <x:f>H155*I155</x:f>
        <x:v>8.258604195479316</x:v>
      </x:c>
      <x:c r="K155" s="14" t="n">
        <x:f>IF(ISNUMBER(J155),E155*J155,"n/d")</x:f>
        <x:v>8.258604195479316</x:v>
      </x:c>
      <x:c r="L155" s="7" t="str">
        <x:v>CAD_volume_x_specified_density</x:v>
      </x:c>
      <x:c r="M155" s="7" t="str">
        <x:v>Plano de conjunto / detalle funcional: TT10_C05_PC_09</x:v>
      </x:c>
      <x:c r="N155" s="7" t="str">
        <x:v>C05E_TT10_COLLAR_N.SLDPRT</x:v>
      </x:c>
    </x:row>
    <x:row r="156" ht="34" customHeight="1">
      <x:c r="B156" s="7" t="n">
        <x:v>150</x:v>
      </x:c>
      <x:c r="C156" s="7" t="str">
        <x:v>TT10_COLLAR_P</x:v>
      </x:c>
      <x:c r="D156" s="7" t="str">
        <x:v>Casquillo D220/d200.2 L161: transmisión de apriete y pista de sello</x:v>
      </x:c>
      <x:c r="E156" s="7" t="n">
        <x:v>1</x:v>
      </x:c>
      <x:c r="F156" s="7" t="str">
        <x:v>C45E / EN 10083-2</x:v>
      </x:c>
      <x:c r="G156" s="7" t="str">
        <x:v>Fabricación</x:v>
      </x:c>
      <x:c r="H156" s="9" t="n">
        <x:v>0.0010520514898699769</x:v>
      </x:c>
      <x:c r="I156" s="7" t="n">
        <x:v>7850</x:v>
      </x:c>
      <x:c r="J156" s="14" t="n">
        <x:f>H156*I156</x:f>
        <x:v>8.258604195479318</x:v>
      </x:c>
      <x:c r="K156" s="14" t="n">
        <x:f>IF(ISNUMBER(J156),E156*J156,"n/d")</x:f>
        <x:v>8.258604195479318</x:v>
      </x:c>
      <x:c r="L156" s="7" t="str">
        <x:v>CAD_volume_x_specified_density</x:v>
      </x:c>
      <x:c r="M156" s="7" t="str">
        <x:v>Plano de conjunto / detalle funcional: TT10_C05_PC_09</x:v>
      </x:c>
      <x:c r="N156" s="7" t="str">
        <x:v>C05E_TT10_COLLAR_P.SLDPRT</x:v>
      </x:c>
    </x:row>
    <x:row r="157" ht="34" customHeight="1">
      <x:c r="B157" s="7" t="n">
        <x:v>151</x:v>
      </x:c>
      <x:c r="C157" s="7" t="str">
        <x:v>TT10_D_ACOPLE_SALIDA</x:v>
      </x:c>
      <x:c r="D157" s="7" t="str">
        <x:v>Acoplamiento de salida entre cubo y reductor; dibujo nominal</x:v>
      </x:c>
      <x:c r="E157" s="7" t="n">
        <x:v>1</x:v>
      </x:c>
      <x:c r="F157" s="7" t="str">
        <x:v>Equipo comprado</x:v>
      </x:c>
      <x:c r="G157" s="7" t="str">
        <x:v>Equipo nominal</x:v>
      </x:c>
      <x:c r="H157" s="9" t="n">
        <x:v>0.005780923181686923</x:v>
      </x:c>
      <x:c r="I157" s="7"/>
      <x:c r="J157" s="14" t="str">
        <x:v>n/d</x:v>
      </x:c>
      <x:c r="K157" s="14" t="str">
        <x:f>IF(ISNUMBER(J157),E157*J157,"n/d")</x:f>
        <x:v>n/d</x:v>
      </x:c>
      <x:c r="L157" s="7" t="str">
        <x:v>OEM_mass_required</x:v>
      </x:c>
      <x:c r="M157" s="7" t="str">
        <x:v>BOM y montaje TT10_C05_PC_01; sin plano individual</x:v>
      </x:c>
      <x:c r="N157" s="7" t="str">
        <x:v>C05E_TT10_D_ACOPLE_SALIDA.SLDPRT</x:v>
      </x:c>
    </x:row>
    <x:row r="158" ht="34" customHeight="1">
      <x:c r="B158" s="7" t="n">
        <x:v>152</x:v>
      </x:c>
      <x:c r="C158" s="7" t="str">
        <x:v>TT10_D_ARMARIO</x:v>
      </x:c>
      <x:c r="D158" s="7" t="str">
        <x:v>Armario de variador y control; representación de presentación</x:v>
      </x:c>
      <x:c r="E158" s="7" t="n">
        <x:v>1</x:v>
      </x:c>
      <x:c r="F158" s="7" t="str">
        <x:v>Armario comercial; chapa y acabado según referencia de compra</x:v>
      </x:c>
      <x:c r="G158" s="7" t="str">
        <x:v>Comercial</x:v>
      </x:c>
      <x:c r="H158" s="9" t="n">
        <x:v>0.08679999999999997</x:v>
      </x:c>
      <x:c r="I158" s="7"/>
      <x:c r="J158" s="14" t="str">
        <x:v>n/d</x:v>
      </x:c>
      <x:c r="K158" s="14" t="str">
        <x:f>IF(ISNUMBER(J158),E158*J158,"n/d")</x:f>
        <x:v>n/d</x:v>
      </x:c>
      <x:c r="L158" s="7" t="str">
        <x:v>OEM_mass_required</x:v>
      </x:c>
      <x:c r="M158" s="7" t="str">
        <x:v>BOM y montaje TT10_C05_PC_01; sin plano individual</x:v>
      </x:c>
      <x:c r="N158" s="7" t="str">
        <x:v>C05E_TT10_D_ARMARIO.SLDPRT</x:v>
      </x:c>
    </x:row>
    <x:row r="159" ht="34" customHeight="1">
      <x:c r="B159" s="7" t="n">
        <x:v>153</x:v>
      </x:c>
      <x:c r="C159" s="7" t="str">
        <x:v>TT10_D_ARO_RESGUARDO_N</x:v>
      </x:c>
      <x:c r="D159" s="7" t="str">
        <x:v>Resguardo tubular desmontable ARO_RESGUARDO_N</x:v>
      </x:c>
      <x:c r="E159" s="7" t="n">
        <x:v>1</x:v>
      </x:c>
      <x:c r="F159" s="7" t="str">
        <x:v>S275J0H / EN 10219-1</x:v>
      </x:c>
      <x:c r="G159" s="7" t="str">
        <x:v>Fabricación</x:v>
      </x:c>
      <x:c r="H159" s="9" t="n">
        <x:v>0.004934752648782407</x:v>
      </x:c>
      <x:c r="I159" s="7" t="n">
        <x:v>7850</x:v>
      </x:c>
      <x:c r="J159" s="14" t="n">
        <x:f>H159*I159</x:f>
        <x:v>38.73780829294189</x:v>
      </x:c>
      <x:c r="K159" s="14" t="n">
        <x:f>IF(ISNUMBER(J159),E159*J159,"n/d")</x:f>
        <x:v>38.73780829294189</x:v>
      </x:c>
      <x:c r="L159" s="7" t="str">
        <x:v>CAD_volume_x_specified_density</x:v>
      </x:c>
      <x:c r="M159" s="7" t="str">
        <x:v>Plano de conjunto / detalle funcional: TT10_C05_PC_11</x:v>
      </x:c>
      <x:c r="N159" s="7" t="str">
        <x:v>C05E_TT10_D_ARO_RESGUARDO_N.SLDPRT</x:v>
      </x:c>
    </x:row>
    <x:row r="160" ht="34" customHeight="1">
      <x:c r="B160" s="7" t="n">
        <x:v>154</x:v>
      </x:c>
      <x:c r="C160" s="7" t="str">
        <x:v>TT10_D_ARO_RESGUARDO_P</x:v>
      </x:c>
      <x:c r="D160" s="7" t="str">
        <x:v>Resguardo tubular desmontable ARO_RESGUARDO_P</x:v>
      </x:c>
      <x:c r="E160" s="7" t="n">
        <x:v>1</x:v>
      </x:c>
      <x:c r="F160" s="7" t="str">
        <x:v>S275J0H / EN 10219-1</x:v>
      </x:c>
      <x:c r="G160" s="7" t="str">
        <x:v>Fabricación</x:v>
      </x:c>
      <x:c r="H160" s="9" t="n">
        <x:v>0.004934752648782403</x:v>
      </x:c>
      <x:c r="I160" s="7" t="n">
        <x:v>7849.999999999999</x:v>
      </x:c>
      <x:c r="J160" s="14" t="n">
        <x:f>H160*I160</x:f>
        <x:v>38.737808292941864</x:v>
      </x:c>
      <x:c r="K160" s="14" t="n">
        <x:f>IF(ISNUMBER(J160),E160*J160,"n/d")</x:f>
        <x:v>38.737808292941864</x:v>
      </x:c>
      <x:c r="L160" s="7" t="str">
        <x:v>CAD_volume_x_specified_density</x:v>
      </x:c>
      <x:c r="M160" s="7" t="str">
        <x:v>Plano de conjunto / detalle funcional: TT10_C05_PC_11</x:v>
      </x:c>
      <x:c r="N160" s="7" t="str">
        <x:v>C05E_TT10_D_ARO_RESGUARDO_P.SLDPRT</x:v>
      </x:c>
    </x:row>
    <x:row r="161" ht="34" customHeight="1">
      <x:c r="B161" s="7" t="n">
        <x:v>155</x:v>
      </x:c>
      <x:c r="C161" s="7" t="str">
        <x:v>TT10_D_AUX_4_1</x:v>
      </x:c>
      <x:c r="D161" s="7" t="str">
        <x:v>Reducción auxiliar 4:1; representación de arquitectura</x:v>
      </x:c>
      <x:c r="E161" s="7" t="n">
        <x:v>1</x:v>
      </x:c>
      <x:c r="F161" s="7" t="str">
        <x:v>Equipo sustituido por PSN 142 i5; no comprar variante 4:1</x:v>
      </x:c>
      <x:c r="G161" s="7" t="str">
        <x:v>Comercial</x:v>
      </x:c>
      <x:c r="H161" s="9" t="n">
        <x:v>0.028675446985940246</x:v>
      </x:c>
      <x:c r="I161" s="7"/>
      <x:c r="J161" s="14" t="str">
        <x:v>n/d</x:v>
      </x:c>
      <x:c r="K161" s="14" t="str">
        <x:f>IF(ISNUMBER(J161),E161*J161,"n/d")</x:f>
        <x:v>n/d</x:v>
      </x:c>
      <x:c r="L161" s="7" t="str">
        <x:v>OEM_mass_required</x:v>
      </x:c>
      <x:c r="M161" s="7" t="str">
        <x:v>BOM y montaje TT10_C05_PC_01; sin plano individual</x:v>
      </x:c>
      <x:c r="N161" s="7" t="str">
        <x:v>C05E_TT10_D_AUX_4_1.SLDPRT</x:v>
      </x:c>
    </x:row>
    <x:row r="162" ht="34" customHeight="1">
      <x:c r="B162" s="7" t="n">
        <x:v>156</x:v>
      </x:c>
      <x:c r="C162" s="7" t="str">
        <x:v>TT10_D_B16_0</x:v>
      </x:c>
      <x:c r="D162" s="7" t="str">
        <x:v>Perno nominal M16x50</x:v>
      </x:c>
      <x:c r="E162" s="7" t="n">
        <x:v>32</x:v>
      </x:c>
      <x:c r="F162" s="7" t="str">
        <x:v>Clase 10.9 / ISO 898-1</x:v>
      </x:c>
      <x:c r="G162" s="7" t="str">
        <x:v>Comercial</x:v>
      </x:c>
      <x:c r="H162" s="9" t="n">
        <x:v>0.00001504140281728571</x:v>
      </x:c>
      <x:c r="I162" s="7" t="n">
        <x:v>7850</x:v>
      </x:c>
      <x:c r="J162" s="14" t="n">
        <x:f>H162*I162</x:f>
        <x:v>0.11807501211569282</x:v>
      </x:c>
      <x:c r="K162" s="14" t="n">
        <x:f>IF(ISNUMBER(J162),E162*J162,"n/d")</x:f>
        <x:v>3.7784003877021703</x:v>
      </x:c>
      <x:c r="L162" s="7" t="str">
        <x:v>CAD_volume_x_specified_density</x:v>
      </x:c>
      <x:c r="M162" s="7" t="str">
        <x:v>BOM y montaje TT10_C05_PC_01; sin plano individual</x:v>
      </x:c>
      <x:c r="N162" s="7" t="str">
        <x:v>C05E_TT10_D_B16_0.SLDPRT</x:v>
      </x:c>
    </x:row>
    <x:row r="163" ht="34" customHeight="1">
      <x:c r="B163" s="7" t="n">
        <x:v>157</x:v>
      </x:c>
      <x:c r="C163" s="7" t="str">
        <x:v>TT10_D_BASE_ARMARIO</x:v>
      </x:c>
      <x:c r="D163" s="7" t="str">
        <x:v>Base del armario</x:v>
      </x:c>
      <x:c r="E163" s="7" t="n">
        <x:v>1</x:v>
      </x:c>
      <x:c r="F163" s="7" t="str">
        <x:v>ASTM A36</x:v>
      </x:c>
      <x:c r="G163" s="7" t="str">
        <x:v>Fabricación</x:v>
      </x:c>
      <x:c r="H163" s="9" t="n">
        <x:v>0.0013519999999999982</x:v>
      </x:c>
      <x:c r="I163" s="7" t="n">
        <x:v>7849.999999999999</x:v>
      </x:c>
      <x:c r="J163" s="14" t="n">
        <x:f>H163*I163</x:f>
        <x:v>10.613199999999985</x:v>
      </x:c>
      <x:c r="K163" s="14" t="n">
        <x:f>IF(ISNUMBER(J163),E163*J163,"n/d")</x:f>
        <x:v>10.613199999999985</x:v>
      </x:c>
      <x:c r="L163" s="7" t="str">
        <x:v>CAD_volume_x_specified_density</x:v>
      </x:c>
      <x:c r="M163" s="7" t="str">
        <x:v>Plano de conjunto / detalle funcional: TT10_C05_PC_25</x:v>
      </x:c>
      <x:c r="N163" s="7" t="str">
        <x:v>C05E_TT10_D_BASE_ARMARIO.SLDPRT</x:v>
      </x:c>
    </x:row>
    <x:row r="164" ht="34" customHeight="1">
      <x:c r="B164" s="7" t="n">
        <x:v>158</x:v>
      </x:c>
      <x:c r="C164" s="7" t="str">
        <x:v>TT10_D_BASE_BOTONERA</x:v>
      </x:c>
      <x:c r="D164" s="7" t="str">
        <x:v>Base de botonera</x:v>
      </x:c>
      <x:c r="E164" s="7" t="n">
        <x:v>1</x:v>
      </x:c>
      <x:c r="F164" s="7" t="str">
        <x:v>ASTM A36</x:v>
      </x:c>
      <x:c r="G164" s="7" t="str">
        <x:v>Fabricación</x:v>
      </x:c>
      <x:c r="H164" s="9" t="n">
        <x:v>0.0006479999999999987</x:v>
      </x:c>
      <x:c r="I164" s="7" t="n">
        <x:v>7850.000000000001</x:v>
      </x:c>
      <x:c r="J164" s="14" t="n">
        <x:f>H164*I164</x:f>
        <x:v>5.08679999999999</x:v>
      </x:c>
      <x:c r="K164" s="14" t="n">
        <x:f>IF(ISNUMBER(J164),E164*J164,"n/d")</x:f>
        <x:v>5.08679999999999</x:v>
      </x:c>
      <x:c r="L164" s="7" t="str">
        <x:v>CAD_volume_x_specified_density</x:v>
      </x:c>
      <x:c r="M164" s="7" t="str">
        <x:v>Plano de conjunto / detalle funcional: TT10_C05_PC_25</x:v>
      </x:c>
      <x:c r="N164" s="7" t="str">
        <x:v>C05E_TT10_D_BASE_BOTONERA.SLDPRT</x:v>
      </x:c>
    </x:row>
    <x:row r="165" ht="34" customHeight="1">
      <x:c r="B165" s="7" t="n">
        <x:v>159</x:v>
      </x:c>
      <x:c r="C165" s="7" t="str">
        <x:v>TT10_D_BASE_FRENO_N</x:v>
      </x:c>
      <x:c r="D165" s="7" t="str">
        <x:v>Base de pedestal de freno N</x:v>
      </x:c>
      <x:c r="E165" s="7" t="n">
        <x:v>1</x:v>
      </x:c>
      <x:c r="F165" s="7" t="str">
        <x:v>ASTM A36</x:v>
      </x:c>
      <x:c r="G165" s="7" t="str">
        <x:v>Fabricación</x:v>
      </x:c>
      <x:c r="H165" s="9" t="n">
        <x:v>0.0019080000000000008</x:v>
      </x:c>
      <x:c r="I165" s="7" t="n">
        <x:v>7850</x:v>
      </x:c>
      <x:c r="J165" s="14" t="n">
        <x:f>H165*I165</x:f>
        <x:v>14.977800000000007</x:v>
      </x:c>
      <x:c r="K165" s="14" t="n">
        <x:f>IF(ISNUMBER(J165),E165*J165,"n/d")</x:f>
        <x:v>14.977800000000007</x:v>
      </x:c>
      <x:c r="L165" s="7" t="str">
        <x:v>CAD_volume_x_specified_density</x:v>
      </x:c>
      <x:c r="M165" s="7" t="str">
        <x:v>Plano de conjunto / detalle funcional: TT10_C05_PC_11</x:v>
      </x:c>
      <x:c r="N165" s="7" t="str">
        <x:v>C05E_TT10_D_BASE_FRENO_N.SLDPRT</x:v>
      </x:c>
    </x:row>
    <x:row r="166" ht="34" customHeight="1">
      <x:c r="B166" s="7" t="n">
        <x:v>160</x:v>
      </x:c>
      <x:c r="C166" s="7" t="str">
        <x:v>TT10_D_BASE_FRENO_P</x:v>
      </x:c>
      <x:c r="D166" s="7" t="str">
        <x:v>Base de pedestal de freno P</x:v>
      </x:c>
      <x:c r="E166" s="7" t="n">
        <x:v>1</x:v>
      </x:c>
      <x:c r="F166" s="7" t="str">
        <x:v>ASTM A36</x:v>
      </x:c>
      <x:c r="G166" s="7" t="str">
        <x:v>Fabricación</x:v>
      </x:c>
      <x:c r="H166" s="9" t="n">
        <x:v>0.0019079999999999978</x:v>
      </x:c>
      <x:c r="I166" s="7" t="n">
        <x:v>7850</x:v>
      </x:c>
      <x:c r="J166" s="14" t="n">
        <x:f>H166*I166</x:f>
        <x:v>14.977799999999982</x:v>
      </x:c>
      <x:c r="K166" s="14" t="n">
        <x:f>IF(ISNUMBER(J166),E166*J166,"n/d")</x:f>
        <x:v>14.977799999999982</x:v>
      </x:c>
      <x:c r="L166" s="7" t="str">
        <x:v>CAD_volume_x_specified_density</x:v>
      </x:c>
      <x:c r="M166" s="7" t="str">
        <x:v>Plano de conjunto / detalle funcional: TT10_C05_PC_11</x:v>
      </x:c>
      <x:c r="N166" s="7" t="str">
        <x:v>C05E_TT10_D_BASE_FRENO_P.SLDPRT</x:v>
      </x:c>
    </x:row>
    <x:row r="167" ht="34" customHeight="1">
      <x:c r="B167" s="7" t="n">
        <x:v>161</x:v>
      </x:c>
      <x:c r="C167" s="7" t="str">
        <x:v>TT10_D_BASE_MOTOR</x:v>
      </x:c>
      <x:c r="D167" s="7" t="str">
        <x:v>Placa base del segundo apoyo de bancada</x:v>
      </x:c>
      <x:c r="E167" s="7" t="n">
        <x:v>1</x:v>
      </x:c>
      <x:c r="F167" s="7" t="str">
        <x:v>ASTM A36</x:v>
      </x:c>
      <x:c r="G167" s="7" t="str">
        <x:v>Fabricación</x:v>
      </x:c>
      <x:c r="H167" s="9" t="n">
        <x:v>0.0053999999999999986</x:v>
      </x:c>
      <x:c r="I167" s="7" t="n">
        <x:v>7850</x:v>
      </x:c>
      <x:c r="J167" s="14" t="n">
        <x:f>H167*I167</x:f>
        <x:v>42.389999999999986</x:v>
      </x:c>
      <x:c r="K167" s="14" t="n">
        <x:f>IF(ISNUMBER(J167),E167*J167,"n/d")</x:f>
        <x:v>42.389999999999986</x:v>
      </x:c>
      <x:c r="L167" s="7" t="str">
        <x:v>CAD_volume_x_specified_density</x:v>
      </x:c>
      <x:c r="M167" s="7" t="str">
        <x:v>Plano de conjunto / detalle funcional: TT10_C05_PC_10</x:v>
      </x:c>
      <x:c r="N167" s="7" t="str">
        <x:v>C05E_TT10_D_BASE_MOTOR.SLDPRT</x:v>
      </x:c>
    </x:row>
    <x:row r="168" ht="34" customHeight="1">
      <x:c r="B168" s="7" t="n">
        <x:v>162</x:v>
      </x:c>
      <x:c r="C168" s="7" t="str">
        <x:v>TT10_D_BASE_PRESENTE</x:v>
      </x:c>
      <x:c r="D168" s="7" t="str">
        <x:v>Base del mando de hombre presente</x:v>
      </x:c>
      <x:c r="E168" s="7" t="n">
        <x:v>1</x:v>
      </x:c>
      <x:c r="F168" s="7" t="str">
        <x:v>ASTM A36</x:v>
      </x:c>
      <x:c r="G168" s="7" t="str">
        <x:v>Fabricación</x:v>
      </x:c>
      <x:c r="H168" s="9" t="n">
        <x:v>0.0003119999999999994</x:v>
      </x:c>
      <x:c r="I168" s="7" t="n">
        <x:v>7850</x:v>
      </x:c>
      <x:c r="J168" s="14" t="n">
        <x:f>H168*I168</x:f>
        <x:v>2.4491999999999954</x:v>
      </x:c>
      <x:c r="K168" s="14" t="n">
        <x:f>IF(ISNUMBER(J168),E168*J168,"n/d")</x:f>
        <x:v>2.4491999999999954</x:v>
      </x:c>
      <x:c r="L168" s="7" t="str">
        <x:v>CAD_volume_x_specified_density</x:v>
      </x:c>
      <x:c r="M168" s="7" t="str">
        <x:v>Plano de conjunto / detalle funcional: TT10_C05_PC_25</x:v>
      </x:c>
      <x:c r="N168" s="7" t="str">
        <x:v>C05E_TT10_D_BASE_PRESENTE.SLDPRT</x:v>
      </x:c>
    </x:row>
    <x:row r="169" ht="34" customHeight="1">
      <x:c r="B169" s="7" t="n">
        <x:v>163</x:v>
      </x:c>
      <x:c r="C169" s="7" t="str">
        <x:v>TT10_D_BASE_RECUP_N</x:v>
      </x:c>
      <x:c r="D169" s="7" t="str">
        <x:v>Base de mando de recuperación</x:v>
      </x:c>
      <x:c r="E169" s="7" t="n">
        <x:v>1</x:v>
      </x:c>
      <x:c r="F169" s="7" t="str">
        <x:v>ASTM A36</x:v>
      </x:c>
      <x:c r="G169" s="7" t="str">
        <x:v>Fabricación</x:v>
      </x:c>
      <x:c r="H169" s="9" t="n">
        <x:v>0.0005069999999999992</x:v>
      </x:c>
      <x:c r="I169" s="7" t="n">
        <x:v>7850</x:v>
      </x:c>
      <x:c r="J169" s="14" t="n">
        <x:f>H169*I169</x:f>
        <x:v>3.979949999999994</x:v>
      </x:c>
      <x:c r="K169" s="14" t="n">
        <x:f>IF(ISNUMBER(J169),E169*J169,"n/d")</x:f>
        <x:v>3.979949999999994</x:v>
      </x:c>
      <x:c r="L169" s="7" t="str">
        <x:v>CAD_volume_x_specified_density</x:v>
      </x:c>
      <x:c r="M169" s="7" t="str">
        <x:v>Plano de conjunto / detalle funcional: TT10_C05_PC_24</x:v>
      </x:c>
      <x:c r="N169" s="7" t="str">
        <x:v>C05E_TT10_D_BASE_RECUP_N.SLDPRT</x:v>
      </x:c>
    </x:row>
    <x:row r="170" ht="34" customHeight="1">
      <x:c r="B170" s="7" t="n">
        <x:v>164</x:v>
      </x:c>
      <x:c r="C170" s="7" t="str">
        <x:v>TT10_D_BASE_RECUP_P</x:v>
      </x:c>
      <x:c r="D170" s="7" t="str">
        <x:v>Base de mando de recuperación</x:v>
      </x:c>
      <x:c r="E170" s="7" t="n">
        <x:v>1</x:v>
      </x:c>
      <x:c r="F170" s="7" t="str">
        <x:v>ASTM A36</x:v>
      </x:c>
      <x:c r="G170" s="7" t="str">
        <x:v>Fabricación</x:v>
      </x:c>
      <x:c r="H170" s="9" t="n">
        <x:v>0.0005069999999999992</x:v>
      </x:c>
      <x:c r="I170" s="7" t="n">
        <x:v>7850</x:v>
      </x:c>
      <x:c r="J170" s="14" t="n">
        <x:f>H170*I170</x:f>
        <x:v>3.979949999999994</x:v>
      </x:c>
      <x:c r="K170" s="14" t="n">
        <x:f>IF(ISNUMBER(J170),E170*J170,"n/d")</x:f>
        <x:v>3.979949999999994</x:v>
      </x:c>
      <x:c r="L170" s="7" t="str">
        <x:v>CAD_volume_x_specified_density</x:v>
      </x:c>
      <x:c r="M170" s="7" t="str">
        <x:v>Plano de conjunto / detalle funcional: TT10_C05_PC_24</x:v>
      </x:c>
      <x:c r="N170" s="7" t="str">
        <x:v>C05E_TT10_D_BASE_RECUP_P.SLDPRT</x:v>
      </x:c>
    </x:row>
    <x:row r="171" ht="34" customHeight="1">
      <x:c r="B171" s="7" t="n">
        <x:v>165</x:v>
      </x:c>
      <x:c r="C171" s="7" t="str">
        <x:v>TT10_D_BLANCO_PIN</x:v>
      </x:c>
      <x:c r="D171" s="7" t="str">
        <x:v>Bandera de detección del pasador retirado</x:v>
      </x:c>
      <x:c r="E171" s="7" t="n">
        <x:v>2</x:v>
      </x:c>
      <x:c r="F171" s="7" t="str">
        <x:v>ASTM A36</x:v>
      </x:c>
      <x:c r="G171" s="7" t="str">
        <x:v>Fabricación</x:v>
      </x:c>
      <x:c r="H171" s="9" t="n">
        <x:v>0.0000098999999999997</x:v>
      </x:c>
      <x:c r="I171" s="7" t="n">
        <x:v>7850</x:v>
      </x:c>
      <x:c r="J171" s="14" t="n">
        <x:f>H171*I171</x:f>
        <x:v>0.07771499999999765</x:v>
      </x:c>
      <x:c r="K171" s="14" t="n">
        <x:f>IF(ISNUMBER(J171),E171*J171,"n/d")</x:f>
        <x:v>0.1554299999999953</x:v>
      </x:c>
      <x:c r="L171" s="7" t="str">
        <x:v>CAD_volume_x_specified_density</x:v>
      </x:c>
      <x:c r="M171" s="7" t="str">
        <x:v>Plano de conjunto / detalle funcional: TT10_C05_PC_15</x:v>
      </x:c>
      <x:c r="N171" s="7" t="str">
        <x:v>C05E_TT10_D_BLANCO_PIN.SLDPRT</x:v>
      </x:c>
    </x:row>
    <x:row r="172" ht="34" customHeight="1">
      <x:c r="B172" s="7" t="n">
        <x:v>166</x:v>
      </x:c>
      <x:c r="C172" s="7" t="str">
        <x:v>TT10_D_BOTONERA</x:v>
      </x:c>
      <x:c r="D172" s="7" t="str">
        <x:v>Botonera: subir, bajar, retorno y paro de emergencia</x:v>
      </x:c>
      <x:c r="E172" s="7" t="n">
        <x:v>1</x:v>
      </x:c>
      <x:c r="F172" s="7" t="str">
        <x:v>Dispositivo de mando comercial; materiales según referencia OEM</x:v>
      </x:c>
      <x:c r="G172" s="7" t="str">
        <x:v>Comercial</x:v>
      </x:c>
      <x:c r="H172" s="9" t="n">
        <x:v>0.004559999999999995</x:v>
      </x:c>
      <x:c r="I172" s="7"/>
      <x:c r="J172" s="14" t="str">
        <x:v>n/d</x:v>
      </x:c>
      <x:c r="K172" s="14" t="str">
        <x:f>IF(ISNUMBER(J172),E172*J172,"n/d")</x:f>
        <x:v>n/d</x:v>
      </x:c>
      <x:c r="L172" s="7" t="str">
        <x:v>OEM_mass_required</x:v>
      </x:c>
      <x:c r="M172" s="7" t="str">
        <x:v>BOM y montaje TT10_C05_PC_01; sin plano individual</x:v>
      </x:c>
      <x:c r="N172" s="7" t="str">
        <x:v>C05E_TT10_D_BOTONERA.SLDPRT</x:v>
      </x:c>
    </x:row>
    <x:row r="173" ht="34" customHeight="1">
      <x:c r="B173" s="7" t="n">
        <x:v>167</x:v>
      </x:c>
      <x:c r="C173" s="7" t="str">
        <x:v>TT10_D_BOTON_0</x:v>
      </x:c>
      <x:c r="D173" s="7" t="str">
        <x:v>Pulsador 0</x:v>
      </x:c>
      <x:c r="E173" s="7" t="n">
        <x:v>1</x:v>
      </x:c>
      <x:c r="F173" s="7" t="str">
        <x:v>Dispositivo de mando comercial; materiales según referencia OEM</x:v>
      </x:c>
      <x:c r="G173" s="7" t="str">
        <x:v>Comercial</x:v>
      </x:c>
      <x:c r="H173" s="9" t="n">
        <x:v>0.00003801327110843743</x:v>
      </x:c>
      <x:c r="I173" s="7"/>
      <x:c r="J173" s="14" t="str">
        <x:v>n/d</x:v>
      </x:c>
      <x:c r="K173" s="14" t="str">
        <x:f>IF(ISNUMBER(J173),E173*J173,"n/d")</x:f>
        <x:v>n/d</x:v>
      </x:c>
      <x:c r="L173" s="7" t="str">
        <x:v>OEM_mass_required</x:v>
      </x:c>
      <x:c r="M173" s="7" t="str">
        <x:v>BOM y montaje TT10_C05_PC_01; sin plano individual</x:v>
      </x:c>
      <x:c r="N173" s="7" t="str">
        <x:v>C05E_TT10_D_BOTON_0.SLDPRT</x:v>
      </x:c>
    </x:row>
    <x:row r="174" ht="34" customHeight="1">
      <x:c r="B174" s="7" t="n">
        <x:v>168</x:v>
      </x:c>
      <x:c r="C174" s="7" t="str">
        <x:v>TT10_D_BOTON_1</x:v>
      </x:c>
      <x:c r="D174" s="7" t="str">
        <x:v>Pulsador 1</x:v>
      </x:c>
      <x:c r="E174" s="7" t="n">
        <x:v>1</x:v>
      </x:c>
      <x:c r="F174" s="7" t="str">
        <x:v>Dispositivo de mando comercial; materiales según referencia OEM</x:v>
      </x:c>
      <x:c r="G174" s="7" t="str">
        <x:v>Comercial</x:v>
      </x:c>
      <x:c r="H174" s="9" t="n">
        <x:v>0.00003801327110843743</x:v>
      </x:c>
      <x:c r="I174" s="7"/>
      <x:c r="J174" s="14" t="str">
        <x:v>n/d</x:v>
      </x:c>
      <x:c r="K174" s="14" t="str">
        <x:f>IF(ISNUMBER(J174),E174*J174,"n/d")</x:f>
        <x:v>n/d</x:v>
      </x:c>
      <x:c r="L174" s="7" t="str">
        <x:v>OEM_mass_required</x:v>
      </x:c>
      <x:c r="M174" s="7" t="str">
        <x:v>BOM y montaje TT10_C05_PC_01; sin plano individual</x:v>
      </x:c>
      <x:c r="N174" s="7" t="str">
        <x:v>C05E_TT10_D_BOTON_1.SLDPRT</x:v>
      </x:c>
    </x:row>
    <x:row r="175" ht="34" customHeight="1">
      <x:c r="B175" s="7" t="n">
        <x:v>169</x:v>
      </x:c>
      <x:c r="C175" s="7" t="str">
        <x:v>TT10_D_BOTON_2</x:v>
      </x:c>
      <x:c r="D175" s="7" t="str">
        <x:v>Pulsador 2</x:v>
      </x:c>
      <x:c r="E175" s="7" t="n">
        <x:v>1</x:v>
      </x:c>
      <x:c r="F175" s="7" t="str">
        <x:v>Dispositivo de mando comercial; materiales según referencia OEM</x:v>
      </x:c>
      <x:c r="G175" s="7" t="str">
        <x:v>Comercial</x:v>
      </x:c>
      <x:c r="H175" s="9" t="n">
        <x:v>0.00003801327110843743</x:v>
      </x:c>
      <x:c r="I175" s="7"/>
      <x:c r="J175" s="14" t="str">
        <x:v>n/d</x:v>
      </x:c>
      <x:c r="K175" s="14" t="str">
        <x:f>IF(ISNUMBER(J175),E175*J175,"n/d")</x:f>
        <x:v>n/d</x:v>
      </x:c>
      <x:c r="L175" s="7" t="str">
        <x:v>OEM_mass_required</x:v>
      </x:c>
      <x:c r="M175" s="7" t="str">
        <x:v>BOM y montaje TT10_C05_PC_01; sin plano individual</x:v>
      </x:c>
      <x:c r="N175" s="7" t="str">
        <x:v>C05E_TT10_D_BOTON_2.SLDPRT</x:v>
      </x:c>
    </x:row>
    <x:row r="176" ht="34" customHeight="1">
      <x:c r="B176" s="7" t="n">
        <x:v>170</x:v>
      </x:c>
      <x:c r="C176" s="7" t="str">
        <x:v>TT10_D_CABLE_PESTILLO_FIN_N</x:v>
      </x:c>
      <x:c r="D176" s="7" t="str">
        <x:v>Eje de conexión geométrica CABLE_PESTILLO_FIN_N</x:v>
      </x:c>
      <x:c r="E176" s="7" t="n">
        <x:v>1</x:v>
      </x:c>
      <x:c r="F176" s="7" t="str">
        <x:v>Cable/conducción comercial; composición según ficha</x:v>
      </x:c>
      <x:c r="G176" s="7" t="str">
        <x:v>Comercial</x:v>
      </x:c>
      <x:c r="H176" s="9" t="n">
        <x:v>0.000027407254309917174</x:v>
      </x:c>
      <x:c r="I176" s="7"/>
      <x:c r="J176" s="14" t="str">
        <x:v>n/d</x:v>
      </x:c>
      <x:c r="K176" s="14" t="str">
        <x:f>IF(ISNUMBER(J176),E176*J176,"n/d")</x:f>
        <x:v>n/d</x:v>
      </x:c>
      <x:c r="L176" s="7" t="str">
        <x:v>OEM_mass_required</x:v>
      </x:c>
      <x:c r="M176" s="7" t="str">
        <x:v>BOM y montaje TT10_C05_PC_01; sin plano individual</x:v>
      </x:c>
      <x:c r="N176" s="7" t="str">
        <x:v>C05E_TT10_D_CABLE_PESTILLO_FIN_N.SLDPRT</x:v>
      </x:c>
    </x:row>
    <x:row r="177" ht="34" customHeight="1">
      <x:c r="B177" s="7" t="n">
        <x:v>171</x:v>
      </x:c>
      <x:c r="C177" s="7" t="str">
        <x:v>TT10_D_CABLE_PESTILLO_FIN_P</x:v>
      </x:c>
      <x:c r="D177" s="7" t="str">
        <x:v>Eje de conexión geométrica CABLE_PESTILLO_FIN_P</x:v>
      </x:c>
      <x:c r="E177" s="7" t="n">
        <x:v>1</x:v>
      </x:c>
      <x:c r="F177" s="7" t="str">
        <x:v>Cable/conducción comercial; composición según ficha</x:v>
      </x:c>
      <x:c r="G177" s="7" t="str">
        <x:v>Comercial</x:v>
      </x:c>
      <x:c r="H177" s="9" t="n">
        <x:v>0.000027407254309917153</x:v>
      </x:c>
      <x:c r="I177" s="7"/>
      <x:c r="J177" s="14" t="str">
        <x:v>n/d</x:v>
      </x:c>
      <x:c r="K177" s="14" t="str">
        <x:f>IF(ISNUMBER(J177),E177*J177,"n/d")</x:f>
        <x:v>n/d</x:v>
      </x:c>
      <x:c r="L177" s="7" t="str">
        <x:v>OEM_mass_required</x:v>
      </x:c>
      <x:c r="M177" s="7" t="str">
        <x:v>BOM y montaje TT10_C05_PC_01; sin plano individual</x:v>
      </x:c>
      <x:c r="N177" s="7" t="str">
        <x:v>C05E_TT10_D_CABLE_PESTILLO_FIN_P.SLDPRT</x:v>
      </x:c>
    </x:row>
    <x:row r="178" ht="34" customHeight="1">
      <x:c r="B178" s="7" t="n">
        <x:v>172</x:v>
      </x:c>
      <x:c r="C178" s="7" t="str">
        <x:v>TT10_D_CABLE_PESTILLO_N</x:v>
      </x:c>
      <x:c r="D178" s="7" t="str">
        <x:v>Eje de conexión geométrica CABLE_PESTILLO_N</x:v>
      </x:c>
      <x:c r="E178" s="7" t="n">
        <x:v>1</x:v>
      </x:c>
      <x:c r="F178" s="7" t="str">
        <x:v>Cable/conducción comercial; composición según ficha</x:v>
      </x:c>
      <x:c r="G178" s="7" t="str">
        <x:v>Comercial</x:v>
      </x:c>
      <x:c r="H178" s="9" t="n">
        <x:v>0.000055292030703180604</x:v>
      </x:c>
      <x:c r="I178" s="7"/>
      <x:c r="J178" s="14" t="str">
        <x:v>n/d</x:v>
      </x:c>
      <x:c r="K178" s="14" t="str">
        <x:f>IF(ISNUMBER(J178),E178*J178,"n/d")</x:f>
        <x:v>n/d</x:v>
      </x:c>
      <x:c r="L178" s="7" t="str">
        <x:v>OEM_mass_required</x:v>
      </x:c>
      <x:c r="M178" s="7" t="str">
        <x:v>BOM y montaje TT10_C05_PC_01; sin plano individual</x:v>
      </x:c>
      <x:c r="N178" s="7" t="str">
        <x:v>C05E_TT10_D_CABLE_PESTILLO_N.SLDPRT</x:v>
      </x:c>
    </x:row>
    <x:row r="179" ht="34" customHeight="1">
      <x:c r="B179" s="7" t="n">
        <x:v>173</x:v>
      </x:c>
      <x:c r="C179" s="7" t="str">
        <x:v>TT10_D_CABLE_PESTILLO_P</x:v>
      </x:c>
      <x:c r="D179" s="7" t="str">
        <x:v>Eje de conexión geométrica CABLE_PESTILLO_P</x:v>
      </x:c>
      <x:c r="E179" s="7" t="n">
        <x:v>1</x:v>
      </x:c>
      <x:c r="F179" s="7" t="str">
        <x:v>Cable/conducción comercial; composición según ficha</x:v>
      </x:c>
      <x:c r="G179" s="7" t="str">
        <x:v>Comercial</x:v>
      </x:c>
      <x:c r="H179" s="9" t="n">
        <x:v>0.000055292030703180604</x:v>
      </x:c>
      <x:c r="I179" s="7"/>
      <x:c r="J179" s="14" t="str">
        <x:v>n/d</x:v>
      </x:c>
      <x:c r="K179" s="14" t="str">
        <x:f>IF(ISNUMBER(J179),E179*J179,"n/d")</x:f>
        <x:v>n/d</x:v>
      </x:c>
      <x:c r="L179" s="7" t="str">
        <x:v>OEM_mass_required</x:v>
      </x:c>
      <x:c r="M179" s="7" t="str">
        <x:v>BOM y montaje TT10_C05_PC_01; sin plano individual</x:v>
      </x:c>
      <x:c r="N179" s="7" t="str">
        <x:v>C05E_TT10_D_CABLE_PESTILLO_P.SLDPRT</x:v>
      </x:c>
    </x:row>
    <x:row r="180" ht="34" customHeight="1">
      <x:c r="B180" s="7" t="n">
        <x:v>174</x:v>
      </x:c>
      <x:c r="C180" s="7" t="str">
        <x:v>TT10_D_CABLE_PESTILLO_SUP_N</x:v>
      </x:c>
      <x:c r="D180" s="7" t="str">
        <x:v>Eje de conexión geométrica CABLE_PESTILLO_SUP_N</x:v>
      </x:c>
      <x:c r="E180" s="7" t="n">
        <x:v>1</x:v>
      </x:c>
      <x:c r="F180" s="7" t="str">
        <x:v>Cable/conducción comercial; composición según ficha</x:v>
      </x:c>
      <x:c r="G180" s="7" t="str">
        <x:v>Comercial</x:v>
      </x:c>
      <x:c r="H180" s="9" t="n">
        <x:v>0.000035537696097407724</x:v>
      </x:c>
      <x:c r="I180" s="7"/>
      <x:c r="J180" s="14" t="str">
        <x:v>n/d</x:v>
      </x:c>
      <x:c r="K180" s="14" t="str">
        <x:f>IF(ISNUMBER(J180),E180*J180,"n/d")</x:f>
        <x:v>n/d</x:v>
      </x:c>
      <x:c r="L180" s="7" t="str">
        <x:v>OEM_mass_required</x:v>
      </x:c>
      <x:c r="M180" s="7" t="str">
        <x:v>BOM y montaje TT10_C05_PC_01; sin plano individual</x:v>
      </x:c>
      <x:c r="N180" s="7" t="str">
        <x:v>C05E_TT10_D_CABLE_PESTILLO_SUP_N.SLDPRT</x:v>
      </x:c>
    </x:row>
    <x:row r="181" ht="34" customHeight="1">
      <x:c r="B181" s="7" t="n">
        <x:v>175</x:v>
      </x:c>
      <x:c r="C181" s="7" t="str">
        <x:v>TT10_D_CABLE_PESTILLO_SUP_P</x:v>
      </x:c>
      <x:c r="D181" s="7" t="str">
        <x:v>Eje de conexión geométrica CABLE_PESTILLO_SUP_P</x:v>
      </x:c>
      <x:c r="E181" s="7" t="n">
        <x:v>1</x:v>
      </x:c>
      <x:c r="F181" s="7" t="str">
        <x:v>Cable/conducción comercial; composición según ficha</x:v>
      </x:c>
      <x:c r="G181" s="7" t="str">
        <x:v>Comercial</x:v>
      </x:c>
      <x:c r="H181" s="9" t="n">
        <x:v>0.000035537696097407724</x:v>
      </x:c>
      <x:c r="I181" s="7"/>
      <x:c r="J181" s="14" t="str">
        <x:v>n/d</x:v>
      </x:c>
      <x:c r="K181" s="14" t="str">
        <x:f>IF(ISNUMBER(J181),E181*J181,"n/d")</x:f>
        <x:v>n/d</x:v>
      </x:c>
      <x:c r="L181" s="7" t="str">
        <x:v>OEM_mass_required</x:v>
      </x:c>
      <x:c r="M181" s="7" t="str">
        <x:v>BOM y montaje TT10_C05_PC_01; sin plano individual</x:v>
      </x:c>
      <x:c r="N181" s="7" t="str">
        <x:v>C05E_TT10_D_CABLE_PESTILLO_SUP_P.SLDPRT</x:v>
      </x:c>
    </x:row>
    <x:row r="182" ht="34" customHeight="1">
      <x:c r="B182" s="7" t="n">
        <x:v>176</x:v>
      </x:c>
      <x:c r="C182" s="7" t="str">
        <x:v>TT10_D_CABLE_PRESENTE</x:v>
      </x:c>
      <x:c r="D182" s="7" t="str">
        <x:v>Eje de conexión geométrica CABLE_PRESENTE</x:v>
      </x:c>
      <x:c r="E182" s="7" t="n">
        <x:v>1</x:v>
      </x:c>
      <x:c r="F182" s="7" t="str">
        <x:v>Cable/conducción comercial; composición según ficha</x:v>
      </x:c>
      <x:c r="G182" s="7" t="str">
        <x:v>Comercial</x:v>
      </x:c>
      <x:c r="H182" s="9" t="n">
        <x:v>0.000018306319138079513</x:v>
      </x:c>
      <x:c r="I182" s="7"/>
      <x:c r="J182" s="14" t="str">
        <x:v>n/d</x:v>
      </x:c>
      <x:c r="K182" s="14" t="str">
        <x:f>IF(ISNUMBER(J182),E182*J182,"n/d")</x:f>
        <x:v>n/d</x:v>
      </x:c>
      <x:c r="L182" s="7" t="str">
        <x:v>OEM_mass_required</x:v>
      </x:c>
      <x:c r="M182" s="7" t="str">
        <x:v>BOM y montaje TT10_C05_PC_01; sin plano individual</x:v>
      </x:c>
      <x:c r="N182" s="7" t="str">
        <x:v>C05E_TT10_D_CABLE_PRESENTE.SLDPRT</x:v>
      </x:c>
    </x:row>
    <x:row r="183" ht="34" customHeight="1">
      <x:c r="B183" s="7" t="n">
        <x:v>177</x:v>
      </x:c>
      <x:c r="C183" s="7" t="str">
        <x:v>TT10_D_CARTELA_MOTOR_0</x:v>
      </x:c>
      <x:c r="D183" s="7" t="str">
        <x:v>Apoyo lateral desmontable de bancada</x:v>
      </x:c>
      <x:c r="E183" s="7" t="n">
        <x:v>1</x:v>
      </x:c>
      <x:c r="F183" s="7" t="str">
        <x:v>ASTM A36</x:v>
      </x:c>
      <x:c r="G183" s="7" t="str">
        <x:v>Fabricación</x:v>
      </x:c>
      <x:c r="H183" s="9" t="n">
        <x:v>0.000529920000000001</x:v>
      </x:c>
      <x:c r="I183" s="7" t="n">
        <x:v>7850</x:v>
      </x:c>
      <x:c r="J183" s="14" t="n">
        <x:f>H183*I183</x:f>
        <x:v>4.159872000000008</x:v>
      </x:c>
      <x:c r="K183" s="14" t="n">
        <x:f>IF(ISNUMBER(J183),E183*J183,"n/d")</x:f>
        <x:v>4.159872000000008</x:v>
      </x:c>
      <x:c r="L183" s="7" t="str">
        <x:v>CAD_volume_x_specified_density</x:v>
      </x:c>
      <x:c r="M183" s="7" t="str">
        <x:v>Plano de conjunto / detalle funcional: TT10_C05_PC_10</x:v>
      </x:c>
      <x:c r="N183" s="7" t="str">
        <x:v>C05E_TT10_D_CARTELA_MOTOR_0.SLDPRT</x:v>
      </x:c>
    </x:row>
    <x:row r="184" ht="34" customHeight="1">
      <x:c r="B184" s="7" t="n">
        <x:v>178</x:v>
      </x:c>
      <x:c r="C184" s="7" t="str">
        <x:v>TT10_D_CARTELA_MOTOR_1</x:v>
      </x:c>
      <x:c r="D184" s="7" t="str">
        <x:v>Apoyo lateral desmontable de bancada</x:v>
      </x:c>
      <x:c r="E184" s="7" t="n">
        <x:v>1</x:v>
      </x:c>
      <x:c r="F184" s="7" t="str">
        <x:v>ASTM A36</x:v>
      </x:c>
      <x:c r="G184" s="7" t="str">
        <x:v>Fabricación</x:v>
      </x:c>
      <x:c r="H184" s="9" t="n">
        <x:v>0.0005299200000000009</x:v>
      </x:c>
      <x:c r="I184" s="7" t="n">
        <x:v>7850</x:v>
      </x:c>
      <x:c r="J184" s="14" t="n">
        <x:f>H184*I184</x:f>
        <x:v>4.159872000000007</x:v>
      </x:c>
      <x:c r="K184" s="14" t="n">
        <x:f>IF(ISNUMBER(J184),E184*J184,"n/d")</x:f>
        <x:v>4.159872000000007</x:v>
      </x:c>
      <x:c r="L184" s="7" t="str">
        <x:v>CAD_volume_x_specified_density</x:v>
      </x:c>
      <x:c r="M184" s="7" t="str">
        <x:v>Plano de conjunto / detalle funcional: TT10_C05_PC_10</x:v>
      </x:c>
      <x:c r="N184" s="7" t="str">
        <x:v>C05E_TT10_D_CARTELA_MOTOR_1.SLDPRT</x:v>
      </x:c>
    </x:row>
    <x:row r="185" ht="34" customHeight="1">
      <x:c r="B185" s="7" t="n">
        <x:v>179</x:v>
      </x:c>
      <x:c r="C185" s="7" t="str">
        <x:v>TT10_D_COLUMNA_MOTOR</x:v>
      </x:c>
      <x:c r="D185" s="7" t="str">
        <x:v>Columna adicional RHS200x200; asiento sobre placa base</x:v>
      </x:c>
      <x:c r="E185" s="7" t="n">
        <x:v>1</x:v>
      </x:c>
      <x:c r="F185" s="7" t="str">
        <x:v>S275J0H / EN 10219-1</x:v>
      </x:c>
      <x:c r="G185" s="7" t="str">
        <x:v>Fabricación</x:v>
      </x:c>
      <x:c r="H185" s="9" t="n">
        <x:v>0.014136000000000171</x:v>
      </x:c>
      <x:c r="I185" s="7" t="n">
        <x:v>7850</x:v>
      </x:c>
      <x:c r="J185" s="14" t="n">
        <x:f>H185*I185</x:f>
        <x:v>110.96760000000134</x:v>
      </x:c>
      <x:c r="K185" s="14" t="n">
        <x:f>IF(ISNUMBER(J185),E185*J185,"n/d")</x:f>
        <x:v>110.96760000000134</x:v>
      </x:c>
      <x:c r="L185" s="7" t="str">
        <x:v>CAD_volume_x_specified_density</x:v>
      </x:c>
      <x:c r="M185" s="7" t="str">
        <x:v>Plano de conjunto / detalle funcional: TT10_C05_PC_10</x:v>
      </x:c>
      <x:c r="N185" s="7" t="str">
        <x:v>C05E_TT10_D_COLUMNA_MOTOR.SLDPRT</x:v>
      </x:c>
    </x:row>
    <x:row r="186" ht="34" customHeight="1">
      <x:c r="B186" s="7" t="n">
        <x:v>180</x:v>
      </x:c>
      <x:c r="C186" s="7" t="str">
        <x:v>TT10_D_CUBO_N</x:v>
      </x:c>
      <x:c r="D186" s="7" t="str">
        <x:v>Cubo de conexión por apriete y brida de disco N</x:v>
      </x:c>
      <x:c r="E186" s="7" t="n">
        <x:v>1</x:v>
      </x:c>
      <x:c r="F186" s="7" t="str">
        <x:v>AISI 4140 bonificado</x:v>
      </x:c>
      <x:c r="G186" s="7" t="str">
        <x:v>Fabricación</x:v>
      </x:c>
      <x:c r="H186" s="9" t="n">
        <x:v>0.009804949941761915</x:v>
      </x:c>
      <x:c r="I186" s="7" t="n">
        <x:v>7850</x:v>
      </x:c>
      <x:c r="J186" s="14" t="n">
        <x:f>H186*I186</x:f>
        <x:v>76.96885704283103</x:v>
      </x:c>
      <x:c r="K186" s="14" t="n">
        <x:f>IF(ISNUMBER(J186),E186*J186,"n/d")</x:f>
        <x:v>76.96885704283103</x:v>
      </x:c>
      <x:c r="L186" s="7" t="str">
        <x:v>CAD_volume_x_specified_density</x:v>
      </x:c>
      <x:c r="M186" s="7" t="str">
        <x:v>Plano de conjunto / detalle funcional: TT10_C05_PC_09</x:v>
      </x:c>
      <x:c r="N186" s="7" t="str">
        <x:v>C05E_TT10_D_CUBO_N.SLDPRT</x:v>
      </x:c>
    </x:row>
    <x:row r="187" ht="34" customHeight="1">
      <x:c r="B187" s="7" t="n">
        <x:v>181</x:v>
      </x:c>
      <x:c r="C187" s="7" t="str">
        <x:v>TT10_D_CUBO_P</x:v>
      </x:c>
      <x:c r="D187" s="7" t="str">
        <x:v>Cubo de conexión por apriete y brida de disco P</x:v>
      </x:c>
      <x:c r="E187" s="7" t="n">
        <x:v>1</x:v>
      </x:c>
      <x:c r="F187" s="7" t="str">
        <x:v>AISI 4140 bonificado</x:v>
      </x:c>
      <x:c r="G187" s="7" t="str">
        <x:v>Fabricación</x:v>
      </x:c>
      <x:c r="H187" s="9" t="n">
        <x:v>0.009804949941761924</x:v>
      </x:c>
      <x:c r="I187" s="7" t="n">
        <x:v>7850</x:v>
      </x:c>
      <x:c r="J187" s="14" t="n">
        <x:f>H187*I187</x:f>
        <x:v>76.9688570428311</x:v>
      </x:c>
      <x:c r="K187" s="14" t="n">
        <x:f>IF(ISNUMBER(J187),E187*J187,"n/d")</x:f>
        <x:v>76.9688570428311</x:v>
      </x:c>
      <x:c r="L187" s="7" t="str">
        <x:v>CAD_volume_x_specified_density</x:v>
      </x:c>
      <x:c r="M187" s="7" t="str">
        <x:v>Plano de conjunto / detalle funcional: TT10_C05_PC_09</x:v>
      </x:c>
      <x:c r="N187" s="7" t="str">
        <x:v>C05E_TT10_D_CUBO_P.SLDPRT</x:v>
      </x:c>
    </x:row>
    <x:row r="188" ht="34" customHeight="1">
      <x:c r="B188" s="7" t="n">
        <x:v>182</x:v>
      </x:c>
      <x:c r="C188" s="7" t="str">
        <x:v>TT10_D_DISCO_N</x:v>
      </x:c>
      <x:c r="D188" s="7" t="str">
        <x:v>Disco de freno de salida N; diámetro nominal de dibujo</x:v>
      </x:c>
      <x:c r="E188" s="7" t="n">
        <x:v>1</x:v>
      </x:c>
      <x:c r="F188" s="7" t="str">
        <x:v>Equipo comprado</x:v>
      </x:c>
      <x:c r="G188" s="7" t="str">
        <x:v>Equipo nominal</x:v>
      </x:c>
      <x:c r="H188" s="9" t="n">
        <x:v>0.0358717259363007</x:v>
      </x:c>
      <x:c r="I188" s="7"/>
      <x:c r="J188" s="14" t="str">
        <x:v>n/d</x:v>
      </x:c>
      <x:c r="K188" s="14" t="str">
        <x:f>IF(ISNUMBER(J188),E188*J188,"n/d")</x:f>
        <x:v>n/d</x:v>
      </x:c>
      <x:c r="L188" s="7" t="str">
        <x:v>OEM_mass_required</x:v>
      </x:c>
      <x:c r="M188" s="7" t="str">
        <x:v>BOM y montaje TT10_C05_PC_01; sin plano individual</x:v>
      </x:c>
      <x:c r="N188" s="7" t="str">
        <x:v>C05E_TT10_D_DISCO_N.SLDPRT</x:v>
      </x:c>
    </x:row>
    <x:row r="189" ht="34" customHeight="1">
      <x:c r="B189" s="7" t="n">
        <x:v>183</x:v>
      </x:c>
      <x:c r="C189" s="7" t="str">
        <x:v>TT10_D_DISCO_P</x:v>
      </x:c>
      <x:c r="D189" s="7" t="str">
        <x:v>Disco de freno de salida P; diámetro nominal de dibujo</x:v>
      </x:c>
      <x:c r="E189" s="7" t="n">
        <x:v>1</x:v>
      </x:c>
      <x:c r="F189" s="7" t="str">
        <x:v>Equipo comprado</x:v>
      </x:c>
      <x:c r="G189" s="7" t="str">
        <x:v>Equipo nominal</x:v>
      </x:c>
      <x:c r="H189" s="9" t="n">
        <x:v>0.03587172593630002</x:v>
      </x:c>
      <x:c r="I189" s="7"/>
      <x:c r="J189" s="14" t="str">
        <x:v>n/d</x:v>
      </x:c>
      <x:c r="K189" s="14" t="str">
        <x:f>IF(ISNUMBER(J189),E189*J189,"n/d")</x:f>
        <x:v>n/d</x:v>
      </x:c>
      <x:c r="L189" s="7" t="str">
        <x:v>OEM_mass_required</x:v>
      </x:c>
      <x:c r="M189" s="7" t="str">
        <x:v>BOM y montaje TT10_C05_PC_01; sin plano individual</x:v>
      </x:c>
      <x:c r="N189" s="7" t="str">
        <x:v>C05E_TT10_D_DISCO_P.SLDPRT</x:v>
      </x:c>
    </x:row>
    <x:row r="190" ht="34" customHeight="1">
      <x:c r="B190" s="7" t="n">
        <x:v>184</x:v>
      </x:c>
      <x:c r="C190" s="7" t="str">
        <x:v>TT10_D_ENCODER</x:v>
      </x:c>
      <x:c r="D190" s="7" t="str">
        <x:v>Encoder de velocidad en eje motor</x:v>
      </x:c>
      <x:c r="E190" s="7" t="n">
        <x:v>1</x:v>
      </x:c>
      <x:c r="F190" s="7" t="str">
        <x:v>Equipo comprado</x:v>
      </x:c>
      <x:c r="G190" s="7" t="str">
        <x:v>Equipo nominal</x:v>
      </x:c>
      <x:c r="H190" s="9" t="n">
        <x:v>0.000413512133028754</x:v>
      </x:c>
      <x:c r="I190" s="7"/>
      <x:c r="J190" s="14" t="str">
        <x:v>n/d</x:v>
      </x:c>
      <x:c r="K190" s="14" t="str">
        <x:f>IF(ISNUMBER(J190),E190*J190,"n/d")</x:f>
        <x:v>n/d</x:v>
      </x:c>
      <x:c r="L190" s="7" t="str">
        <x:v>OEM_mass_required</x:v>
      </x:c>
      <x:c r="M190" s="7" t="str">
        <x:v>BOM y montaje TT10_C05_PC_01; sin plano individual</x:v>
      </x:c>
      <x:c r="N190" s="7" t="str">
        <x:v>C05E_TT10_D_ENCODER.SLDPRT</x:v>
      </x:c>
    </x:row>
    <x:row r="191" ht="34" customHeight="1">
      <x:c r="B191" s="7" t="n">
        <x:v>185</x:v>
      </x:c>
      <x:c r="C191" s="7" t="str">
        <x:v>TT10_D_ENTRADA_REDUCTOR</x:v>
      </x:c>
      <x:c r="D191" s="7" t="str">
        <x:v>Eje de conexión geométrica ENTRADA_REDUCTOR</x:v>
      </x:c>
      <x:c r="E191" s="7" t="n">
        <x:v>1</x:v>
      </x:c>
      <x:c r="F191" s="7" t="str">
        <x:v>Equipo comprado; materiales y masa según ficha OEM</x:v>
      </x:c>
      <x:c r="G191" s="7" t="str">
        <x:v>Equipo nominal</x:v>
      </x:c>
      <x:c r="H191" s="9" t="n">
        <x:v>0.0001276272015520892</x:v>
      </x:c>
      <x:c r="I191" s="7"/>
      <x:c r="J191" s="14" t="str">
        <x:v>n/d</x:v>
      </x:c>
      <x:c r="K191" s="14" t="str">
        <x:f>IF(ISNUMBER(J191),E191*J191,"n/d")</x:f>
        <x:v>n/d</x:v>
      </x:c>
      <x:c r="L191" s="7" t="str">
        <x:v>OEM_mass_required</x:v>
      </x:c>
      <x:c r="M191" s="7" t="str">
        <x:v>BOM y montaje TT10_C05_PC_01; sin plano individual</x:v>
      </x:c>
      <x:c r="N191" s="7" t="str">
        <x:v>C05E_TT10_D_ENTRADA_REDUCTOR.SLDPRT</x:v>
      </x:c>
    </x:row>
    <x:row r="192" ht="34" customHeight="1">
      <x:c r="B192" s="7" t="n">
        <x:v>186</x:v>
      </x:c>
      <x:c r="C192" s="7" t="str">
        <x:v>TT10_D_LIBERACION_FRENO_N</x:v>
      </x:c>
      <x:c r="D192" s="7" t="str">
        <x:v>Eje de conexión geométrica LIBERACION_FRENO_N</x:v>
      </x:c>
      <x:c r="E192" s="7" t="n">
        <x:v>1</x:v>
      </x:c>
      <x:c r="F192" s="7" t="str">
        <x:v>Mecanismo OEM Svendborg; incluido en pinza</x:v>
      </x:c>
      <x:c r="G192" s="7" t="str">
        <x:v>Comercial</x:v>
      </x:c>
      <x:c r="H192" s="9" t="n">
        <x:v>0.000013069025438933537</x:v>
      </x:c>
      <x:c r="I192" s="7"/>
      <x:c r="J192" s="14" t="str">
        <x:v>n/d</x:v>
      </x:c>
      <x:c r="K192" s="14" t="str">
        <x:f>IF(ISNUMBER(J192),E192*J192,"n/d")</x:f>
        <x:v>n/d</x:v>
      </x:c>
      <x:c r="L192" s="7" t="str">
        <x:v>OEM_mass_required</x:v>
      </x:c>
      <x:c r="M192" s="7" t="str">
        <x:v>BOM y montaje TT10_C05_PC_01; sin plano individual</x:v>
      </x:c>
      <x:c r="N192" s="7" t="str">
        <x:v>C05E_TT10_D_LIBERACION_FRENO_N.SLDPRT</x:v>
      </x:c>
    </x:row>
    <x:row r="193" ht="34" customHeight="1">
      <x:c r="B193" s="7" t="n">
        <x:v>187</x:v>
      </x:c>
      <x:c r="C193" s="7" t="str">
        <x:v>TT10_D_LIBERACION_FRENO_P</x:v>
      </x:c>
      <x:c r="D193" s="7" t="str">
        <x:v>Eje de conexión geométrica LIBERACION_FRENO_P</x:v>
      </x:c>
      <x:c r="E193" s="7" t="n">
        <x:v>1</x:v>
      </x:c>
      <x:c r="F193" s="7" t="str">
        <x:v>Mecanismo OEM Svendborg; incluido en pinza</x:v>
      </x:c>
      <x:c r="G193" s="7" t="str">
        <x:v>Comercial</x:v>
      </x:c>
      <x:c r="H193" s="9" t="n">
        <x:v>0.000013069025438933537</x:v>
      </x:c>
      <x:c r="I193" s="7"/>
      <x:c r="J193" s="14" t="str">
        <x:v>n/d</x:v>
      </x:c>
      <x:c r="K193" s="14" t="str">
        <x:f>IF(ISNUMBER(J193),E193*J193,"n/d")</x:f>
        <x:v>n/d</x:v>
      </x:c>
      <x:c r="L193" s="7" t="str">
        <x:v>OEM_mass_required</x:v>
      </x:c>
      <x:c r="M193" s="7" t="str">
        <x:v>BOM y montaje TT10_C05_PC_01; sin plano individual</x:v>
      </x:c>
      <x:c r="N193" s="7" t="str">
        <x:v>C05E_TT10_D_LIBERACION_FRENO_P.SLDPRT</x:v>
      </x:c>
    </x:row>
    <x:row r="194" ht="34" customHeight="1">
      <x:c r="B194" s="7" t="n">
        <x:v>188</x:v>
      </x:c>
      <x:c r="C194" s="7" t="str">
        <x:v>TT10_D_MANDO_PRESENTE</x:v>
      </x:c>
      <x:c r="D194" s="7" t="str">
        <x:v>Palanca de hombre presente para liberación manual nominal</x:v>
      </x:c>
      <x:c r="E194" s="7" t="n">
        <x:v>1</x:v>
      </x:c>
      <x:c r="F194" s="7" t="str">
        <x:v>ASTM A36</x:v>
      </x:c>
      <x:c r="G194" s="7" t="str">
        <x:v>Fabricación</x:v>
      </x:c>
      <x:c r="H194" s="9" t="n">
        <x:v>0.00005500000000000077</x:v>
      </x:c>
      <x:c r="I194" s="7" t="n">
        <x:v>7850</x:v>
      </x:c>
      <x:c r="J194" s="14" t="n">
        <x:f>H194*I194</x:f>
        <x:v>0.431750000000006</x:v>
      </x:c>
      <x:c r="K194" s="14" t="n">
        <x:f>IF(ISNUMBER(J194),E194*J194,"n/d")</x:f>
        <x:v>0.431750000000006</x:v>
      </x:c>
      <x:c r="L194" s="7" t="str">
        <x:v>CAD_volume_x_specified_density</x:v>
      </x:c>
      <x:c r="M194" s="7" t="str">
        <x:v>Plano de conjunto / detalle funcional: TT10_C05_PC_25</x:v>
      </x:c>
      <x:c r="N194" s="7" t="str">
        <x:v>C05E_TT10_D_MANDO_PRESENTE.SLDPRT</x:v>
      </x:c>
    </x:row>
    <x:row r="195" ht="34" customHeight="1">
      <x:c r="B195" s="7" t="n">
        <x:v>189</x:v>
      </x:c>
      <x:c r="C195" s="7" t="str">
        <x:v>TT10_D_MOTOR</x:v>
      </x:c>
      <x:c r="D195" s="7" t="str">
        <x:v>Motor eléctrico con encoder; geometría nominal, potencia no seleccionada</x:v>
      </x:c>
      <x:c r="E195" s="7" t="n">
        <x:v>1</x:v>
      </x:c>
      <x:c r="F195" s="7" t="str">
        <x:v>Equipo comprado; materiales y masa según ficha OEM</x:v>
      </x:c>
      <x:c r="G195" s="7" t="str">
        <x:v>Equipo nominal</x:v>
      </x:c>
      <x:c r="H195" s="9" t="n">
        <x:v>0.05716233037208915</x:v>
      </x:c>
      <x:c r="I195" s="7"/>
      <x:c r="J195" s="14" t="str">
        <x:v>n/d</x:v>
      </x:c>
      <x:c r="K195" s="14" t="str">
        <x:f>IF(ISNUMBER(J195),E195*J195,"n/d")</x:f>
        <x:v>n/d</x:v>
      </x:c>
      <x:c r="L195" s="7" t="str">
        <x:v>OEM_mass_required</x:v>
      </x:c>
      <x:c r="M195" s="7" t="str">
        <x:v>BOM y montaje TT10_C05_PC_01; sin plano individual</x:v>
      </x:c>
      <x:c r="N195" s="7" t="str">
        <x:v>C05E_TT10_D_MOTOR.SLDPRT</x:v>
      </x:c>
    </x:row>
    <x:row r="196" ht="34" customHeight="1">
      <x:c r="B196" s="7" t="n">
        <x:v>190</x:v>
      </x:c>
      <x:c r="C196" s="7" t="str">
        <x:v>TT10_D_PALANCA_PESTILLO_N</x:v>
      </x:c>
      <x:c r="D196" s="7" t="str">
        <x:v>Palanca accesible de recuperación del pestillo por cable</x:v>
      </x:c>
      <x:c r="E196" s="7" t="n">
        <x:v>1</x:v>
      </x:c>
      <x:c r="F196" s="7" t="str">
        <x:v>AISI 4140 bonificado</x:v>
      </x:c>
      <x:c r="G196" s="7" t="str">
        <x:v>Fabricación</x:v>
      </x:c>
      <x:c r="H196" s="9" t="n">
        <x:v>0.000060000000000000076</x:v>
      </x:c>
      <x:c r="I196" s="7" t="n">
        <x:v>7850</x:v>
      </x:c>
      <x:c r="J196" s="14" t="n">
        <x:f>H196*I196</x:f>
        <x:v>0.4710000000000006</x:v>
      </x:c>
      <x:c r="K196" s="14" t="n">
        <x:f>IF(ISNUMBER(J196),E196*J196,"n/d")</x:f>
        <x:v>0.4710000000000006</x:v>
      </x:c>
      <x:c r="L196" s="7" t="str">
        <x:v>CAD_volume_x_specified_density</x:v>
      </x:c>
      <x:c r="M196" s="7" t="str">
        <x:v>Plano de conjunto / detalle funcional: TT10_C05_PC_14</x:v>
      </x:c>
      <x:c r="N196" s="7" t="str">
        <x:v>C05E_TT10_D_PALANCA_PESTILLO_N.SLDPRT</x:v>
      </x:c>
    </x:row>
    <x:row r="197" ht="34" customHeight="1">
      <x:c r="B197" s="7" t="n">
        <x:v>191</x:v>
      </x:c>
      <x:c r="C197" s="7" t="str">
        <x:v>TT10_D_PALANCA_PESTILLO_P</x:v>
      </x:c>
      <x:c r="D197" s="7" t="str">
        <x:v>Palanca accesible de recuperación del pestillo por cable</x:v>
      </x:c>
      <x:c r="E197" s="7" t="n">
        <x:v>1</x:v>
      </x:c>
      <x:c r="F197" s="7" t="str">
        <x:v>AISI 4140 bonificado</x:v>
      </x:c>
      <x:c r="G197" s="7" t="str">
        <x:v>Fabricación</x:v>
      </x:c>
      <x:c r="H197" s="9" t="n">
        <x:v>0.000060000000000000076</x:v>
      </x:c>
      <x:c r="I197" s="7" t="n">
        <x:v>7850</x:v>
      </x:c>
      <x:c r="J197" s="14" t="n">
        <x:f>H197*I197</x:f>
        <x:v>0.4710000000000006</x:v>
      </x:c>
      <x:c r="K197" s="14" t="n">
        <x:f>IF(ISNUMBER(J197),E197*J197,"n/d")</x:f>
        <x:v>0.4710000000000006</x:v>
      </x:c>
      <x:c r="L197" s="7" t="str">
        <x:v>CAD_volume_x_specified_density</x:v>
      </x:c>
      <x:c r="M197" s="7" t="str">
        <x:v>Plano de conjunto / detalle funcional: TT10_C05_PC_14</x:v>
      </x:c>
      <x:c r="N197" s="7" t="str">
        <x:v>C05E_TT10_D_PALANCA_PESTILLO_P.SLDPRT</x:v>
      </x:c>
    </x:row>
    <x:row r="198" ht="34" customHeight="1">
      <x:c r="B198" s="7" t="n">
        <x:v>192</x:v>
      </x:c>
      <x:c r="C198" s="7" t="str">
        <x:v>TT10_D_PALANCA_SELECTOR</x:v>
      </x:c>
      <x:c r="D198" s="7" t="str">
        <x:v>Selector E-0-M a altura accesible; transmisión por varilla</x:v>
      </x:c>
      <x:c r="E198" s="7" t="n">
        <x:v>1</x:v>
      </x:c>
      <x:c r="F198" s="7" t="str">
        <x:v>ASTM A36</x:v>
      </x:c>
      <x:c r="G198" s="7" t="str">
        <x:v>Fabricación</x:v>
      </x:c>
      <x:c r="H198" s="9" t="n">
        <x:v>0.00014400000000000074</x:v>
      </x:c>
      <x:c r="I198" s="7" t="n">
        <x:v>7850.000000000001</x:v>
      </x:c>
      <x:c r="J198" s="14" t="n">
        <x:f>H198*I198</x:f>
        <x:v>1.1304000000000058</x:v>
      </x:c>
      <x:c r="K198" s="14" t="n">
        <x:f>IF(ISNUMBER(J198),E198*J198,"n/d")</x:f>
        <x:v>1.1304000000000058</x:v>
      </x:c>
      <x:c r="L198" s="7" t="str">
        <x:v>CAD_volume_x_specified_density</x:v>
      </x:c>
      <x:c r="M198" s="7" t="str">
        <x:v>Plano de conjunto / detalle funcional: TT10_C05_PC_26</x:v>
      </x:c>
      <x:c r="N198" s="7" t="str">
        <x:v>C05E_TT10_D_PALANCA_SELECTOR.SLDPRT</x:v>
      </x:c>
    </x:row>
    <x:row r="199" ht="34" customHeight="1">
      <x:c r="B199" s="7" t="n">
        <x:v>193</x:v>
      </x:c>
      <x:c r="C199" s="7" t="str">
        <x:v>TT10_D_PASTILLA_N0</x:v>
      </x:c>
      <x:c r="D199" s="7" t="str">
        <x:v>Pastilla de freno; contacto nominal intencional</x:v>
      </x:c>
      <x:c r="E199" s="7" t="n">
        <x:v>1</x:v>
      </x:c>
      <x:c r="F199" s="7" t="str">
        <x:v>Material de fricción OEM Svendborg; según suministro</x:v>
      </x:c>
      <x:c r="G199" s="7" t="str">
        <x:v>Comercial</x:v>
      </x:c>
      <x:c r="H199" s="9" t="n">
        <x:v>0.0000288</x:v>
      </x:c>
      <x:c r="I199" s="7"/>
      <x:c r="J199" s="14" t="str">
        <x:v>n/d</x:v>
      </x:c>
      <x:c r="K199" s="14" t="str">
        <x:f>IF(ISNUMBER(J199),E199*J199,"n/d")</x:f>
        <x:v>n/d</x:v>
      </x:c>
      <x:c r="L199" s="7" t="str">
        <x:v>OEM_mass_required</x:v>
      </x:c>
      <x:c r="M199" s="7" t="str">
        <x:v>BOM y montaje TT10_C05_PC_01; sin plano individual</x:v>
      </x:c>
      <x:c r="N199" s="7" t="str">
        <x:v>C05E_TT10_D_PASTILLA_N0.SLDPRT</x:v>
      </x:c>
    </x:row>
    <x:row r="200" ht="34" customHeight="1">
      <x:c r="B200" s="7" t="n">
        <x:v>194</x:v>
      </x:c>
      <x:c r="C200" s="7" t="str">
        <x:v>TT10_D_PASTILLA_N1</x:v>
      </x:c>
      <x:c r="D200" s="7" t="str">
        <x:v>Pastilla de freno; contacto nominal intencional</x:v>
      </x:c>
      <x:c r="E200" s="7" t="n">
        <x:v>1</x:v>
      </x:c>
      <x:c r="F200" s="7" t="str">
        <x:v>Material de fricción OEM Svendborg; según suministro</x:v>
      </x:c>
      <x:c r="G200" s="7" t="str">
        <x:v>Comercial</x:v>
      </x:c>
      <x:c r="H200" s="9" t="n">
        <x:v>0.0000288</x:v>
      </x:c>
      <x:c r="I200" s="7"/>
      <x:c r="J200" s="14" t="str">
        <x:v>n/d</x:v>
      </x:c>
      <x:c r="K200" s="14" t="str">
        <x:f>IF(ISNUMBER(J200),E200*J200,"n/d")</x:f>
        <x:v>n/d</x:v>
      </x:c>
      <x:c r="L200" s="7" t="str">
        <x:v>OEM_mass_required</x:v>
      </x:c>
      <x:c r="M200" s="7" t="str">
        <x:v>BOM y montaje TT10_C05_PC_01; sin plano individual</x:v>
      </x:c>
      <x:c r="N200" s="7" t="str">
        <x:v>C05E_TT10_D_PASTILLA_N1.SLDPRT</x:v>
      </x:c>
    </x:row>
    <x:row r="201" ht="34" customHeight="1">
      <x:c r="B201" s="7" t="n">
        <x:v>195</x:v>
      </x:c>
      <x:c r="C201" s="7" t="str">
        <x:v>TT10_D_PASTILLA_P0</x:v>
      </x:c>
      <x:c r="D201" s="7" t="str">
        <x:v>Pastilla de freno; contacto nominal intencional</x:v>
      </x:c>
      <x:c r="E201" s="7" t="n">
        <x:v>1</x:v>
      </x:c>
      <x:c r="F201" s="7" t="str">
        <x:v>Material de fricción OEM Svendborg; según suministro</x:v>
      </x:c>
      <x:c r="G201" s="7" t="str">
        <x:v>Comercial</x:v>
      </x:c>
      <x:c r="H201" s="9" t="n">
        <x:v>0.0000288</x:v>
      </x:c>
      <x:c r="I201" s="7"/>
      <x:c r="J201" s="14" t="str">
        <x:v>n/d</x:v>
      </x:c>
      <x:c r="K201" s="14" t="str">
        <x:f>IF(ISNUMBER(J201),E201*J201,"n/d")</x:f>
        <x:v>n/d</x:v>
      </x:c>
      <x:c r="L201" s="7" t="str">
        <x:v>OEM_mass_required</x:v>
      </x:c>
      <x:c r="M201" s="7" t="str">
        <x:v>BOM y montaje TT10_C05_PC_01; sin plano individual</x:v>
      </x:c>
      <x:c r="N201" s="7" t="str">
        <x:v>C05E_TT10_D_PASTILLA_P0.SLDPRT</x:v>
      </x:c>
    </x:row>
    <x:row r="202" ht="34" customHeight="1">
      <x:c r="B202" s="7" t="n">
        <x:v>196</x:v>
      </x:c>
      <x:c r="C202" s="7" t="str">
        <x:v>TT10_D_PASTILLA_P1</x:v>
      </x:c>
      <x:c r="D202" s="7" t="str">
        <x:v>Pastilla de freno; contacto nominal intencional</x:v>
      </x:c>
      <x:c r="E202" s="7" t="n">
        <x:v>1</x:v>
      </x:c>
      <x:c r="F202" s="7" t="str">
        <x:v>Material de fricción OEM Svendborg; según suministro</x:v>
      </x:c>
      <x:c r="G202" s="7" t="str">
        <x:v>Comercial</x:v>
      </x:c>
      <x:c r="H202" s="9" t="n">
        <x:v>0.0000288</x:v>
      </x:c>
      <x:c r="I202" s="7"/>
      <x:c r="J202" s="14" t="str">
        <x:v>n/d</x:v>
      </x:c>
      <x:c r="K202" s="14" t="str">
        <x:f>IF(ISNUMBER(J202),E202*J202,"n/d")</x:f>
        <x:v>n/d</x:v>
      </x:c>
      <x:c r="L202" s="7" t="str">
        <x:v>OEM_mass_required</x:v>
      </x:c>
      <x:c r="M202" s="7" t="str">
        <x:v>BOM y montaje TT10_C05_PC_01; sin plano individual</x:v>
      </x:c>
      <x:c r="N202" s="7" t="str">
        <x:v>C05E_TT10_D_PASTILLA_P1.SLDPRT</x:v>
      </x:c>
    </x:row>
    <x:row r="203" ht="34" customHeight="1">
      <x:c r="B203" s="7" t="n">
        <x:v>197</x:v>
      </x:c>
      <x:c r="C203" s="7" t="str">
        <x:v>TT10_D_PEDESTAL_AUX</x:v>
      </x:c>
      <x:c r="D203" s="7" t="str">
        <x:v>Pedestal bajo reducción auxiliar</x:v>
      </x:c>
      <x:c r="E203" s="7" t="n">
        <x:v>1</x:v>
      </x:c>
      <x:c r="F203" s="7" t="str">
        <x:v>ASTM A36</x:v>
      </x:c>
      <x:c r="G203" s="7" t="str">
        <x:v>Fabricación</x:v>
      </x:c>
      <x:c r="H203" s="9" t="n">
        <x:v>0.012121000000000012</x:v>
      </x:c>
      <x:c r="I203" s="7" t="n">
        <x:v>7850.000000000001</x:v>
      </x:c>
      <x:c r="J203" s="14" t="n">
        <x:f>H203*I203</x:f>
        <x:v>95.1498500000001</x:v>
      </x:c>
      <x:c r="K203" s="14" t="n">
        <x:f>IF(ISNUMBER(J203),E203*J203,"n/d")</x:f>
        <x:v>95.1498500000001</x:v>
      </x:c>
      <x:c r="L203" s="7" t="str">
        <x:v>CAD_volume_x_specified_density</x:v>
      </x:c>
      <x:c r="M203" s="7" t="str">
        <x:v>Plano de conjunto / detalle funcional: TT10_C05_PC_10</x:v>
      </x:c>
      <x:c r="N203" s="7" t="str">
        <x:v>C05E_TT10_D_PEDESTAL_AUX.SLDPRT</x:v>
      </x:c>
    </x:row>
    <x:row r="204" ht="34" customHeight="1">
      <x:c r="B204" s="7" t="n">
        <x:v>198</x:v>
      </x:c>
      <x:c r="C204" s="7" t="str">
        <x:v>TT10_D_PEDESTAL_MOTOR</x:v>
      </x:c>
      <x:c r="D204" s="7" t="str">
        <x:v>Soporte común de pies del motor</x:v>
      </x:c>
      <x:c r="E204" s="7" t="n">
        <x:v>1</x:v>
      </x:c>
      <x:c r="F204" s="7" t="str">
        <x:v>ASTM A36</x:v>
      </x:c>
      <x:c r="G204" s="7" t="str">
        <x:v>Fabricación</x:v>
      </x:c>
      <x:c r="H204" s="9" t="n">
        <x:v>0.028508999999999958</x:v>
      </x:c>
      <x:c r="I204" s="7" t="n">
        <x:v>7850</x:v>
      </x:c>
      <x:c r="J204" s="14" t="n">
        <x:f>H204*I204</x:f>
        <x:v>223.79564999999968</x:v>
      </x:c>
      <x:c r="K204" s="14" t="n">
        <x:f>IF(ISNUMBER(J204),E204*J204,"n/d")</x:f>
        <x:v>223.79564999999968</x:v>
      </x:c>
      <x:c r="L204" s="7" t="str">
        <x:v>CAD_volume_x_specified_density</x:v>
      </x:c>
      <x:c r="M204" s="7" t="str">
        <x:v>Plano de conjunto / detalle funcional: TT10_C05_PC_10</x:v>
      </x:c>
      <x:c r="N204" s="7" t="str">
        <x:v>C05E_TT10_D_PEDESTAL_MOTOR.SLDPRT</x:v>
      </x:c>
    </x:row>
    <x:row r="205" ht="34" customHeight="1">
      <x:c r="B205" s="7" t="n">
        <x:v>199</x:v>
      </x:c>
      <x:c r="C205" s="7" t="str">
        <x:v>TT10_D_PINZA_N</x:v>
      </x:c>
      <x:c r="D205" s="7" t="str">
        <x:v>Pinza de freno por resorte, liberación eléctrica N; envolvente nominal</x:v>
      </x:c>
      <x:c r="E205" s="7" t="n">
        <x:v>1</x:v>
      </x:c>
      <x:c r="F205" s="7" t="str">
        <x:v>Equipo comprado</x:v>
      </x:c>
      <x:c r="G205" s="7" t="str">
        <x:v>Equipo nominal</x:v>
      </x:c>
      <x:c r="H205" s="9" t="n">
        <x:v>0.008551400000000016</x:v>
      </x:c>
      <x:c r="I205" s="7"/>
      <x:c r="J205" s="14" t="str">
        <x:v>n/d</x:v>
      </x:c>
      <x:c r="K205" s="14" t="str">
        <x:f>IF(ISNUMBER(J205),E205*J205,"n/d")</x:f>
        <x:v>n/d</x:v>
      </x:c>
      <x:c r="L205" s="7" t="str">
        <x:v>OEM_mass_required</x:v>
      </x:c>
      <x:c r="M205" s="7" t="str">
        <x:v>BOM y montaje TT10_C05_PC_01; sin plano individual</x:v>
      </x:c>
      <x:c r="N205" s="7" t="str">
        <x:v>C05E_TT10_D_PINZA_N.SLDPRT</x:v>
      </x:c>
    </x:row>
    <x:row r="206" ht="34" customHeight="1">
      <x:c r="B206" s="7" t="n">
        <x:v>200</x:v>
      </x:c>
      <x:c r="C206" s="7" t="str">
        <x:v>TT10_D_PINZA_P</x:v>
      </x:c>
      <x:c r="D206" s="7" t="str">
        <x:v>Pinza de freno por resorte, liberación eléctrica P; envolvente nominal</x:v>
      </x:c>
      <x:c r="E206" s="7" t="n">
        <x:v>1</x:v>
      </x:c>
      <x:c r="F206" s="7" t="str">
        <x:v>Equipo comprado</x:v>
      </x:c>
      <x:c r="G206" s="7" t="str">
        <x:v>Equipo nominal</x:v>
      </x:c>
      <x:c r="H206" s="9" t="n">
        <x:v>0.008551400000000016</x:v>
      </x:c>
      <x:c r="I206" s="7"/>
      <x:c r="J206" s="14" t="str">
        <x:v>n/d</x:v>
      </x:c>
      <x:c r="K206" s="14" t="str">
        <x:f>IF(ISNUMBER(J206),E206*J206,"n/d")</x:f>
        <x:v>n/d</x:v>
      </x:c>
      <x:c r="L206" s="7" t="str">
        <x:v>OEM_mass_required</x:v>
      </x:c>
      <x:c r="M206" s="7" t="str">
        <x:v>BOM y montaje TT10_C05_PC_01; sin plano individual</x:v>
      </x:c>
      <x:c r="N206" s="7" t="str">
        <x:v>C05E_TT10_D_PINZA_P.SLDPRT</x:v>
      </x:c>
    </x:row>
    <x:row r="207" ht="34" customHeight="1">
      <x:c r="B207" s="7" t="n">
        <x:v>201</x:v>
      </x:c>
      <x:c r="C207" s="7" t="str">
        <x:v>TT10_D_PLATAFORMA</x:v>
      </x:c>
      <x:c r="D207" s="7" t="str">
        <x:v>Plataforma ampliada del accionamiento; reemplaza F466</x:v>
      </x:c>
      <x:c r="E207" s="7" t="n">
        <x:v>1</x:v>
      </x:c>
      <x:c r="F207" s="7" t="str">
        <x:v>ASTM A36</x:v>
      </x:c>
      <x:c r="G207" s="7" t="str">
        <x:v>Fabricación</x:v>
      </x:c>
      <x:c r="H207" s="9" t="n">
        <x:v>0.05245783009122729</x:v>
      </x:c>
      <x:c r="I207" s="7" t="n">
        <x:v>7850</x:v>
      </x:c>
      <x:c r="J207" s="14" t="n">
        <x:f>H207*I207</x:f>
        <x:v>411.7939662161342</x:v>
      </x:c>
      <x:c r="K207" s="14" t="n">
        <x:f>IF(ISNUMBER(J207),E207*J207,"n/d")</x:f>
        <x:v>411.7939662161342</x:v>
      </x:c>
      <x:c r="L207" s="7" t="str">
        <x:v>CAD_volume_x_specified_density</x:v>
      </x:c>
      <x:c r="M207" s="7" t="str">
        <x:v>Plano de conjunto / detalle funcional: TT10_C05_PC_10</x:v>
      </x:c>
      <x:c r="N207" s="7" t="str">
        <x:v>C05E_TT10_D_PLATAFORMA.SLDPRT</x:v>
      </x:c>
    </x:row>
    <x:row r="208" ht="34" customHeight="1">
      <x:c r="B208" s="7" t="n">
        <x:v>202</x:v>
      </x:c>
      <x:c r="C208" s="7" t="str">
        <x:v>TT10_D_POSTE_ARMARIO</x:v>
      </x:c>
      <x:c r="D208" s="7" t="str">
        <x:v>Soporte de armario</x:v>
      </x:c>
      <x:c r="E208" s="7" t="n">
        <x:v>1</x:v>
      </x:c>
      <x:c r="F208" s="7" t="str">
        <x:v>ASTM A36</x:v>
      </x:c>
      <x:c r="G208" s="7" t="str">
        <x:v>Fabricación</x:v>
      </x:c>
      <x:c r="H208" s="9" t="n">
        <x:v>0.0006297499999999957</x:v>
      </x:c>
      <x:c r="I208" s="7" t="n">
        <x:v>7850</x:v>
      </x:c>
      <x:c r="J208" s="14" t="n">
        <x:f>H208*I208</x:f>
        <x:v>4.943537499999966</x:v>
      </x:c>
      <x:c r="K208" s="14" t="n">
        <x:f>IF(ISNUMBER(J208),E208*J208,"n/d")</x:f>
        <x:v>4.943537499999966</x:v>
      </x:c>
      <x:c r="L208" s="7" t="str">
        <x:v>CAD_volume_x_specified_density</x:v>
      </x:c>
      <x:c r="M208" s="7" t="str">
        <x:v>Plano de conjunto / detalle funcional: TT10_C05_PC_25</x:v>
      </x:c>
      <x:c r="N208" s="7" t="str">
        <x:v>C05E_TT10_D_POSTE_ARMARIO.SLDPRT</x:v>
      </x:c>
    </x:row>
    <x:row r="209" ht="34" customHeight="1">
      <x:c r="B209" s="7" t="n">
        <x:v>203</x:v>
      </x:c>
      <x:c r="C209" s="7" t="str">
        <x:v>TT10_D_POSTE_BOTONERA</x:v>
      </x:c>
      <x:c r="D209" s="7" t="str">
        <x:v>Poste de botonera fuera del plano de giro</x:v>
      </x:c>
      <x:c r="E209" s="7" t="n">
        <x:v>1</x:v>
      </x:c>
      <x:c r="F209" s="7" t="str">
        <x:v>ASTM A36</x:v>
      </x:c>
      <x:c r="G209" s="7" t="str">
        <x:v>Fabricación</x:v>
      </x:c>
      <x:c r="H209" s="9" t="n">
        <x:v>0.0010236800000000563</x:v>
      </x:c>
      <x:c r="I209" s="7" t="n">
        <x:v>7850</x:v>
      </x:c>
      <x:c r="J209" s="14" t="n">
        <x:f>H209*I209</x:f>
        <x:v>8.035888000000442</x:v>
      </x:c>
      <x:c r="K209" s="14" t="n">
        <x:f>IF(ISNUMBER(J209),E209*J209,"n/d")</x:f>
        <x:v>8.035888000000442</x:v>
      </x:c>
      <x:c r="L209" s="7" t="str">
        <x:v>CAD_volume_x_specified_density</x:v>
      </x:c>
      <x:c r="M209" s="7" t="str">
        <x:v>Plano de conjunto / detalle funcional: TT10_C05_PC_25</x:v>
      </x:c>
      <x:c r="N209" s="7" t="str">
        <x:v>C05E_TT10_D_POSTE_BOTONERA.SLDPRT</x:v>
      </x:c>
    </x:row>
    <x:row r="210" ht="34" customHeight="1">
      <x:c r="B210" s="7" t="n">
        <x:v>204</x:v>
      </x:c>
      <x:c r="C210" s="7" t="str">
        <x:v>TT10_D_POSTE_FRENO_N</x:v>
      </x:c>
      <x:c r="D210" s="7" t="str">
        <x:v>Pedestal del freno N</x:v>
      </x:c>
      <x:c r="E210" s="7" t="n">
        <x:v>1</x:v>
      </x:c>
      <x:c r="F210" s="7" t="str">
        <x:v>ASTM A36</x:v>
      </x:c>
      <x:c r="G210" s="7" t="str">
        <x:v>Fabricación</x:v>
      </x:c>
      <x:c r="H210" s="9" t="n">
        <x:v>0.008259840000000015</x:v>
      </x:c>
      <x:c r="I210" s="7" t="n">
        <x:v>7849.999999999999</x:v>
      </x:c>
      <x:c r="J210" s="14" t="n">
        <x:f>H210*I210</x:f>
        <x:v>64.83974400000011</x:v>
      </x:c>
      <x:c r="K210" s="14" t="n">
        <x:f>IF(ISNUMBER(J210),E210*J210,"n/d")</x:f>
        <x:v>64.83974400000011</x:v>
      </x:c>
      <x:c r="L210" s="7" t="str">
        <x:v>CAD_volume_x_specified_density</x:v>
      </x:c>
      <x:c r="M210" s="7" t="str">
        <x:v>Plano de conjunto / detalle funcional: TT10_C05_PC_11</x:v>
      </x:c>
      <x:c r="N210" s="7" t="str">
        <x:v>C05E_TT10_D_POSTE_FRENO_N.SLDPRT</x:v>
      </x:c>
    </x:row>
    <x:row r="211" ht="34" customHeight="1">
      <x:c r="B211" s="7" t="n">
        <x:v>205</x:v>
      </x:c>
      <x:c r="C211" s="7" t="str">
        <x:v>TT10_D_POSTE_FRENO_P</x:v>
      </x:c>
      <x:c r="D211" s="7" t="str">
        <x:v>Pedestal del freno P</x:v>
      </x:c>
      <x:c r="E211" s="7" t="n">
        <x:v>1</x:v>
      </x:c>
      <x:c r="F211" s="7" t="str">
        <x:v>ASTM A36</x:v>
      </x:c>
      <x:c r="G211" s="7" t="str">
        <x:v>Fabricación</x:v>
      </x:c>
      <x:c r="H211" s="9" t="n">
        <x:v>0.008259840000000015</x:v>
      </x:c>
      <x:c r="I211" s="7" t="n">
        <x:v>7849.999999999999</x:v>
      </x:c>
      <x:c r="J211" s="14" t="n">
        <x:f>H211*I211</x:f>
        <x:v>64.83974400000011</x:v>
      </x:c>
      <x:c r="K211" s="14" t="n">
        <x:f>IF(ISNUMBER(J211),E211*J211,"n/d")</x:f>
        <x:v>64.83974400000011</x:v>
      </x:c>
      <x:c r="L211" s="7" t="str">
        <x:v>CAD_volume_x_specified_density</x:v>
      </x:c>
      <x:c r="M211" s="7" t="str">
        <x:v>Plano de conjunto / detalle funcional: TT10_C05_PC_11</x:v>
      </x:c>
      <x:c r="N211" s="7" t="str">
        <x:v>C05E_TT10_D_POSTE_FRENO_P.SLDPRT</x:v>
      </x:c>
    </x:row>
    <x:row r="212" ht="34" customHeight="1">
      <x:c r="B212" s="7" t="n">
        <x:v>206</x:v>
      </x:c>
      <x:c r="C212" s="7" t="str">
        <x:v>TT10_D_POSTE_MANDO</x:v>
      </x:c>
      <x:c r="D212" s="7" t="str">
        <x:v>Soporte del mando manual fuera del plano del volante</x:v>
      </x:c>
      <x:c r="E212" s="7" t="n">
        <x:v>1</x:v>
      </x:c>
      <x:c r="F212" s="7" t="str">
        <x:v>ASTM A36</x:v>
      </x:c>
      <x:c r="G212" s="7" t="str">
        <x:v>Fabricación</x:v>
      </x:c>
      <x:c r="H212" s="9" t="n">
        <x:v>0.0006696000000000013</x:v>
      </x:c>
      <x:c r="I212" s="7" t="n">
        <x:v>7850</x:v>
      </x:c>
      <x:c r="J212" s="14" t="n">
        <x:f>H212*I212</x:f>
        <x:v>5.256360000000011</x:v>
      </x:c>
      <x:c r="K212" s="14" t="n">
        <x:f>IF(ISNUMBER(J212),E212*J212,"n/d")</x:f>
        <x:v>5.256360000000011</x:v>
      </x:c>
      <x:c r="L212" s="7" t="str">
        <x:v>CAD_volume_x_specified_density</x:v>
      </x:c>
      <x:c r="M212" s="7" t="str">
        <x:v>Plano de conjunto / detalle funcional: TT10_C05_PC_26</x:v>
      </x:c>
      <x:c r="N212" s="7" t="str">
        <x:v>C05E_TT10_D_POSTE_MANDO.SLDPRT</x:v>
      </x:c>
    </x:row>
    <x:row r="213" ht="34" customHeight="1">
      <x:c r="B213" s="7" t="n">
        <x:v>207</x:v>
      </x:c>
      <x:c r="C213" s="7" t="str">
        <x:v>TT10_D_POSTE_RECUP_N</x:v>
      </x:c>
      <x:c r="D213" s="7" t="str">
        <x:v>Soporte de manivela y desbloqueo manual N</x:v>
      </x:c>
      <x:c r="E213" s="7" t="n">
        <x:v>1</x:v>
      </x:c>
      <x:c r="F213" s="7" t="str">
        <x:v>ASTM A36</x:v>
      </x:c>
      <x:c r="G213" s="7" t="str">
        <x:v>Fabricación</x:v>
      </x:c>
      <x:c r="H213" s="9" t="n">
        <x:v>0.0007625999999999991</x:v>
      </x:c>
      <x:c r="I213" s="7" t="n">
        <x:v>7850</x:v>
      </x:c>
      <x:c r="J213" s="14" t="n">
        <x:f>H213*I213</x:f>
        <x:v>5.986409999999993</x:v>
      </x:c>
      <x:c r="K213" s="14" t="n">
        <x:f>IF(ISNUMBER(J213),E213*J213,"n/d")</x:f>
        <x:v>5.986409999999993</x:v>
      </x:c>
      <x:c r="L213" s="7" t="str">
        <x:v>CAD_volume_x_specified_density</x:v>
      </x:c>
      <x:c r="M213" s="7" t="str">
        <x:v>Plano de conjunto / detalle funcional: TT10_C05_PC_24</x:v>
      </x:c>
      <x:c r="N213" s="7" t="str">
        <x:v>C05E_TT10_D_POSTE_RECUP_N.SLDPRT</x:v>
      </x:c>
    </x:row>
    <x:row r="214" ht="34" customHeight="1">
      <x:c r="B214" s="7" t="n">
        <x:v>208</x:v>
      </x:c>
      <x:c r="C214" s="7" t="str">
        <x:v>TT10_D_POSTE_RECUP_P</x:v>
      </x:c>
      <x:c r="D214" s="7" t="str">
        <x:v>Soporte de manivela y desbloqueo manual P</x:v>
      </x:c>
      <x:c r="E214" s="7" t="n">
        <x:v>1</x:v>
      </x:c>
      <x:c r="F214" s="7" t="str">
        <x:v>ASTM A36</x:v>
      </x:c>
      <x:c r="G214" s="7" t="str">
        <x:v>Fabricación</x:v>
      </x:c>
      <x:c r="H214" s="9" t="n">
        <x:v>0.0007625999999999991</x:v>
      </x:c>
      <x:c r="I214" s="7" t="n">
        <x:v>7850</x:v>
      </x:c>
      <x:c r="J214" s="14" t="n">
        <x:f>H214*I214</x:f>
        <x:v>5.986409999999993</x:v>
      </x:c>
      <x:c r="K214" s="14" t="n">
        <x:f>IF(ISNUMBER(J214),E214*J214,"n/d")</x:f>
        <x:v>5.986409999999993</x:v>
      </x:c>
      <x:c r="L214" s="7" t="str">
        <x:v>CAD_volume_x_specified_density</x:v>
      </x:c>
      <x:c r="M214" s="7" t="str">
        <x:v>Plano de conjunto / detalle funcional: TT10_C05_PC_24</x:v>
      </x:c>
      <x:c r="N214" s="7" t="str">
        <x:v>C05E_TT10_D_POSTE_RECUP_P.SLDPRT</x:v>
      </x:c>
    </x:row>
    <x:row r="215" ht="34" customHeight="1">
      <x:c r="B215" s="7" t="n">
        <x:v>209</x:v>
      </x:c>
      <x:c r="C215" s="7" t="str">
        <x:v>TT10_D_REDUCTOR</x:v>
      </x:c>
      <x:c r="D215" s="7" t="str">
        <x:v>Reductor principal angular: carcasa y conexiones nominales</x:v>
      </x:c>
      <x:c r="E215" s="7" t="n">
        <x:v>1</x:v>
      </x:c>
      <x:c r="F215" s="7" t="str">
        <x:v>Equipo comprado; materiales y masa según ficha OEM</x:v>
      </x:c>
      <x:c r="G215" s="7" t="str">
        <x:v>Equipo nominal</x:v>
      </x:c>
      <x:c r="H215" s="9" t="n">
        <x:v>0.224108750088063</x:v>
      </x:c>
      <x:c r="I215" s="7"/>
      <x:c r="J215" s="14" t="str">
        <x:v>n/d</x:v>
      </x:c>
      <x:c r="K215" s="14" t="str">
        <x:f>IF(ISNUMBER(J215),E215*J215,"n/d")</x:f>
        <x:v>n/d</x:v>
      </x:c>
      <x:c r="L215" s="7" t="str">
        <x:v>OEM_mass_required</x:v>
      </x:c>
      <x:c r="M215" s="7" t="str">
        <x:v>BOM y montaje TT10_C05_PC_01; sin plano individual</x:v>
      </x:c>
      <x:c r="N215" s="7" t="str">
        <x:v>C05E_TT10_D_REDUCTOR.SLDPRT</x:v>
      </x:c>
    </x:row>
    <x:row r="216" ht="34" customHeight="1">
      <x:c r="B216" s="7" t="n">
        <x:v>210</x:v>
      </x:c>
      <x:c r="C216" s="7" t="str">
        <x:v>TT10_D_RESORTE_FRENO_N</x:v>
      </x:c>
      <x:c r="D216" s="7" t="str">
        <x:v>Paquete de resortes de aplicación del freno N</x:v>
      </x:c>
      <x:c r="E216" s="7" t="n">
        <x:v>1</x:v>
      </x:c>
      <x:c r="F216" s="7" t="str">
        <x:v>Acero de resorte OEM Svendborg; según suministro</x:v>
      </x:c>
      <x:c r="G216" s="7" t="str">
        <x:v>Comercial</x:v>
      </x:c>
      <x:c r="H216" s="9" t="n">
        <x:v>0.0014600551857558547</x:v>
      </x:c>
      <x:c r="I216" s="7"/>
      <x:c r="J216" s="14" t="str">
        <x:v>n/d</x:v>
      </x:c>
      <x:c r="K216" s="14" t="str">
        <x:f>IF(ISNUMBER(J216),E216*J216,"n/d")</x:f>
        <x:v>n/d</x:v>
      </x:c>
      <x:c r="L216" s="7" t="str">
        <x:v>OEM_mass_required</x:v>
      </x:c>
      <x:c r="M216" s="7" t="str">
        <x:v>BOM y montaje TT10_C05_PC_01; sin plano individual</x:v>
      </x:c>
      <x:c r="N216" s="7" t="str">
        <x:v>C05E_TT10_D_RESORTE_FRENO_N.SLDPRT</x:v>
      </x:c>
    </x:row>
    <x:row r="217" ht="34" customHeight="1">
      <x:c r="B217" s="7" t="n">
        <x:v>211</x:v>
      </x:c>
      <x:c r="C217" s="7" t="str">
        <x:v>TT10_D_RESORTE_FRENO_P</x:v>
      </x:c>
      <x:c r="D217" s="7" t="str">
        <x:v>Paquete de resortes de aplicación del freno P</x:v>
      </x:c>
      <x:c r="E217" s="7" t="n">
        <x:v>1</x:v>
      </x:c>
      <x:c r="F217" s="7" t="str">
        <x:v>Acero de resorte OEM Svendborg; según suministro</x:v>
      </x:c>
      <x:c r="G217" s="7" t="str">
        <x:v>Comercial</x:v>
      </x:c>
      <x:c r="H217" s="9" t="n">
        <x:v>0.0014600551857558547</x:v>
      </x:c>
      <x:c r="I217" s="7"/>
      <x:c r="J217" s="14" t="str">
        <x:v>n/d</x:v>
      </x:c>
      <x:c r="K217" s="14" t="str">
        <x:f>IF(ISNUMBER(J217),E217*J217,"n/d")</x:f>
        <x:v>n/d</x:v>
      </x:c>
      <x:c r="L217" s="7" t="str">
        <x:v>OEM_mass_required</x:v>
      </x:c>
      <x:c r="M217" s="7" t="str">
        <x:v>BOM y montaje TT10_C05_PC_01; sin plano individual</x:v>
      </x:c>
      <x:c r="N217" s="7" t="str">
        <x:v>C05E_TT10_D_RESORTE_FRENO_P.SLDPRT</x:v>
      </x:c>
    </x:row>
    <x:row r="218" ht="34" customHeight="1">
      <x:c r="B218" s="7" t="n">
        <x:v>212</x:v>
      </x:c>
      <x:c r="C218" s="7" t="str">
        <x:v>TT10_D_ROD_SELECTOR</x:v>
      </x:c>
      <x:c r="D218" s="7" t="str">
        <x:v>Eje de conexión geométrica ROD_SELECTOR</x:v>
      </x:c>
      <x:c r="E218" s="7" t="n">
        <x:v>1</x:v>
      </x:c>
      <x:c r="F218" s="7" t="str">
        <x:v>ASTM A36</x:v>
      </x:c>
      <x:c r="G218" s="7" t="str">
        <x:v>Fabricación</x:v>
      </x:c>
      <x:c r="H218" s="9" t="n">
        <x:v>0.0002553486508837788</x:v>
      </x:c>
      <x:c r="I218" s="7" t="n">
        <x:v>7850.000000000001</x:v>
      </x:c>
      <x:c r="J218" s="14" t="n">
        <x:f>H218*I218</x:f>
        <x:v>2.004486909437664</x:v>
      </x:c>
      <x:c r="K218" s="14" t="n">
        <x:f>IF(ISNUMBER(J218),E218*J218,"n/d")</x:f>
        <x:v>2.004486909437664</x:v>
      </x:c>
      <x:c r="L218" s="7" t="str">
        <x:v>CAD_volume_x_specified_density</x:v>
      </x:c>
      <x:c r="M218" s="7" t="str">
        <x:v>Plano de conjunto / detalle funcional: TT10_C05_PC_26</x:v>
      </x:c>
      <x:c r="N218" s="7" t="str">
        <x:v>C05E_TT10_D_ROD_SELECTOR.SLDPRT</x:v>
      </x:c>
    </x:row>
    <x:row r="219" ht="34" customHeight="1">
      <x:c r="B219" s="7" t="n">
        <x:v>213</x:v>
      </x:c>
      <x:c r="C219" s="7" t="str">
        <x:v>TT10_D_SALIDA_REDUCTOR</x:v>
      </x:c>
      <x:c r="D219" s="7" t="str">
        <x:v>Eje de conexión geométrica SALIDA_REDUCTOR</x:v>
      </x:c>
      <x:c r="E219" s="7" t="n">
        <x:v>1</x:v>
      </x:c>
      <x:c r="F219" s="7" t="str">
        <x:v>Equipo comprado; materiales y masa según ficha OEM</x:v>
      </x:c>
      <x:c r="G219" s="7" t="str">
        <x:v>Equipo nominal</x:v>
      </x:c>
      <x:c r="H219" s="9" t="n">
        <x:v>0.0031415926535897976</x:v>
      </x:c>
      <x:c r="I219" s="7"/>
      <x:c r="J219" s="14" t="str">
        <x:v>n/d</x:v>
      </x:c>
      <x:c r="K219" s="14" t="str">
        <x:f>IF(ISNUMBER(J219),E219*J219,"n/d")</x:f>
        <x:v>n/d</x:v>
      </x:c>
      <x:c r="L219" s="7" t="str">
        <x:v>OEM_mass_required</x:v>
      </x:c>
      <x:c r="M219" s="7" t="str">
        <x:v>BOM y montaje TT10_C05_PC_01; sin plano individual</x:v>
      </x:c>
      <x:c r="N219" s="7" t="str">
        <x:v>C05E_TT10_D_SALIDA_REDUCTOR.SLDPRT</x:v>
      </x:c>
    </x:row>
    <x:row r="220" ht="34" customHeight="1">
      <x:c r="B220" s="7" t="n">
        <x:v>214</x:v>
      </x:c>
      <x:c r="C220" s="7" t="str">
        <x:v>TT10_D_SENSOR_FRENO_N</x:v>
      </x:c>
      <x:c r="D220" s="7" t="str">
        <x:v>Eje de conexión geométrica SENSOR_FRENO_N</x:v>
      </x:c>
      <x:c r="E220" s="7" t="n">
        <x:v>1</x:v>
      </x:c>
      <x:c r="F220" s="7" t="str">
        <x:v>Sensor comercial; materiales según referencia OEM</x:v>
      </x:c>
      <x:c r="G220" s="7" t="str">
        <x:v>Comercial</x:v>
      </x:c>
      <x:c r="H220" s="9" t="n">
        <x:v>0.000004523893421169107</x:v>
      </x:c>
      <x:c r="I220" s="7"/>
      <x:c r="J220" s="14" t="str">
        <x:v>n/d</x:v>
      </x:c>
      <x:c r="K220" s="14" t="str">
        <x:f>IF(ISNUMBER(J220),E220*J220,"n/d")</x:f>
        <x:v>n/d</x:v>
      </x:c>
      <x:c r="L220" s="7" t="str">
        <x:v>OEM_mass_required</x:v>
      </x:c>
      <x:c r="M220" s="7" t="str">
        <x:v>BOM y montaje TT10_C05_PC_01; sin plano individual</x:v>
      </x:c>
      <x:c r="N220" s="7" t="str">
        <x:v>C05E_TT10_D_SENSOR_FRENO_N.SLDPRT</x:v>
      </x:c>
    </x:row>
    <x:row r="221" ht="34" customHeight="1">
      <x:c r="B221" s="7" t="n">
        <x:v>215</x:v>
      </x:c>
      <x:c r="C221" s="7" t="str">
        <x:v>TT10_D_SENSOR_FRENO_P</x:v>
      </x:c>
      <x:c r="D221" s="7" t="str">
        <x:v>Eje de conexión geométrica SENSOR_FRENO_P</x:v>
      </x:c>
      <x:c r="E221" s="7" t="n">
        <x:v>1</x:v>
      </x:c>
      <x:c r="F221" s="7" t="str">
        <x:v>Sensor comercial; materiales según referencia OEM</x:v>
      </x:c>
      <x:c r="G221" s="7" t="str">
        <x:v>Comercial</x:v>
      </x:c>
      <x:c r="H221" s="9" t="n">
        <x:v>0.000004523893421169107</x:v>
      </x:c>
      <x:c r="I221" s="7"/>
      <x:c r="J221" s="14" t="str">
        <x:v>n/d</x:v>
      </x:c>
      <x:c r="K221" s="14" t="str">
        <x:f>IF(ISNUMBER(J221),E221*J221,"n/d")</x:f>
        <x:v>n/d</x:v>
      </x:c>
      <x:c r="L221" s="7" t="str">
        <x:v>OEM_mass_required</x:v>
      </x:c>
      <x:c r="M221" s="7" t="str">
        <x:v>BOM y montaje TT10_C05_PC_01; sin plano individual</x:v>
      </x:c>
      <x:c r="N221" s="7" t="str">
        <x:v>C05E_TT10_D_SENSOR_FRENO_P.SLDPRT</x:v>
      </x:c>
    </x:row>
    <x:row r="222" ht="34" customHeight="1">
      <x:c r="B222" s="7" t="n">
        <x:v>216</x:v>
      </x:c>
      <x:c r="C222" s="7" t="str">
        <x:v>TT10_D_SOPORTE_FRENO_N</x:v>
      </x:c>
      <x:c r="D222" s="7" t="str">
        <x:v>Placa de montaje de pinza N</x:v>
      </x:c>
      <x:c r="E222" s="7" t="n">
        <x:v>1</x:v>
      </x:c>
      <x:c r="F222" s="7" t="str">
        <x:v>ASTM A36</x:v>
      </x:c>
      <x:c r="G222" s="7" t="str">
        <x:v>Fabricación</x:v>
      </x:c>
      <x:c r="H222" s="9" t="n">
        <x:v>0.0031640180313115777</x:v>
      </x:c>
      <x:c r="I222" s="7" t="n">
        <x:v>7849.999999999999</x:v>
      </x:c>
      <x:c r="J222" s="14" t="n">
        <x:f>H222*I222</x:f>
        <x:v>24.837541545795883</x:v>
      </x:c>
      <x:c r="K222" s="14" t="n">
        <x:f>IF(ISNUMBER(J222),E222*J222,"n/d")</x:f>
        <x:v>24.837541545795883</x:v>
      </x:c>
      <x:c r="L222" s="7" t="str">
        <x:v>CAD_volume_x_specified_density</x:v>
      </x:c>
      <x:c r="M222" s="7" t="str">
        <x:v>Plano de conjunto / detalle funcional: TT10_C05_PC_11</x:v>
      </x:c>
      <x:c r="N222" s="7" t="str">
        <x:v>C05E_TT10_D_SOPORTE_FRENO_N.SLDPRT</x:v>
      </x:c>
    </x:row>
    <x:row r="223" ht="34" customHeight="1">
      <x:c r="B223" s="7" t="n">
        <x:v>217</x:v>
      </x:c>
      <x:c r="C223" s="7" t="str">
        <x:v>TT10_D_SOPORTE_FRENO_P</x:v>
      </x:c>
      <x:c r="D223" s="7" t="str">
        <x:v>Placa de montaje de pinza P</x:v>
      </x:c>
      <x:c r="E223" s="7" t="n">
        <x:v>1</x:v>
      </x:c>
      <x:c r="F223" s="7" t="str">
        <x:v>ASTM A36</x:v>
      </x:c>
      <x:c r="G223" s="7" t="str">
        <x:v>Fabricación</x:v>
      </x:c>
      <x:c r="H223" s="9" t="n">
        <x:v>0.0031640180313115772</x:v>
      </x:c>
      <x:c r="I223" s="7" t="n">
        <x:v>7850.000000000001</x:v>
      </x:c>
      <x:c r="J223" s="14" t="n">
        <x:f>H223*I223</x:f>
        <x:v>24.837541545795883</x:v>
      </x:c>
      <x:c r="K223" s="14" t="n">
        <x:f>IF(ISNUMBER(J223),E223*J223,"n/d")</x:f>
        <x:v>24.837541545795883</x:v>
      </x:c>
      <x:c r="L223" s="7" t="str">
        <x:v>CAD_volume_x_specified_density</x:v>
      </x:c>
      <x:c r="M223" s="7" t="str">
        <x:v>Plano de conjunto / detalle funcional: TT10_C05_PC_11</x:v>
      </x:c>
      <x:c r="N223" s="7" t="str">
        <x:v>C05E_TT10_D_SOPORTE_FRENO_P.SLDPRT</x:v>
      </x:c>
    </x:row>
    <x:row r="224" ht="34" customHeight="1">
      <x:c r="B224" s="7" t="n">
        <x:v>218</x:v>
      </x:c>
      <x:c r="C224" s="7" t="str">
        <x:v>TT10_F416</x:v>
      </x:c>
      <x:c r="D224" s="7" t="str">
        <x:v>Perfil tubular 350 x 250 x 12; L 600</x:v>
      </x:c>
      <x:c r="E224" s="7" t="n">
        <x:v>1</x:v>
      </x:c>
      <x:c r="F224" s="7" t="str">
        <x:v>S275J0H / EN 10219-1</x:v>
      </x:c>
      <x:c r="G224" s="7" t="str">
        <x:v>Fabricación</x:v>
      </x:c>
      <x:c r="H224" s="9" t="n">
        <x:v>0.008294399999999993</x:v>
      </x:c>
      <x:c r="I224" s="7" t="n">
        <x:v>7850</x:v>
      </x:c>
      <x:c r="J224" s="14" t="n">
        <x:f>H224*I224</x:f>
        <x:v>65.11103999999995</x:v>
      </x:c>
      <x:c r="K224" s="14" t="n">
        <x:f>IF(ISNUMBER(J224),E224*J224,"n/d")</x:f>
        <x:v>65.11103999999995</x:v>
      </x:c>
      <x:c r="L224" s="7" t="str">
        <x:v>CAD_volume_x_specified_density</x:v>
      </x:c>
      <x:c r="M224" s="7" t="str">
        <x:v>Plano de conjunto / detalle funcional: TT10_C05_PC_03</x:v>
      </x:c>
      <x:c r="N224" s="7" t="str">
        <x:v>C05E_TT10_F416.SLDPRT</x:v>
      </x:c>
    </x:row>
    <x:row r="225" ht="34" customHeight="1">
      <x:c r="B225" s="7" t="n">
        <x:v>219</x:v>
      </x:c>
      <x:c r="C225" s="7" t="str">
        <x:v>TT10_F426</x:v>
      </x:c>
      <x:c r="D225" s="7" t="str">
        <x:v>Tope inclinado: cara inferior mecanizada para asiento horizontal</x:v>
      </x:c>
      <x:c r="E225" s="7" t="n">
        <x:v>1</x:v>
      </x:c>
      <x:c r="F225" s="7" t="str">
        <x:v>ASTM A36</x:v>
      </x:c>
      <x:c r="G225" s="7" t="str">
        <x:v>Fabricación</x:v>
      </x:c>
      <x:c r="H225" s="9" t="n">
        <x:v>0.0004446075780503891</x:v>
      </x:c>
      <x:c r="I225" s="7" t="n">
        <x:v>7850</x:v>
      </x:c>
      <x:c r="J225" s="14" t="n">
        <x:f>H225*I225</x:f>
        <x:v>3.4901694876955545</x:v>
      </x:c>
      <x:c r="K225" s="14" t="n">
        <x:f>IF(ISNUMBER(J225),E225*J225,"n/d")</x:f>
        <x:v>3.4901694876955545</x:v>
      </x:c>
      <x:c r="L225" s="7" t="str">
        <x:v>CAD_volume_x_specified_density</x:v>
      </x:c>
      <x:c r="M225" s="7" t="str">
        <x:v>Plano de conjunto / detalle funcional: TT10_C05_PC_03</x:v>
      </x:c>
      <x:c r="N225" s="7" t="str">
        <x:v>C05E_TT10_F426.SLDPRT</x:v>
      </x:c>
    </x:row>
    <x:row r="226" ht="34" customHeight="1">
      <x:c r="B226" s="7" t="n">
        <x:v>220</x:v>
      </x:c>
      <x:c r="C226" s="7" t="str">
        <x:v>TT10_F431</x:v>
      </x:c>
      <x:c r="D226" s="7" t="str">
        <x:v>Pieza TT10_F431</x:v>
      </x:c>
      <x:c r="E226" s="7" t="n">
        <x:v>1</x:v>
      </x:c>
      <x:c r="F226" s="7" t="str">
        <x:v>ASTM A36</x:v>
      </x:c>
      <x:c r="G226" s="7" t="str">
        <x:v>Fabricación</x:v>
      </x:c>
      <x:c r="H226" s="9" t="n">
        <x:v>0.010799999999999999</x:v>
      </x:c>
      <x:c r="I226" s="7" t="n">
        <x:v>7850</x:v>
      </x:c>
      <x:c r="J226" s="14" t="n">
        <x:f>H226*I226</x:f>
        <x:v>84.77999999999999</x:v>
      </x:c>
      <x:c r="K226" s="14" t="n">
        <x:f>IF(ISNUMBER(J226),E226*J226,"n/d")</x:f>
        <x:v>84.77999999999999</x:v>
      </x:c>
      <x:c r="L226" s="7" t="str">
        <x:v>CAD_volume_x_specified_density</x:v>
      </x:c>
      <x:c r="M226" s="7" t="str">
        <x:v>Plano de conjunto / detalle funcional: TT10_C05_PC_02</x:v>
      </x:c>
      <x:c r="N226" s="7" t="str">
        <x:v>C05E_TT10_F431.SLDPRT</x:v>
      </x:c>
    </x:row>
    <x:row r="227" ht="34" customHeight="1">
      <x:c r="B227" s="7" t="n">
        <x:v>221</x:v>
      </x:c>
      <x:c r="C227" s="7" t="str">
        <x:v>TT10_F441</x:v>
      </x:c>
      <x:c r="D227" s="7" t="str">
        <x:v>Placa80 con cuatro roscas M30 ciegas60, paso540x140; pernos desde arriba</x:v>
      </x:c>
      <x:c r="E227" s="7" t="n">
        <x:v>1</x:v>
      </x:c>
      <x:c r="F227" s="7" t="str">
        <x:v>ASTM A36</x:v>
      </x:c>
      <x:c r="G227" s="7" t="str">
        <x:v>Fabricación</x:v>
      </x:c>
      <x:c r="H227" s="9" t="n">
        <x:v>0.029270353996706175</x:v>
      </x:c>
      <x:c r="I227" s="7" t="n">
        <x:v>7850</x:v>
      </x:c>
      <x:c r="J227" s="14" t="n">
        <x:f>H227*I227</x:f>
        <x:v>229.77227887414347</x:v>
      </x:c>
      <x:c r="K227" s="14" t="n">
        <x:f>IF(ISNUMBER(J227),E227*J227,"n/d")</x:f>
        <x:v>229.77227887414347</x:v>
      </x:c>
      <x:c r="L227" s="7" t="str">
        <x:v>CAD_volume_x_specified_density</x:v>
      </x:c>
      <x:c r="M227" s="7" t="str">
        <x:v>Plano de conjunto / detalle funcional: TT10_C05_PC_02</x:v>
      </x:c>
      <x:c r="N227" s="7" t="str">
        <x:v>C05E_TT10_F441.SLDPRT</x:v>
      </x:c>
    </x:row>
    <x:row r="228" ht="34" customHeight="1">
      <x:c r="B228" s="7" t="n">
        <x:v>222</x:v>
      </x:c>
      <x:c r="C228" s="7" t="str">
        <x:v>TT10_F446</x:v>
      </x:c>
      <x:c r="D228" s="7" t="str">
        <x:v>Placa80 con cuatro roscas M30 ciegas60, paso540x140; pernos desde arriba</x:v>
      </x:c>
      <x:c r="E228" s="7" t="n">
        <x:v>1</x:v>
      </x:c>
      <x:c r="F228" s="7" t="str">
        <x:v>ASTM A36</x:v>
      </x:c>
      <x:c r="G228" s="7" t="str">
        <x:v>Fabricación</x:v>
      </x:c>
      <x:c r="H228" s="9" t="n">
        <x:v>0.02927035399670621</x:v>
      </x:c>
      <x:c r="I228" s="7" t="n">
        <x:v>7850</x:v>
      </x:c>
      <x:c r="J228" s="14" t="n">
        <x:f>H228*I228</x:f>
        <x:v>229.77227887414375</x:v>
      </x:c>
      <x:c r="K228" s="14" t="n">
        <x:f>IF(ISNUMBER(J228),E228*J228,"n/d")</x:f>
        <x:v>229.77227887414375</x:v>
      </x:c>
      <x:c r="L228" s="7" t="str">
        <x:v>CAD_volume_x_specified_density</x:v>
      </x:c>
      <x:c r="M228" s="7" t="str">
        <x:v>Plano de conjunto / detalle funcional: TT10_C05_PC_02</x:v>
      </x:c>
      <x:c r="N228" s="7" t="str">
        <x:v>C05E_TT10_F446.SLDPRT</x:v>
      </x:c>
    </x:row>
    <x:row r="229" ht="34" customHeight="1">
      <x:c r="B229" s="7" t="n">
        <x:v>223</x:v>
      </x:c>
      <x:c r="C229" s="7" t="str">
        <x:v>TT10_F451</x:v>
      </x:c>
      <x:c r="D229" s="7" t="str">
        <x:v>Tirante RHS200x150x10; extremos a cara de columna y puente</x:v>
      </x:c>
      <x:c r="E229" s="7" t="n">
        <x:v>1</x:v>
      </x:c>
      <x:c r="F229" s="7" t="str">
        <x:v>S275J0H / EN 10219-1</x:v>
      </x:c>
      <x:c r="G229" s="7" t="str">
        <x:v>Fabricación</x:v>
      </x:c>
      <x:c r="H229" s="9" t="n">
        <x:v>0.005180999999999986</x:v>
      </x:c>
      <x:c r="I229" s="7" t="n">
        <x:v>7850</x:v>
      </x:c>
      <x:c r="J229" s="14" t="n">
        <x:f>H229*I229</x:f>
        <x:v>40.67084999999989</x:v>
      </x:c>
      <x:c r="K229" s="14" t="n">
        <x:f>IF(ISNUMBER(J229),E229*J229,"n/d")</x:f>
        <x:v>40.67084999999989</x:v>
      </x:c>
      <x:c r="L229" s="7" t="str">
        <x:v>CAD_volume_x_specified_density</x:v>
      </x:c>
      <x:c r="M229" s="7" t="str">
        <x:v>Plano de conjunto / detalle funcional: TT10_C05_PC_02</x:v>
      </x:c>
      <x:c r="N229" s="7" t="str">
        <x:v>C05E_TT10_F451.SLDPRT</x:v>
      </x:c>
    </x:row>
    <x:row r="230" ht="34" customHeight="1">
      <x:c r="B230" s="7" t="n">
        <x:v>224</x:v>
      </x:c>
      <x:c r="C230" s="7" t="str">
        <x:v>TT10_F456</x:v>
      </x:c>
      <x:c r="D230" s="7" t="str">
        <x:v>SKF SNL3048: dimensiones de interfaz según catálogo; fundición simplificada</x:v>
      </x:c>
      <x:c r="E230" s="7" t="n">
        <x:v>1</x:v>
      </x:c>
      <x:c r="F230" s="7" t="str">
        <x:v>Conjunto comprado; acero/ fundición según OEM</x:v>
      </x:c>
      <x:c r="G230" s="7" t="str">
        <x:v>Comercial</x:v>
      </x:c>
      <x:c r="H230" s="9" t="n">
        <x:v>0.030359008208636417</x:v>
      </x:c>
      <x:c r="I230" s="7"/>
      <x:c r="J230" s="14" t="n">
        <x:v>139</x:v>
      </x:c>
      <x:c r="K230" s="14" t="n">
        <x:f>IF(ISNUMBER(J230),E230*J230,"n/d")</x:f>
        <x:v>139</x:v>
      </x:c>
      <x:c r="L230" s="7" t="str">
        <x:v>SNL 3048</x:v>
      </x:c>
      <x:c r="M230" s="7" t="str">
        <x:v>BOM y montaje TT10_C05_PC_01; sin plano individual</x:v>
      </x:c>
      <x:c r="N230" s="7" t="str">
        <x:v>C05E_TT10_F456.SLDPRT</x:v>
      </x:c>
    </x:row>
    <x:row r="231" ht="34" customHeight="1">
      <x:c r="B231" s="7" t="n">
        <x:v>225</x:v>
      </x:c>
      <x:c r="C231" s="7" t="str">
        <x:v>TT10_F471</x:v>
      </x:c>
      <x:c r="D231" s="7" t="str">
        <x:v>Perfil tubular 350 x 200 x 12; L 6300</x:v>
      </x:c>
      <x:c r="E231" s="7" t="n">
        <x:v>1</x:v>
      </x:c>
      <x:c r="F231" s="7" t="str">
        <x:v>S275J0H / EN 10219-1</x:v>
      </x:c>
      <x:c r="G231" s="7" t="str">
        <x:v>Fabricación</x:v>
      </x:c>
      <x:c r="H231" s="9" t="n">
        <x:v>0.07953119999999997</x:v>
      </x:c>
      <x:c r="I231" s="7" t="n">
        <x:v>7850.000000000001</x:v>
      </x:c>
      <x:c r="J231" s="14" t="n">
        <x:f>H231*I231</x:f>
        <x:v>624.3199199999998</x:v>
      </x:c>
      <x:c r="K231" s="14" t="n">
        <x:f>IF(ISNUMBER(J231),E231*J231,"n/d")</x:f>
        <x:v>624.3199199999998</x:v>
      </x:c>
      <x:c r="L231" s="7" t="str">
        <x:v>CAD_volume_x_specified_density</x:v>
      </x:c>
      <x:c r="M231" s="7" t="str">
        <x:v>Plano de conjunto / detalle funcional: TT10_C05_PC_02</x:v>
      </x:c>
      <x:c r="N231" s="7" t="str">
        <x:v>C05E_TT10_F471.SLDPRT</x:v>
      </x:c>
    </x:row>
    <x:row r="232" ht="34" customHeight="1">
      <x:c r="B232" s="7" t="n">
        <x:v>226</x:v>
      </x:c>
      <x:c r="C232" s="7" t="str">
        <x:v>TT10_F476</x:v>
      </x:c>
      <x:c r="D232" s="7" t="str">
        <x:v>Perfil tubular 350 x 200 x 12; L 6300</x:v>
      </x:c>
      <x:c r="E232" s="7" t="n">
        <x:v>1</x:v>
      </x:c>
      <x:c r="F232" s="7" t="str">
        <x:v>S275J0H / EN 10219-1</x:v>
      </x:c>
      <x:c r="G232" s="7" t="str">
        <x:v>Fabricación</x:v>
      </x:c>
      <x:c r="H232" s="9" t="n">
        <x:v>0.07953119999999991</x:v>
      </x:c>
      <x:c r="I232" s="7" t="n">
        <x:v>7850</x:v>
      </x:c>
      <x:c r="J232" s="14" t="n">
        <x:f>H232*I232</x:f>
        <x:v>624.3199199999993</x:v>
      </x:c>
      <x:c r="K232" s="14" t="n">
        <x:f>IF(ISNUMBER(J232),E232*J232,"n/d")</x:f>
        <x:v>624.3199199999993</x:v>
      </x:c>
      <x:c r="L232" s="7" t="str">
        <x:v>CAD_volume_x_specified_density</x:v>
      </x:c>
      <x:c r="M232" s="7" t="str">
        <x:v>Plano de conjunto / detalle funcional: TT10_C05_PC_02</x:v>
      </x:c>
      <x:c r="N232" s="7" t="str">
        <x:v>C05E_TT10_F476.SLDPRT</x:v>
      </x:c>
    </x:row>
    <x:row r="233" ht="34" customHeight="1">
      <x:c r="B233" s="7" t="n">
        <x:v>227</x:v>
      </x:c>
      <x:c r="C233" s="7" t="str">
        <x:v>TT10_F481</x:v>
      </x:c>
      <x:c r="D233" s="7" t="str">
        <x:v>Pieza TT10_F481</x:v>
      </x:c>
      <x:c r="E233" s="7" t="n">
        <x:v>1</x:v>
      </x:c>
      <x:c r="F233" s="7" t="str">
        <x:v>ASTM A36</x:v>
      </x:c>
      <x:c r="G233" s="7" t="str">
        <x:v>Fabricación</x:v>
      </x:c>
      <x:c r="H233" s="9" t="n">
        <x:v>0.0025199999999999997</x:v>
      </x:c>
      <x:c r="I233" s="7" t="n">
        <x:v>7850</x:v>
      </x:c>
      <x:c r="J233" s="14" t="n">
        <x:f>H233*I233</x:f>
        <x:v>19.781999999999996</x:v>
      </x:c>
      <x:c r="K233" s="14" t="n">
        <x:f>IF(ISNUMBER(J233),E233*J233,"n/d")</x:f>
        <x:v>19.781999999999996</x:v>
      </x:c>
      <x:c r="L233" s="7" t="str">
        <x:v>CAD_volume_x_specified_density</x:v>
      </x:c>
      <x:c r="M233" s="7" t="str">
        <x:v>Plano de conjunto / detalle funcional: TT10_C05_PC_02</x:v>
      </x:c>
      <x:c r="N233" s="7" t="str">
        <x:v>C05E_TT10_F481.SLDPRT</x:v>
      </x:c>
    </x:row>
    <x:row r="234" ht="34" customHeight="1">
      <x:c r="B234" s="7" t="n">
        <x:v>228</x:v>
      </x:c>
      <x:c r="C234" s="7" t="str">
        <x:v>TT10_F486</x:v>
      </x:c>
      <x:c r="D234" s="7" t="str">
        <x:v>Oreja fija espesor40, Ø65 H8, mandrinar coaxialmente después de soldar</x:v>
      </x:c>
      <x:c r="E234" s="7" t="n">
        <x:v>1</x:v>
      </x:c>
      <x:c r="F234" s="7" t="str">
        <x:v>ASTM A36</x:v>
      </x:c>
      <x:c r="G234" s="7" t="str">
        <x:v>Fabricación</x:v>
      </x:c>
      <x:c r="H234" s="9" t="n">
        <x:v>0.0038672677103858306</x:v>
      </x:c>
      <x:c r="I234" s="7" t="n">
        <x:v>7850</x:v>
      </x:c>
      <x:c r="J234" s="14" t="n">
        <x:f>H234*I234</x:f>
        <x:v>30.358051526528772</x:v>
      </x:c>
      <x:c r="K234" s="14" t="n">
        <x:f>IF(ISNUMBER(J234),E234*J234,"n/d")</x:f>
        <x:v>30.358051526528772</x:v>
      </x:c>
      <x:c r="L234" s="7" t="str">
        <x:v>CAD_volume_x_specified_density</x:v>
      </x:c>
      <x:c r="M234" s="7" t="str">
        <x:v>Plano de conjunto / detalle funcional: TT10_C05_PC_03</x:v>
      </x:c>
      <x:c r="N234" s="7" t="str">
        <x:v>C05E_TT10_F486.SLDPRT</x:v>
      </x:c>
    </x:row>
    <x:row r="235" ht="34" customHeight="1">
      <x:c r="B235" s="7" t="n">
        <x:v>229</x:v>
      </x:c>
      <x:c r="C235" s="7" t="str">
        <x:v>TT10_F496</x:v>
      </x:c>
      <x:c r="D235" s="7" t="str">
        <x:v>Pieza TT10_F496</x:v>
      </x:c>
      <x:c r="E235" s="7" t="n">
        <x:v>1</x:v>
      </x:c>
      <x:c r="F235" s="7" t="str">
        <x:v>ASTM A36</x:v>
      </x:c>
      <x:c r="G235" s="7" t="str">
        <x:v>Fabricación</x:v>
      </x:c>
      <x:c r="H235" s="9" t="n">
        <x:v>0.010124999999999999</x:v>
      </x:c>
      <x:c r="I235" s="7" t="n">
        <x:v>7850</x:v>
      </x:c>
      <x:c r="J235" s="14" t="n">
        <x:f>H235*I235</x:f>
        <x:v>79.48124999999999</x:v>
      </x:c>
      <x:c r="K235" s="14" t="n">
        <x:f>IF(ISNUMBER(J235),E235*J235,"n/d")</x:f>
        <x:v>79.48124999999999</x:v>
      </x:c>
      <x:c r="L235" s="7" t="str">
        <x:v>CAD_volume_x_specified_density</x:v>
      </x:c>
      <x:c r="M235" s="7" t="str">
        <x:v>Plano de conjunto / detalle funcional: TT10_C05_PC_02</x:v>
      </x:c>
      <x:c r="N235" s="7" t="str">
        <x:v>C05E_TT10_F496.SLDPRT</x:v>
      </x:c>
    </x:row>
    <x:row r="236" ht="34" customHeight="1">
      <x:c r="B236" s="7" t="n">
        <x:v>230</x:v>
      </x:c>
      <x:c r="C236" s="7" t="str">
        <x:v>TT10_F501</x:v>
      </x:c>
      <x:c r="D236" s="7" t="str">
        <x:v>Oreja fija espesor40, Ø65 H8, mandrinar coaxialmente después de soldar</x:v>
      </x:c>
      <x:c r="E236" s="7" t="n">
        <x:v>1</x:v>
      </x:c>
      <x:c r="F236" s="7" t="str">
        <x:v>ASTM A36</x:v>
      </x:c>
      <x:c r="G236" s="7" t="str">
        <x:v>Fabricación</x:v>
      </x:c>
      <x:c r="H236" s="9" t="n">
        <x:v>0.0038672677103858306</x:v>
      </x:c>
      <x:c r="I236" s="7" t="n">
        <x:v>7850</x:v>
      </x:c>
      <x:c r="J236" s="14" t="n">
        <x:f>H236*I236</x:f>
        <x:v>30.358051526528772</x:v>
      </x:c>
      <x:c r="K236" s="14" t="n">
        <x:f>IF(ISNUMBER(J236),E236*J236,"n/d")</x:f>
        <x:v>30.358051526528772</x:v>
      </x:c>
      <x:c r="L236" s="7" t="str">
        <x:v>CAD_volume_x_specified_density</x:v>
      </x:c>
      <x:c r="M236" s="7" t="str">
        <x:v>Plano de conjunto / detalle funcional: TT10_C05_PC_03</x:v>
      </x:c>
      <x:c r="N236" s="7" t="str">
        <x:v>C05E_TT10_F501.SLDPRT</x:v>
      </x:c>
    </x:row>
    <x:row r="237" ht="34" customHeight="1">
      <x:c r="B237" s="7" t="n">
        <x:v>231</x:v>
      </x:c>
      <x:c r="C237" s="7" t="str">
        <x:v>TT10_F506</x:v>
      </x:c>
      <x:c r="D237" s="7" t="str">
        <x:v>Perfil tubular 150 x 150 x 10; L 1845</x:v>
      </x:c>
      <x:c r="E237" s="7" t="n">
        <x:v>1</x:v>
      </x:c>
      <x:c r="F237" s="7" t="str">
        <x:v>S275J0H / EN 10219-1</x:v>
      </x:c>
      <x:c r="G237" s="7" t="str">
        <x:v>Fabricación</x:v>
      </x:c>
      <x:c r="H237" s="9" t="n">
        <x:v>0.010332000000000001</x:v>
      </x:c>
      <x:c r="I237" s="7" t="n">
        <x:v>7849.999999999999</x:v>
      </x:c>
      <x:c r="J237" s="14" t="n">
        <x:f>H237*I237</x:f>
        <x:v>81.1062</x:v>
      </x:c>
      <x:c r="K237" s="14" t="n">
        <x:f>IF(ISNUMBER(J237),E237*J237,"n/d")</x:f>
        <x:v>81.1062</x:v>
      </x:c>
      <x:c r="L237" s="7" t="str">
        <x:v>CAD_volume_x_specified_density</x:v>
      </x:c>
      <x:c r="M237" s="7" t="str">
        <x:v>Plano de conjunto / detalle funcional: TT10_C05_PC_02</x:v>
      </x:c>
      <x:c r="N237" s="7" t="str">
        <x:v>C05E_TT10_F506.SLDPRT</x:v>
      </x:c>
    </x:row>
    <x:row r="238" ht="34" customHeight="1">
      <x:c r="B238" s="7" t="n">
        <x:v>232</x:v>
      </x:c>
      <x:c r="C238" s="7" t="str">
        <x:v>TT10_F511</x:v>
      </x:c>
      <x:c r="D238" s="7" t="str">
        <x:v>Pieza TT10_F511</x:v>
      </x:c>
      <x:c r="E238" s="7" t="n">
        <x:v>1</x:v>
      </x:c>
      <x:c r="F238" s="7" t="str">
        <x:v>ASTM A36</x:v>
      </x:c>
      <x:c r="G238" s="7" t="str">
        <x:v>Fabricación</x:v>
      </x:c>
      <x:c r="H238" s="9" t="n">
        <x:v>0.008877854877628428</x:v>
      </x:c>
      <x:c r="I238" s="7" t="n">
        <x:v>7850.000000000001</x:v>
      </x:c>
      <x:c r="J238" s="14" t="n">
        <x:f>H238*I238</x:f>
        <x:v>69.69116078938316</x:v>
      </x:c>
      <x:c r="K238" s="14" t="n">
        <x:f>IF(ISNUMBER(J238),E238*J238,"n/d")</x:f>
        <x:v>69.69116078938316</x:v>
      </x:c>
      <x:c r="L238" s="7" t="str">
        <x:v>CAD_volume_x_specified_density</x:v>
      </x:c>
      <x:c r="M238" s="7" t="str">
        <x:v>Plano de conjunto / detalle funcional: TT10_C05_PC_02</x:v>
      </x:c>
      <x:c r="N238" s="7" t="str">
        <x:v>C05E_TT10_F511.SLDPRT</x:v>
      </x:c>
    </x:row>
    <x:row r="239" ht="34" customHeight="1">
      <x:c r="B239" s="7" t="n">
        <x:v>233</x:v>
      </x:c>
      <x:c r="C239" s="7" t="str">
        <x:v>TT10_F516</x:v>
      </x:c>
      <x:c r="D239" s="7" t="str">
        <x:v>Pieza TT10_F516</x:v>
      </x:c>
      <x:c r="E239" s="7" t="n">
        <x:v>1</x:v>
      </x:c>
      <x:c r="F239" s="7" t="str">
        <x:v>ASTM A36</x:v>
      </x:c>
      <x:c r="G239" s="7" t="str">
        <x:v>Fabricación</x:v>
      </x:c>
      <x:c r="H239" s="9" t="n">
        <x:v>0.008877854877628428</x:v>
      </x:c>
      <x:c r="I239" s="7" t="n">
        <x:v>7850.000000000001</x:v>
      </x:c>
      <x:c r="J239" s="14" t="n">
        <x:f>H239*I239</x:f>
        <x:v>69.69116078938316</x:v>
      </x:c>
      <x:c r="K239" s="14" t="n">
        <x:f>IF(ISNUMBER(J239),E239*J239,"n/d")</x:f>
        <x:v>69.69116078938316</x:v>
      </x:c>
      <x:c r="L239" s="7" t="str">
        <x:v>CAD_volume_x_specified_density</x:v>
      </x:c>
      <x:c r="M239" s="7" t="str">
        <x:v>Plano de conjunto / detalle funcional: TT10_C05_PC_02</x:v>
      </x:c>
      <x:c r="N239" s="7" t="str">
        <x:v>C05E_TT10_F516.SLDPRT</x:v>
      </x:c>
    </x:row>
    <x:row r="240" ht="34" customHeight="1">
      <x:c r="B240" s="7" t="n">
        <x:v>234</x:v>
      </x:c>
      <x:c r="C240" s="7" t="str">
        <x:v>TT10_F521</x:v>
      </x:c>
      <x:c r="D240" s="7" t="str">
        <x:v>Columna accionamiento apoyada sobre placa base</x:v>
      </x:c>
      <x:c r="E240" s="7" t="n">
        <x:v>1</x:v>
      </x:c>
      <x:c r="F240" s="7" t="str">
        <x:v>ASTM A36</x:v>
      </x:c>
      <x:c r="G240" s="7" t="str">
        <x:v>Fabricación</x:v>
      </x:c>
      <x:c r="H240" s="9" t="n">
        <x:v>0.025712640000000248</x:v>
      </x:c>
      <x:c r="I240" s="7" t="n">
        <x:v>7850</x:v>
      </x:c>
      <x:c r="J240" s="14" t="n">
        <x:f>H240*I240</x:f>
        <x:v>201.84422400000196</x:v>
      </x:c>
      <x:c r="K240" s="14" t="n">
        <x:f>IF(ISNUMBER(J240),E240*J240,"n/d")</x:f>
        <x:v>201.84422400000196</x:v>
      </x:c>
      <x:c r="L240" s="7" t="str">
        <x:v>CAD_volume_x_specified_density</x:v>
      </x:c>
      <x:c r="M240" s="7" t="str">
        <x:v>Plano de conjunto / detalle funcional: TT10_C05_PC_10</x:v>
      </x:c>
      <x:c r="N240" s="7" t="str">
        <x:v>C05E_TT10_F521.SLDPRT</x:v>
      </x:c>
    </x:row>
    <x:row r="241" ht="34" customHeight="1">
      <x:c r="B241" s="7" t="n">
        <x:v>235</x:v>
      </x:c>
      <x:c r="C241" s="7" t="str">
        <x:v>TT10_F526</x:v>
      </x:c>
      <x:c r="D241" s="7" t="str">
        <x:v>Perfil tubular 350 x 300 x 12; L 4800</x:v>
      </x:c>
      <x:c r="E241" s="7" t="n">
        <x:v>1</x:v>
      </x:c>
      <x:c r="F241" s="7" t="str">
        <x:v>S275J0H / EN 10219-1</x:v>
      </x:c>
      <x:c r="G241" s="7" t="str">
        <x:v>Fabricación</x:v>
      </x:c>
      <x:c r="H241" s="9" t="n">
        <x:v>0.07211519999999999</x:v>
      </x:c>
      <x:c r="I241" s="7" t="n">
        <x:v>7850</x:v>
      </x:c>
      <x:c r="J241" s="14" t="n">
        <x:f>H241*I241</x:f>
        <x:v>566.1043199999999</x:v>
      </x:c>
      <x:c r="K241" s="14" t="n">
        <x:f>IF(ISNUMBER(J241),E241*J241,"n/d")</x:f>
        <x:v>566.1043199999999</x:v>
      </x:c>
      <x:c r="L241" s="7" t="str">
        <x:v>CAD_volume_x_specified_density</x:v>
      </x:c>
      <x:c r="M241" s="7" t="str">
        <x:v>Plano de conjunto / detalle funcional: TT10_C05_PC_02</x:v>
      </x:c>
      <x:c r="N241" s="7" t="str">
        <x:v>C05E_TT10_F526.SLDPRT</x:v>
      </x:c>
    </x:row>
    <x:row r="242" ht="34" customHeight="1">
      <x:c r="B242" s="7" t="n">
        <x:v>236</x:v>
      </x:c>
      <x:c r="C242" s="7" t="str">
        <x:v>TT10_F531</x:v>
      </x:c>
      <x:c r="D242" s="7" t="str">
        <x:v>Perfil tubular 350 x 300 x 12; L 4800</x:v>
      </x:c>
      <x:c r="E242" s="7" t="n">
        <x:v>1</x:v>
      </x:c>
      <x:c r="F242" s="7" t="str">
        <x:v>S275J0H / EN 10219-1</x:v>
      </x:c>
      <x:c r="G242" s="7" t="str">
        <x:v>Fabricación</x:v>
      </x:c>
      <x:c r="H242" s="9" t="n">
        <x:v>0.0721152</x:v>
      </x:c>
      <x:c r="I242" s="7" t="n">
        <x:v>7850</x:v>
      </x:c>
      <x:c r="J242" s="14" t="n">
        <x:f>H242*I242</x:f>
        <x:v>566.10432</x:v>
      </x:c>
      <x:c r="K242" s="14" t="n">
        <x:f>IF(ISNUMBER(J242),E242*J242,"n/d")</x:f>
        <x:v>566.10432</x:v>
      </x:c>
      <x:c r="L242" s="7" t="str">
        <x:v>CAD_volume_x_specified_density</x:v>
      </x:c>
      <x:c r="M242" s="7" t="str">
        <x:v>Plano de conjunto / detalle funcional: TT10_C05_PC_02</x:v>
      </x:c>
      <x:c r="N242" s="7" t="str">
        <x:v>C05E_TT10_F531.SLDPRT</x:v>
      </x:c>
    </x:row>
    <x:row r="243" ht="34" customHeight="1">
      <x:c r="B243" s="7" t="n">
        <x:v>237</x:v>
      </x:c>
      <x:c r="C243" s="7" t="str">
        <x:v>TT10_F536</x:v>
      </x:c>
      <x:c r="D243" s="7" t="str">
        <x:v>Soporte tope terminado en cara interior de columna</x:v>
      </x:c>
      <x:c r="E243" s="7" t="n">
        <x:v>1</x:v>
      </x:c>
      <x:c r="F243" s="7" t="str">
        <x:v>ASTM A36</x:v>
      </x:c>
      <x:c r="G243" s="7" t="str">
        <x:v>Fabricación</x:v>
      </x:c>
      <x:c r="H243" s="9" t="n">
        <x:v>0.0017100000000000006</x:v>
      </x:c>
      <x:c r="I243" s="7" t="n">
        <x:v>7850</x:v>
      </x:c>
      <x:c r="J243" s="14" t="n">
        <x:f>H243*I243</x:f>
        <x:v>13.423500000000004</x:v>
      </x:c>
      <x:c r="K243" s="14" t="n">
        <x:f>IF(ISNUMBER(J243),E243*J243,"n/d")</x:f>
        <x:v>13.423500000000004</x:v>
      </x:c>
      <x:c r="L243" s="7" t="str">
        <x:v>CAD_volume_x_specified_density</x:v>
      </x:c>
      <x:c r="M243" s="7" t="str">
        <x:v>Plano de conjunto / detalle funcional: TT10_C05_PC_03</x:v>
      </x:c>
      <x:c r="N243" s="7" t="str">
        <x:v>C05E_TT10_F536.SLDPRT</x:v>
      </x:c>
    </x:row>
    <x:row r="244" ht="34" customHeight="1">
      <x:c r="B244" s="7" t="n">
        <x:v>238</x:v>
      </x:c>
      <x:c r="C244" s="7" t="str">
        <x:v>TT10_F541</x:v>
      </x:c>
      <x:c r="D244" s="7" t="str">
        <x:v>Diagonal CHS168.3x10 con cortes de asiento; sin penetrar columnas ni placas</x:v>
      </x:c>
      <x:c r="E244" s="7" t="n">
        <x:v>1</x:v>
      </x:c>
      <x:c r="F244" s="7" t="str">
        <x:v>S275J0H / EN 10219-1</x:v>
      </x:c>
      <x:c r="G244" s="7" t="str">
        <x:v>Fabricación</x:v>
      </x:c>
      <x:c r="H244" s="9" t="n">
        <x:v>0.011767912085787053</x:v>
      </x:c>
      <x:c r="I244" s="7" t="n">
        <x:v>7850.000000000001</x:v>
      </x:c>
      <x:c r="J244" s="14" t="n">
        <x:f>H244*I244</x:f>
        <x:v>92.37810987342837</x:v>
      </x:c>
      <x:c r="K244" s="14" t="n">
        <x:f>IF(ISNUMBER(J244),E244*J244,"n/d")</x:f>
        <x:v>92.37810987342837</x:v>
      </x:c>
      <x:c r="L244" s="7" t="str">
        <x:v>CAD_volume_x_specified_density</x:v>
      </x:c>
      <x:c r="M244" s="7" t="str">
        <x:v>Plano de conjunto / detalle funcional: TT10_C05_PC_02</x:v>
      </x:c>
      <x:c r="N244" s="7" t="str">
        <x:v>C05E_TT10_F541.SLDPRT</x:v>
      </x:c>
    </x:row>
    <x:row r="245" ht="34" customHeight="1">
      <x:c r="B245" s="7" t="n">
        <x:v>239</x:v>
      </x:c>
      <x:c r="C245" s="7" t="str">
        <x:v>TT10_F546</x:v>
      </x:c>
      <x:c r="D245" s="7" t="str">
        <x:v>Puente RHS200x150x10 L1005; fuera del plano de las diagonales</x:v>
      </x:c>
      <x:c r="E245" s="7" t="n">
        <x:v>1</x:v>
      </x:c>
      <x:c r="F245" s="7" t="str">
        <x:v>S275J0H / EN 10219-1</x:v>
      </x:c>
      <x:c r="G245" s="7" t="str">
        <x:v>Fabricación</x:v>
      </x:c>
      <x:c r="H245" s="9" t="n">
        <x:v>0.006632999999999971</x:v>
      </x:c>
      <x:c r="I245" s="7" t="n">
        <x:v>7850</x:v>
      </x:c>
      <x:c r="J245" s="14" t="n">
        <x:f>H245*I245</x:f>
        <x:v>52.06904999999978</x:v>
      </x:c>
      <x:c r="K245" s="14" t="n">
        <x:f>IF(ISNUMBER(J245),E245*J245,"n/d")</x:f>
        <x:v>52.06904999999978</x:v>
      </x:c>
      <x:c r="L245" s="7" t="str">
        <x:v>CAD_volume_x_specified_density</x:v>
      </x:c>
      <x:c r="M245" s="7" t="str">
        <x:v>Plano de conjunto / detalle funcional: TT10_C05_PC_02</x:v>
      </x:c>
      <x:c r="N245" s="7" t="str">
        <x:v>C05E_TT10_F546.SLDPRT</x:v>
      </x:c>
    </x:row>
    <x:row r="246" ht="34" customHeight="1">
      <x:c r="B246" s="7" t="n">
        <x:v>240</x:v>
      </x:c>
      <x:c r="C246" s="7" t="str">
        <x:v>TT10_F551</x:v>
      </x:c>
      <x:c r="D246" s="7" t="str">
        <x:v>SKF SNL3048: dimensiones de interfaz según catálogo; fundición simplificada</x:v>
      </x:c>
      <x:c r="E246" s="7" t="n">
        <x:v>1</x:v>
      </x:c>
      <x:c r="F246" s="7" t="str">
        <x:v>Conjunto comprado; acero/ fundición según OEM</x:v>
      </x:c>
      <x:c r="G246" s="7" t="str">
        <x:v>Comercial</x:v>
      </x:c>
      <x:c r="H246" s="9" t="n">
        <x:v>0.030359008208636372</x:v>
      </x:c>
      <x:c r="I246" s="7"/>
      <x:c r="J246" s="14" t="n">
        <x:v>139</x:v>
      </x:c>
      <x:c r="K246" s="14" t="n">
        <x:f>IF(ISNUMBER(J246),E246*J246,"n/d")</x:f>
        <x:v>139</x:v>
      </x:c>
      <x:c r="L246" s="7" t="str">
        <x:v>SNL 3048</x:v>
      </x:c>
      <x:c r="M246" s="7" t="str">
        <x:v>BOM y montaje TT10_C05_PC_01; sin plano individual</x:v>
      </x:c>
      <x:c r="N246" s="7" t="str">
        <x:v>C05E_TT10_F551.SLDPRT</x:v>
      </x:c>
    </x:row>
    <x:row r="247" ht="34" customHeight="1">
      <x:c r="B247" s="7" t="n">
        <x:v>241</x:v>
      </x:c>
      <x:c r="C247" s="7" t="str">
        <x:v>TT10_F556</x:v>
      </x:c>
      <x:c r="D247" s="7" t="str">
        <x:v>Soporte tope terminado en cara interior de columna</x:v>
      </x:c>
      <x:c r="E247" s="7" t="n">
        <x:v>1</x:v>
      </x:c>
      <x:c r="F247" s="7" t="str">
        <x:v>ASTM A36</x:v>
      </x:c>
      <x:c r="G247" s="7" t="str">
        <x:v>Fabricación</x:v>
      </x:c>
      <x:c r="H247" s="9" t="n">
        <x:v>0.0017100000000000006</x:v>
      </x:c>
      <x:c r="I247" s="7" t="n">
        <x:v>7850</x:v>
      </x:c>
      <x:c r="J247" s="14" t="n">
        <x:f>H247*I247</x:f>
        <x:v>13.423500000000004</x:v>
      </x:c>
      <x:c r="K247" s="14" t="n">
        <x:f>IF(ISNUMBER(J247),E247*J247,"n/d")</x:f>
        <x:v>13.423500000000004</x:v>
      </x:c>
      <x:c r="L247" s="7" t="str">
        <x:v>CAD_volume_x_specified_density</x:v>
      </x:c>
      <x:c r="M247" s="7" t="str">
        <x:v>Plano de conjunto / detalle funcional: TT10_C05_PC_03</x:v>
      </x:c>
      <x:c r="N247" s="7" t="str">
        <x:v>C05E_TT10_F556.SLDPRT</x:v>
      </x:c>
    </x:row>
    <x:row r="248" ht="34" customHeight="1">
      <x:c r="B248" s="7" t="n">
        <x:v>242</x:v>
      </x:c>
      <x:c r="C248" s="7" t="str">
        <x:v>TT10_F561</x:v>
      </x:c>
      <x:c r="D248" s="7" t="str">
        <x:v>Pieza TT10_F561</x:v>
      </x:c>
      <x:c r="E248" s="7" t="n">
        <x:v>1</x:v>
      </x:c>
      <x:c r="F248" s="7" t="str">
        <x:v>ASTM A36</x:v>
      </x:c>
      <x:c r="G248" s="7" t="str">
        <x:v>Fabricación</x:v>
      </x:c>
      <x:c r="H248" s="9" t="n">
        <x:v>0.0025199999999999997</x:v>
      </x:c>
      <x:c r="I248" s="7" t="n">
        <x:v>7850</x:v>
      </x:c>
      <x:c r="J248" s="14" t="n">
        <x:f>H248*I248</x:f>
        <x:v>19.781999999999996</x:v>
      </x:c>
      <x:c r="K248" s="14" t="n">
        <x:f>IF(ISNUMBER(J248),E248*J248,"n/d")</x:f>
        <x:v>19.781999999999996</x:v>
      </x:c>
      <x:c r="L248" s="7" t="str">
        <x:v>CAD_volume_x_specified_density</x:v>
      </x:c>
      <x:c r="M248" s="7" t="str">
        <x:v>Plano de conjunto / detalle funcional: TT10_C05_PC_02</x:v>
      </x:c>
      <x:c r="N248" s="7" t="str">
        <x:v>C05E_TT10_F561.SLDPRT</x:v>
      </x:c>
    </x:row>
    <x:row r="249" ht="34" customHeight="1">
      <x:c r="B249" s="7" t="n">
        <x:v>243</x:v>
      </x:c>
      <x:c r="C249" s="7" t="str">
        <x:v>TT10_F566</x:v>
      </x:c>
      <x:c r="D249" s="7" t="str">
        <x:v>Pieza TT10_F566</x:v>
      </x:c>
      <x:c r="E249" s="7" t="n">
        <x:v>1</x:v>
      </x:c>
      <x:c r="F249" s="7" t="str">
        <x:v>ASTM A36</x:v>
      </x:c>
      <x:c r="G249" s="7" t="str">
        <x:v>Fabricación</x:v>
      </x:c>
      <x:c r="H249" s="9" t="n">
        <x:v>0.008877854877628428</x:v>
      </x:c>
      <x:c r="I249" s="7" t="n">
        <x:v>7850.000000000001</x:v>
      </x:c>
      <x:c r="J249" s="14" t="n">
        <x:f>H249*I249</x:f>
        <x:v>69.69116078938316</x:v>
      </x:c>
      <x:c r="K249" s="14" t="n">
        <x:f>IF(ISNUMBER(J249),E249*J249,"n/d")</x:f>
        <x:v>69.69116078938316</x:v>
      </x:c>
      <x:c r="L249" s="7" t="str">
        <x:v>CAD_volume_x_specified_density</x:v>
      </x:c>
      <x:c r="M249" s="7" t="str">
        <x:v>Plano de conjunto / detalle funcional: TT10_C05_PC_02</x:v>
      </x:c>
      <x:c r="N249" s="7" t="str">
        <x:v>C05E_TT10_F566.SLDPRT</x:v>
      </x:c>
    </x:row>
    <x:row r="250" ht="34" customHeight="1">
      <x:c r="B250" s="7" t="n">
        <x:v>244</x:v>
      </x:c>
      <x:c r="C250" s="7" t="str">
        <x:v>TT10_F571</x:v>
      </x:c>
      <x:c r="D250" s="7" t="str">
        <x:v>Pieza TT10_F571</x:v>
      </x:c>
      <x:c r="E250" s="7" t="n">
        <x:v>1</x:v>
      </x:c>
      <x:c r="F250" s="7" t="str">
        <x:v>ASTM A36</x:v>
      </x:c>
      <x:c r="G250" s="7" t="str">
        <x:v>Fabricación</x:v>
      </x:c>
      <x:c r="H250" s="9" t="n">
        <x:v>0.008877854877628428</x:v>
      </x:c>
      <x:c r="I250" s="7" t="n">
        <x:v>7850.000000000001</x:v>
      </x:c>
      <x:c r="J250" s="14" t="n">
        <x:f>H250*I250</x:f>
        <x:v>69.69116078938316</x:v>
      </x:c>
      <x:c r="K250" s="14" t="n">
        <x:f>IF(ISNUMBER(J250),E250*J250,"n/d")</x:f>
        <x:v>69.69116078938316</x:v>
      </x:c>
      <x:c r="L250" s="7" t="str">
        <x:v>CAD_volume_x_specified_density</x:v>
      </x:c>
      <x:c r="M250" s="7" t="str">
        <x:v>Plano de conjunto / detalle funcional: TT10_C05_PC_02</x:v>
      </x:c>
      <x:c r="N250" s="7" t="str">
        <x:v>C05E_TT10_F571.SLDPRT</x:v>
      </x:c>
    </x:row>
    <x:row r="251" ht="34" customHeight="1">
      <x:c r="B251" s="7" t="n">
        <x:v>245</x:v>
      </x:c>
      <x:c r="C251" s="7" t="str">
        <x:v>TT10_F576</x:v>
      </x:c>
      <x:c r="D251" s="7" t="str">
        <x:v>Oreja fija espesor40, Ø65 H8, mandrinar coaxialmente después de soldar</x:v>
      </x:c>
      <x:c r="E251" s="7" t="n">
        <x:v>1</x:v>
      </x:c>
      <x:c r="F251" s="7" t="str">
        <x:v>ASTM A36</x:v>
      </x:c>
      <x:c r="G251" s="7" t="str">
        <x:v>Fabricación</x:v>
      </x:c>
      <x:c r="H251" s="9" t="n">
        <x:v>0.0038672677103858306</x:v>
      </x:c>
      <x:c r="I251" s="7" t="n">
        <x:v>7850</x:v>
      </x:c>
      <x:c r="J251" s="14" t="n">
        <x:f>H251*I251</x:f>
        <x:v>30.358051526528772</x:v>
      </x:c>
      <x:c r="K251" s="14" t="n">
        <x:f>IF(ISNUMBER(J251),E251*J251,"n/d")</x:f>
        <x:v>30.358051526528772</x:v>
      </x:c>
      <x:c r="L251" s="7" t="str">
        <x:v>CAD_volume_x_specified_density</x:v>
      </x:c>
      <x:c r="M251" s="7" t="str">
        <x:v>Plano de conjunto / detalle funcional: TT10_C05_PC_03</x:v>
      </x:c>
      <x:c r="N251" s="7" t="str">
        <x:v>C05E_TT10_F576.SLDPRT</x:v>
      </x:c>
    </x:row>
    <x:row r="252" ht="34" customHeight="1">
      <x:c r="B252" s="7" t="n">
        <x:v>246</x:v>
      </x:c>
      <x:c r="C252" s="7" t="str">
        <x:v>TT10_F581</x:v>
      </x:c>
      <x:c r="D252" s="7" t="str">
        <x:v>Diagonal CHS168.3x10 con cortes de asiento; sin penetrar columnas ni placas</x:v>
      </x:c>
      <x:c r="E252" s="7" t="n">
        <x:v>1</x:v>
      </x:c>
      <x:c r="F252" s="7" t="str">
        <x:v>S275J0H / EN 10219-1</x:v>
      </x:c>
      <x:c r="G252" s="7" t="str">
        <x:v>Fabricación</x:v>
      </x:c>
      <x:c r="H252" s="9" t="n">
        <x:v>0.011767912085787362</x:v>
      </x:c>
      <x:c r="I252" s="7" t="n">
        <x:v>7850</x:v>
      </x:c>
      <x:c r="J252" s="14" t="n">
        <x:f>H252*I252</x:f>
        <x:v>92.37810987343079</x:v>
      </x:c>
      <x:c r="K252" s="14" t="n">
        <x:f>IF(ISNUMBER(J252),E252*J252,"n/d")</x:f>
        <x:v>92.37810987343079</x:v>
      </x:c>
      <x:c r="L252" s="7" t="str">
        <x:v>CAD_volume_x_specified_density</x:v>
      </x:c>
      <x:c r="M252" s="7" t="str">
        <x:v>Plano de conjunto / detalle funcional: TT10_C05_PC_02</x:v>
      </x:c>
      <x:c r="N252" s="7" t="str">
        <x:v>C05E_TT10_F581.SLDPRT</x:v>
      </x:c>
    </x:row>
    <x:row r="253" ht="34" customHeight="1">
      <x:c r="B253" s="7" t="n">
        <x:v>247</x:v>
      </x:c>
      <x:c r="C253" s="7" t="str">
        <x:v>TT10_F586</x:v>
      </x:c>
      <x:c r="D253" s="7" t="str">
        <x:v>Oreja fija espesor40, Ø65 H8, mandrinar coaxialmente después de soldar</x:v>
      </x:c>
      <x:c r="E253" s="7" t="n">
        <x:v>1</x:v>
      </x:c>
      <x:c r="F253" s="7" t="str">
        <x:v>ASTM A36</x:v>
      </x:c>
      <x:c r="G253" s="7" t="str">
        <x:v>Fabricación</x:v>
      </x:c>
      <x:c r="H253" s="9" t="n">
        <x:v>0.0038672677103858306</x:v>
      </x:c>
      <x:c r="I253" s="7" t="n">
        <x:v>7850</x:v>
      </x:c>
      <x:c r="J253" s="14" t="n">
        <x:f>H253*I253</x:f>
        <x:v>30.358051526528772</x:v>
      </x:c>
      <x:c r="K253" s="14" t="n">
        <x:f>IF(ISNUMBER(J253),E253*J253,"n/d")</x:f>
        <x:v>30.358051526528772</x:v>
      </x:c>
      <x:c r="L253" s="7" t="str">
        <x:v>CAD_volume_x_specified_density</x:v>
      </x:c>
      <x:c r="M253" s="7" t="str">
        <x:v>Plano de conjunto / detalle funcional: TT10_C05_PC_03</x:v>
      </x:c>
      <x:c r="N253" s="7" t="str">
        <x:v>C05E_TT10_F586.SLDPRT</x:v>
      </x:c>
    </x:row>
    <x:row r="254" ht="34" customHeight="1">
      <x:c r="B254" s="7" t="n">
        <x:v>248</x:v>
      </x:c>
      <x:c r="C254" s="7" t="str">
        <x:v>TT10_F591</x:v>
      </x:c>
      <x:c r="D254" s="7" t="str">
        <x:v>Perfil tubular 350 x 250 x 12; L 600</x:v>
      </x:c>
      <x:c r="E254" s="7" t="n">
        <x:v>1</x:v>
      </x:c>
      <x:c r="F254" s="7" t="str">
        <x:v>S275J0H / EN 10219-1</x:v>
      </x:c>
      <x:c r="G254" s="7" t="str">
        <x:v>Fabricación</x:v>
      </x:c>
      <x:c r="H254" s="9" t="n">
        <x:v>0.008294399999999993</x:v>
      </x:c>
      <x:c r="I254" s="7" t="n">
        <x:v>7850</x:v>
      </x:c>
      <x:c r="J254" s="14" t="n">
        <x:f>H254*I254</x:f>
        <x:v>65.11103999999995</x:v>
      </x:c>
      <x:c r="K254" s="14" t="n">
        <x:f>IF(ISNUMBER(J254),E254*J254,"n/d")</x:f>
        <x:v>65.11103999999995</x:v>
      </x:c>
      <x:c r="L254" s="7" t="str">
        <x:v>CAD_volume_x_specified_density</x:v>
      </x:c>
      <x:c r="M254" s="7" t="str">
        <x:v>Plano de conjunto / detalle funcional: TT10_C05_PC_03</x:v>
      </x:c>
      <x:c r="N254" s="7" t="str">
        <x:v>C05E_TT10_F591.SLDPRT</x:v>
      </x:c>
    </x:row>
    <x:row r="255" ht="34" customHeight="1">
      <x:c r="B255" s="7" t="n">
        <x:v>249</x:v>
      </x:c>
      <x:c r="C255" s="7" t="str">
        <x:v>TT10_F596</x:v>
      </x:c>
      <x:c r="D255" s="7" t="str">
        <x:v>Tope inclinado: cara inferior mecanizada para asiento horizontal</x:v>
      </x:c>
      <x:c r="E255" s="7" t="n">
        <x:v>1</x:v>
      </x:c>
      <x:c r="F255" s="7" t="str">
        <x:v>ASTM A36</x:v>
      </x:c>
      <x:c r="G255" s="7" t="str">
        <x:v>Fabricación</x:v>
      </x:c>
      <x:c r="H255" s="9" t="n">
        <x:v>0.0004446075780503891</x:v>
      </x:c>
      <x:c r="I255" s="7" t="n">
        <x:v>7850</x:v>
      </x:c>
      <x:c r="J255" s="14" t="n">
        <x:f>H255*I255</x:f>
        <x:v>3.4901694876955545</x:v>
      </x:c>
      <x:c r="K255" s="14" t="n">
        <x:f>IF(ISNUMBER(J255),E255*J255,"n/d")</x:f>
        <x:v>3.4901694876955545</x:v>
      </x:c>
      <x:c r="L255" s="7" t="str">
        <x:v>CAD_volume_x_specified_density</x:v>
      </x:c>
      <x:c r="M255" s="7" t="str">
        <x:v>Plano de conjunto / detalle funcional: TT10_C05_PC_03</x:v>
      </x:c>
      <x:c r="N255" s="7" t="str">
        <x:v>C05E_TT10_F596.SLDPRT</x:v>
      </x:c>
    </x:row>
    <x:row r="256" ht="34" customHeight="1">
      <x:c r="B256" s="7" t="n">
        <x:v>250</x:v>
      </x:c>
      <x:c r="C256" s="7" t="str">
        <x:v>TT10_F601</x:v>
      </x:c>
      <x:c r="D256" s="7" t="str">
        <x:v>Diagonal CHS168.3x10 con cortes de asiento; sin penetrar columnas ni placas</x:v>
      </x:c>
      <x:c r="E256" s="7" t="n">
        <x:v>1</x:v>
      </x:c>
      <x:c r="F256" s="7" t="str">
        <x:v>S275J0H / EN 10219-1</x:v>
      </x:c>
      <x:c r="G256" s="7" t="str">
        <x:v>Fabricación</x:v>
      </x:c>
      <x:c r="H256" s="9" t="n">
        <x:v>0.011767912040448057</x:v>
      </x:c>
      <x:c r="I256" s="7" t="n">
        <x:v>7850</x:v>
      </x:c>
      <x:c r="J256" s="14" t="n">
        <x:f>H256*I256</x:f>
        <x:v>92.37810951751725</x:v>
      </x:c>
      <x:c r="K256" s="14" t="n">
        <x:f>IF(ISNUMBER(J256),E256*J256,"n/d")</x:f>
        <x:v>92.37810951751725</x:v>
      </x:c>
      <x:c r="L256" s="7" t="str">
        <x:v>CAD_volume_x_specified_density</x:v>
      </x:c>
      <x:c r="M256" s="7" t="str">
        <x:v>Plano de conjunto / detalle funcional: TT10_C05_PC_02</x:v>
      </x:c>
      <x:c r="N256" s="7" t="str">
        <x:v>C05E_TT10_F601.SLDPRT</x:v>
      </x:c>
    </x:row>
    <x:row r="257" ht="34" customHeight="1">
      <x:c r="B257" s="7" t="n">
        <x:v>251</x:v>
      </x:c>
      <x:c r="C257" s="7" t="str">
        <x:v>TT10_F606</x:v>
      </x:c>
      <x:c r="D257" s="7" t="str">
        <x:v>Diagonal CHS168.3x10 con cortes de asiento; sin penetrar columnas ni placas</x:v>
      </x:c>
      <x:c r="E257" s="7" t="n">
        <x:v>1</x:v>
      </x:c>
      <x:c r="F257" s="7" t="str">
        <x:v>S275J0H / EN 10219-1</x:v>
      </x:c>
      <x:c r="G257" s="7" t="str">
        <x:v>Fabricación</x:v>
      </x:c>
      <x:c r="H257" s="9" t="n">
        <x:v>0.01176791204044782</x:v>
      </x:c>
      <x:c r="I257" s="7" t="n">
        <x:v>7850.000000000001</x:v>
      </x:c>
      <x:c r="J257" s="14" t="n">
        <x:f>H257*I257</x:f>
        <x:v>92.3781095175154</x:v>
      </x:c>
      <x:c r="K257" s="14" t="n">
        <x:f>IF(ISNUMBER(J257),E257*J257,"n/d")</x:f>
        <x:v>92.3781095175154</x:v>
      </x:c>
      <x:c r="L257" s="7" t="str">
        <x:v>CAD_volume_x_specified_density</x:v>
      </x:c>
      <x:c r="M257" s="7" t="str">
        <x:v>Plano de conjunto / detalle funcional: TT10_C05_PC_02</x:v>
      </x:c>
      <x:c r="N257" s="7" t="str">
        <x:v>C05E_TT10_F606.SLDPRT</x:v>
      </x:c>
    </x:row>
    <x:row r="258" ht="34" customHeight="1">
      <x:c r="B258" s="7" t="n">
        <x:v>252</x:v>
      </x:c>
      <x:c r="C258" s="7" t="str">
        <x:v>TT10_F611</x:v>
      </x:c>
      <x:c r="D258" s="7" t="str">
        <x:v>Perfil tubular 150 x 150 x 10; L 1845</x:v>
      </x:c>
      <x:c r="E258" s="7" t="n">
        <x:v>1</x:v>
      </x:c>
      <x:c r="F258" s="7" t="str">
        <x:v>S275J0H / EN 10219-1</x:v>
      </x:c>
      <x:c r="G258" s="7" t="str">
        <x:v>Fabricación</x:v>
      </x:c>
      <x:c r="H258" s="9" t="n">
        <x:v>0.010332000000000004</x:v>
      </x:c>
      <x:c r="I258" s="7" t="n">
        <x:v>7849.999999999999</x:v>
      </x:c>
      <x:c r="J258" s="14" t="n">
        <x:f>H258*I258</x:f>
        <x:v>81.10620000000003</x:v>
      </x:c>
      <x:c r="K258" s="14" t="n">
        <x:f>IF(ISNUMBER(J258),E258*J258,"n/d")</x:f>
        <x:v>81.10620000000003</x:v>
      </x:c>
      <x:c r="L258" s="7" t="str">
        <x:v>CAD_volume_x_specified_density</x:v>
      </x:c>
      <x:c r="M258" s="7" t="str">
        <x:v>Plano de conjunto / detalle funcional: TT10_C05_PC_02</x:v>
      </x:c>
      <x:c r="N258" s="7" t="str">
        <x:v>C05E_TT10_F611.SLDPRT</x:v>
      </x:c>
    </x:row>
    <x:row r="259" ht="34" customHeight="1">
      <x:c r="B259" s="7" t="n">
        <x:v>253</x:v>
      </x:c>
      <x:c r="C259" s="7" t="str">
        <x:v>TT10_F616</x:v>
      </x:c>
      <x:c r="D259" s="7" t="str">
        <x:v>Tirante RHS200x150x10; extremos a cara de columna y puente</x:v>
      </x:c>
      <x:c r="E259" s="7" t="n">
        <x:v>1</x:v>
      </x:c>
      <x:c r="F259" s="7" t="str">
        <x:v>S275J0H / EN 10219-1</x:v>
      </x:c>
      <x:c r="G259" s="7" t="str">
        <x:v>Fabricación</x:v>
      </x:c>
      <x:c r="H259" s="9" t="n">
        <x:v>0.0051809999999999825</x:v>
      </x:c>
      <x:c r="I259" s="7" t="n">
        <x:v>7849.999999999999</x:v>
      </x:c>
      <x:c r="J259" s="14" t="n">
        <x:f>H259*I259</x:f>
        <x:v>40.67084999999986</x:v>
      </x:c>
      <x:c r="K259" s="14" t="n">
        <x:f>IF(ISNUMBER(J259),E259*J259,"n/d")</x:f>
        <x:v>40.67084999999986</x:v>
      </x:c>
      <x:c r="L259" s="7" t="str">
        <x:v>CAD_volume_x_specified_density</x:v>
      </x:c>
      <x:c r="M259" s="7" t="str">
        <x:v>Plano de conjunto / detalle funcional: TT10_C05_PC_02</x:v>
      </x:c>
      <x:c r="N259" s="7" t="str">
        <x:v>C05E_TT10_F616.SLDPRT</x:v>
      </x:c>
    </x:row>
    <x:row r="260" ht="34" customHeight="1">
      <x:c r="B260" s="7" t="n">
        <x:v>254</x:v>
      </x:c>
      <x:c r="C260" s="7" t="str">
        <x:v>TT10_F621</x:v>
      </x:c>
      <x:c r="D260" s="7" t="str">
        <x:v>Puente RHS200x150x10 L1005; fuera del plano de las diagonales</x:v>
      </x:c>
      <x:c r="E260" s="7" t="n">
        <x:v>1</x:v>
      </x:c>
      <x:c r="F260" s="7" t="str">
        <x:v>S275J0H / EN 10219-1</x:v>
      </x:c>
      <x:c r="G260" s="7" t="str">
        <x:v>Fabricación</x:v>
      </x:c>
      <x:c r="H260" s="9" t="n">
        <x:v>0.006632999999999888</x:v>
      </x:c>
      <x:c r="I260" s="7" t="n">
        <x:v>7850</x:v>
      </x:c>
      <x:c r="J260" s="14" t="n">
        <x:f>H260*I260</x:f>
        <x:v>52.06904999999912</x:v>
      </x:c>
      <x:c r="K260" s="14" t="n">
        <x:f>IF(ISNUMBER(J260),E260*J260,"n/d")</x:f>
        <x:v>52.06904999999912</x:v>
      </x:c>
      <x:c r="L260" s="7" t="str">
        <x:v>CAD_volume_x_specified_density</x:v>
      </x:c>
      <x:c r="M260" s="7" t="str">
        <x:v>Plano de conjunto / detalle funcional: TT10_C05_PC_02</x:v>
      </x:c>
      <x:c r="N260" s="7" t="str">
        <x:v>C05E_TT10_F621.SLDPRT</x:v>
      </x:c>
    </x:row>
    <x:row r="261" ht="34" customHeight="1">
      <x:c r="B261" s="7" t="n">
        <x:v>255</x:v>
      </x:c>
      <x:c r="C261" s="7" t="str">
        <x:v>TT10_F626</x:v>
      </x:c>
      <x:c r="D261" s="7" t="str">
        <x:v>Pieza TT10_F626</x:v>
      </x:c>
      <x:c r="E261" s="7" t="n">
        <x:v>1</x:v>
      </x:c>
      <x:c r="F261" s="7" t="str">
        <x:v>ASTM A36</x:v>
      </x:c>
      <x:c r="G261" s="7" t="str">
        <x:v>Fabricación</x:v>
      </x:c>
      <x:c r="H261" s="9" t="n">
        <x:v>0.008877854877628428</x:v>
      </x:c>
      <x:c r="I261" s="7" t="n">
        <x:v>7850.000000000001</x:v>
      </x:c>
      <x:c r="J261" s="14" t="n">
        <x:f>H261*I261</x:f>
        <x:v>69.69116078938316</x:v>
      </x:c>
      <x:c r="K261" s="14" t="n">
        <x:f>IF(ISNUMBER(J261),E261*J261,"n/d")</x:f>
        <x:v>69.69116078938316</x:v>
      </x:c>
      <x:c r="L261" s="7" t="str">
        <x:v>CAD_volume_x_specified_density</x:v>
      </x:c>
      <x:c r="M261" s="7" t="str">
        <x:v>Plano de conjunto / detalle funcional: TT10_C05_PC_02</x:v>
      </x:c>
      <x:c r="N261" s="7" t="str">
        <x:v>C05E_TT10_F626.SLDPRT</x:v>
      </x:c>
    </x:row>
    <x:row r="262" ht="34" customHeight="1">
      <x:c r="B262" s="7" t="n">
        <x:v>256</x:v>
      </x:c>
      <x:c r="C262" s="7" t="str">
        <x:v>TT10_F631</x:v>
      </x:c>
      <x:c r="D262" s="7" t="str">
        <x:v>Pieza TT10_F631</x:v>
      </x:c>
      <x:c r="E262" s="7" t="n">
        <x:v>1</x:v>
      </x:c>
      <x:c r="F262" s="7" t="str">
        <x:v>ASTM A36</x:v>
      </x:c>
      <x:c r="G262" s="7" t="str">
        <x:v>Fabricación</x:v>
      </x:c>
      <x:c r="H262" s="9" t="n">
        <x:v>0.008877854877628428</x:v>
      </x:c>
      <x:c r="I262" s="7" t="n">
        <x:v>7850.000000000001</x:v>
      </x:c>
      <x:c r="J262" s="14" t="n">
        <x:f>H262*I262</x:f>
        <x:v>69.69116078938316</x:v>
      </x:c>
      <x:c r="K262" s="14" t="n">
        <x:f>IF(ISNUMBER(J262),E262*J262,"n/d")</x:f>
        <x:v>69.69116078938316</x:v>
      </x:c>
      <x:c r="L262" s="7" t="str">
        <x:v>CAD_volume_x_specified_density</x:v>
      </x:c>
      <x:c r="M262" s="7" t="str">
        <x:v>Plano de conjunto / detalle funcional: TT10_C05_PC_02</x:v>
      </x:c>
      <x:c r="N262" s="7" t="str">
        <x:v>C05E_TT10_F631.SLDPRT</x:v>
      </x:c>
    </x:row>
    <x:row r="263" ht="34" customHeight="1">
      <x:c r="B263" s="7" t="n">
        <x:v>257</x:v>
      </x:c>
      <x:c r="C263" s="7" t="str">
        <x:v>TT10_F636</x:v>
      </x:c>
      <x:c r="D263" s="7" t="str">
        <x:v>Columna principal recortada para placa80 y altura de centro SKF220</x:v>
      </x:c>
      <x:c r="E263" s="7" t="n">
        <x:v>1</x:v>
      </x:c>
      <x:c r="F263" s="7" t="str">
        <x:v>S355J2; certificado 3.1 requerido</x:v>
      </x:c>
      <x:c r="G263" s="7" t="str">
        <x:v>Fabricación</x:v>
      </x:c>
      <x:c r="H263" s="9" t="n">
        <x:v>0.035697920000000015</x:v>
      </x:c>
      <x:c r="I263" s="7" t="n">
        <x:v>7850</x:v>
      </x:c>
      <x:c r="J263" s="14" t="n">
        <x:f>H263*I263</x:f>
        <x:v>280.22867200000013</x:v>
      </x:c>
      <x:c r="K263" s="14" t="n">
        <x:f>IF(ISNUMBER(J263),E263*J263,"n/d")</x:f>
        <x:v>280.22867200000013</x:v>
      </x:c>
      <x:c r="L263" s="7" t="str">
        <x:v>Volumen CAD y densidad de fuente de diseño (7850 kg/m³)</x:v>
      </x:c>
      <x:c r="M263" s="7" t="str">
        <x:v>Plano de conjunto / detalle funcional: TT10_C05_PC_02</x:v>
      </x:c>
      <x:c r="N263" s="7" t="str">
        <x:v>C05E_TT10_F636.SLDPRT</x:v>
      </x:c>
    </x:row>
    <x:row r="264" ht="34" customHeight="1">
      <x:c r="B264" s="7" t="n">
        <x:v>258</x:v>
      </x:c>
      <x:c r="C264" s="7" t="str">
        <x:v>TT10_F641</x:v>
      </x:c>
      <x:c r="D264" s="7" t="str">
        <x:v>Columna principal recortada para placa80 y altura de centro SKF220</x:v>
      </x:c>
      <x:c r="E264" s="7" t="n">
        <x:v>1</x:v>
      </x:c>
      <x:c r="F264" s="7" t="str">
        <x:v>S355J2; certificado 3.1 requerido</x:v>
      </x:c>
      <x:c r="G264" s="7" t="str">
        <x:v>Fabricación</x:v>
      </x:c>
      <x:c r="H264" s="9" t="n">
        <x:v>0.035697920000000015</x:v>
      </x:c>
      <x:c r="I264" s="7" t="n">
        <x:v>7850</x:v>
      </x:c>
      <x:c r="J264" s="14" t="n">
        <x:f>H264*I264</x:f>
        <x:v>280.22867200000013</x:v>
      </x:c>
      <x:c r="K264" s="14" t="n">
        <x:f>IF(ISNUMBER(J264),E264*J264,"n/d")</x:f>
        <x:v>280.22867200000013</x:v>
      </x:c>
      <x:c r="L264" s="7" t="str">
        <x:v>Volumen CAD y densidad de fuente de diseño (7850 kg/m³)</x:v>
      </x:c>
      <x:c r="M264" s="7" t="str">
        <x:v>Plano de conjunto / detalle funcional: TT10_C05_PC_02</x:v>
      </x:c>
      <x:c r="N264" s="7" t="str">
        <x:v>C05E_TT10_F641.SLDPRT</x:v>
      </x:c>
    </x:row>
    <x:row r="265" ht="34" customHeight="1">
      <x:c r="B265" s="7" t="n">
        <x:v>259</x:v>
      </x:c>
      <x:c r="C265" s="7" t="str">
        <x:v>TT10_F646</x:v>
      </x:c>
      <x:c r="D265" s="7" t="str">
        <x:v>Pieza TT10_F646</x:v>
      </x:c>
      <x:c r="E265" s="7" t="n">
        <x:v>1</x:v>
      </x:c>
      <x:c r="F265" s="7" t="str">
        <x:v>ASTM A36</x:v>
      </x:c>
      <x:c r="G265" s="7" t="str">
        <x:v>Fabricación</x:v>
      </x:c>
      <x:c r="H265" s="9" t="n">
        <x:v>0.010124999999999999</x:v>
      </x:c>
      <x:c r="I265" s="7" t="n">
        <x:v>7850</x:v>
      </x:c>
      <x:c r="J265" s="14" t="n">
        <x:f>H265*I265</x:f>
        <x:v>79.48124999999999</x:v>
      </x:c>
      <x:c r="K265" s="14" t="n">
        <x:f>IF(ISNUMBER(J265),E265*J265,"n/d")</x:f>
        <x:v>79.48124999999999</x:v>
      </x:c>
      <x:c r="L265" s="7" t="str">
        <x:v>CAD_volume_x_specified_density</x:v>
      </x:c>
      <x:c r="M265" s="7" t="str">
        <x:v>Plano de conjunto / detalle funcional: TT10_C05_PC_02</x:v>
      </x:c>
      <x:c r="N265" s="7" t="str">
        <x:v>C05E_TT10_F646.SLDPRT</x:v>
      </x:c>
    </x:row>
    <x:row r="266" ht="34" customHeight="1">
      <x:c r="B266" s="7" t="n">
        <x:v>260</x:v>
      </x:c>
      <x:c r="C266" s="7" t="str">
        <x:v>TT10_FRB_1</x:v>
      </x:c>
      <x:c r="D266" s="7" t="str">
        <x:v>SKF FRB21/360; lado P localizador</x:v>
      </x:c>
      <x:c r="E266" s="7" t="n">
        <x:v>1</x:v>
      </x:c>
      <x:c r="F266" s="7" t="str">
        <x:v>Conjunto comprado; acero/ fundición según OEM</x:v>
      </x:c>
      <x:c r="G266" s="7" t="str">
        <x:v>Comercial</x:v>
      </x:c>
      <x:c r="H266" s="9" t="n">
        <x:v>0.0006531371126813216</x:v>
      </x:c>
      <x:c r="I266" s="7"/>
      <x:c r="J266" s="14" t="str">
        <x:v>n/d</x:v>
      </x:c>
      <x:c r="K266" s="14" t="str">
        <x:f>IF(ISNUMBER(J266),E266*J266,"n/d")</x:f>
        <x:v>n/d</x:v>
      </x:c>
      <x:c r="L266" s="7" t="str">
        <x:v>FRB 21/360</x:v>
      </x:c>
      <x:c r="M266" s="7" t="str">
        <x:v>BOM y montaje TT10_C05_PC_01; sin plano individual</x:v>
      </x:c>
      <x:c r="N266" s="7" t="str">
        <x:v>C05E_TT10_FRB_1.SLDPRT</x:v>
      </x:c>
    </x:row>
    <x:row r="267" ht="34" customHeight="1">
      <x:c r="B267" s="7" t="n">
        <x:v>261</x:v>
      </x:c>
      <x:c r="C267" s="7" t="str">
        <x:v>TT10_FRB_2</x:v>
      </x:c>
      <x:c r="D267" s="7" t="str">
        <x:v>SKF FRB21/360; lado P localizador</x:v>
      </x:c>
      <x:c r="E267" s="7" t="n">
        <x:v>1</x:v>
      </x:c>
      <x:c r="F267" s="7" t="str">
        <x:v>Conjunto comprado; acero/ fundición según OEM</x:v>
      </x:c>
      <x:c r="G267" s="7" t="str">
        <x:v>Comercial</x:v>
      </x:c>
      <x:c r="H267" s="9" t="n">
        <x:v>0.0006531371126813074</x:v>
      </x:c>
      <x:c r="I267" s="7"/>
      <x:c r="J267" s="14" t="str">
        <x:v>n/d</x:v>
      </x:c>
      <x:c r="K267" s="14" t="str">
        <x:f>IF(ISNUMBER(J267),E267*J267,"n/d")</x:f>
        <x:v>n/d</x:v>
      </x:c>
      <x:c r="L267" s="7" t="str">
        <x:v>FRB 21/360</x:v>
      </x:c>
      <x:c r="M267" s="7" t="str">
        <x:v>BOM y montaje TT10_C05_PC_01; sin plano individual</x:v>
      </x:c>
      <x:c r="N267" s="7" t="str">
        <x:v>C05E_TT10_FRB_2.SLDPRT</x:v>
      </x:c>
    </x:row>
    <x:row r="268" ht="34" customHeight="1">
      <x:c r="B268" s="7" t="n">
        <x:v>262</x:v>
      </x:c>
      <x:c r="C268" s="7" t="str">
        <x:v>TT10_GUIA_N</x:v>
      </x:c>
      <x:c r="D268" s="7" t="str">
        <x:v>Guía con alojamiento Ø69 H7; casquillo69/65.5; fuera del camino resistente</x:v>
      </x:c>
      <x:c r="E268" s="7" t="n">
        <x:v>1</x:v>
      </x:c>
      <x:c r="F268" s="7" t="str">
        <x:v>ASTM A36</x:v>
      </x:c>
      <x:c r="G268" s="7" t="str">
        <x:v>Fabricación</x:v>
      </x:c>
      <x:c r="H268" s="9" t="n">
        <x:v>0.001728237438463645</x:v>
      </x:c>
      <x:c r="I268" s="7" t="n">
        <x:v>7850</x:v>
      </x:c>
      <x:c r="J268" s="14" t="n">
        <x:f>H268*I268</x:f>
        <x:v>13.566663891939614</x:v>
      </x:c>
      <x:c r="K268" s="14" t="n">
        <x:f>IF(ISNUMBER(J268),E268*J268,"n/d")</x:f>
        <x:v>13.566663891939614</x:v>
      </x:c>
      <x:c r="L268" s="7" t="str">
        <x:v>CAD_volume_x_specified_density</x:v>
      </x:c>
      <x:c r="M268" s="7" t="str">
        <x:v>Plano de conjunto / detalle funcional: TT10_C05_PC_03</x:v>
      </x:c>
      <x:c r="N268" s="7" t="str">
        <x:v>C05E_TT10_GUIA_N.SLDPRT</x:v>
      </x:c>
    </x:row>
    <x:row r="269" ht="34" customHeight="1">
      <x:c r="B269" s="7" t="n">
        <x:v>263</x:v>
      </x:c>
      <x:c r="C269" s="7" t="str">
        <x:v>TT10_GUIA_P</x:v>
      </x:c>
      <x:c r="D269" s="7" t="str">
        <x:v>Guía con alojamiento Ø69 H7; casquillo69/65.5; fuera del camino resistente</x:v>
      </x:c>
      <x:c r="E269" s="7" t="n">
        <x:v>1</x:v>
      </x:c>
      <x:c r="F269" s="7" t="str">
        <x:v>ASTM A36</x:v>
      </x:c>
      <x:c r="G269" s="7" t="str">
        <x:v>Fabricación</x:v>
      </x:c>
      <x:c r="H269" s="9" t="n">
        <x:v>0.001728237438463645</x:v>
      </x:c>
      <x:c r="I269" s="7" t="n">
        <x:v>7850</x:v>
      </x:c>
      <x:c r="J269" s="14" t="n">
        <x:f>H269*I269</x:f>
        <x:v>13.566663891939614</x:v>
      </x:c>
      <x:c r="K269" s="14" t="n">
        <x:f>IF(ISNUMBER(J269),E269*J269,"n/d")</x:f>
        <x:v>13.566663891939614</x:v>
      </x:c>
      <x:c r="L269" s="7" t="str">
        <x:v>CAD_volume_x_specified_density</x:v>
      </x:c>
      <x:c r="M269" s="7" t="str">
        <x:v>Plano de conjunto / detalle funcional: TT10_C05_PC_03</x:v>
      </x:c>
      <x:c r="N269" s="7" t="str">
        <x:v>C05E_TT10_GUIA_P.SLDPRT</x:v>
      </x:c>
    </x:row>
    <x:row r="270" ht="34" customHeight="1">
      <x:c r="B270" s="7" t="n">
        <x:v>264</x:v>
      </x:c>
      <x:c r="C270" s="7" t="str">
        <x:v>TT10_KM40_N</x:v>
      </x:c>
      <x:c r="D270" s="7" t="str">
        <x:v>SKF KM40, M200x3, D250 B29; cuatro ranuras18x8</x:v>
      </x:c>
      <x:c r="E270" s="7" t="n">
        <x:v>1</x:v>
      </x:c>
      <x:c r="F270" s="7" t="str">
        <x:v>Conjunto comprado; acero/ fundición según OEM</x:v>
      </x:c>
      <x:c r="G270" s="7" t="str">
        <x:v>Comercial</x:v>
      </x:c>
      <x:c r="H270" s="9" t="n">
        <x:v>0.0004959939812942166</x:v>
      </x:c>
      <x:c r="I270" s="7"/>
      <x:c r="J270" s="14" t="n">
        <x:v>3.35</x:v>
      </x:c>
      <x:c r="K270" s="14" t="n">
        <x:f>IF(ISNUMBER(J270),E270*J270,"n/d")</x:f>
        <x:v>3.35</x:v>
      </x:c>
      <x:c r="L270" s="7" t="str">
        <x:v>KM 40</x:v>
      </x:c>
      <x:c r="M270" s="7" t="str">
        <x:v>BOM y montaje TT10_C05_PC_01; sin plano individual</x:v>
      </x:c>
      <x:c r="N270" s="7" t="str">
        <x:v>C05E_TT10_KM40_N.SLDPRT</x:v>
      </x:c>
    </x:row>
    <x:row r="271" ht="34" customHeight="1">
      <x:c r="B271" s="7" t="n">
        <x:v>265</x:v>
      </x:c>
      <x:c r="C271" s="7" t="str">
        <x:v>TT10_KM40_P</x:v>
      </x:c>
      <x:c r="D271" s="7" t="str">
        <x:v>SKF KM40, M200x3, D250 B29; cuatro ranuras18x8</x:v>
      </x:c>
      <x:c r="E271" s="7" t="n">
        <x:v>1</x:v>
      </x:c>
      <x:c r="F271" s="7" t="str">
        <x:v>Conjunto comprado; acero/ fundición según OEM</x:v>
      </x:c>
      <x:c r="G271" s="7" t="str">
        <x:v>Comercial</x:v>
      </x:c>
      <x:c r="H271" s="9" t="n">
        <x:v>0.0004959939812942085</x:v>
      </x:c>
      <x:c r="I271" s="7"/>
      <x:c r="J271" s="14" t="n">
        <x:v>3.35</x:v>
      </x:c>
      <x:c r="K271" s="14" t="n">
        <x:f>IF(ISNUMBER(J271),E271*J271,"n/d")</x:f>
        <x:v>3.35</x:v>
      </x:c>
      <x:c r="L271" s="7" t="str">
        <x:v>KM 40</x:v>
      </x:c>
      <x:c r="M271" s="7" t="str">
        <x:v>BOM y montaje TT10_C05_PC_01; sin plano individual</x:v>
      </x:c>
      <x:c r="N271" s="7" t="str">
        <x:v>C05E_TT10_KM40_P.SLDPRT</x:v>
      </x:c>
    </x:row>
    <x:row r="272" ht="34" customHeight="1">
      <x:c r="B272" s="7" t="n">
        <x:v>266</x:v>
      </x:c>
      <x:c r="C272" s="7" t="str">
        <x:v>TT10_LIN_0_0_B</x:v>
      </x:c>
      <x:c r="D272" s="7" t="str">
        <x:v>Tornillo avellanado M16x80, cabeza90 D31, hexágono10; geometría nominal</x:v>
      </x:c>
      <x:c r="E272" s="7" t="n">
        <x:v>32</x:v>
      </x:c>
      <x:c r="F272" s="7" t="str">
        <x:v>Clase 10.9 / ISO 898-1</x:v>
      </x:c>
      <x:c r="G272" s="7" t="str">
        <x:v>Comercial</x:v>
      </x:c>
      <x:c r="H272" s="9" t="n">
        <x:v>0.000017481464083400467</x:v>
      </x:c>
      <x:c r="I272" s="7" t="n">
        <x:v>7850</x:v>
      </x:c>
      <x:c r="J272" s="14" t="n">
        <x:f>H272*I272</x:f>
        <x:v>0.13722949305469367</x:v>
      </x:c>
      <x:c r="K272" s="14" t="n">
        <x:f>IF(ISNUMBER(J272),E272*J272,"n/d")</x:f>
        <x:v>4.391343777750198</x:v>
      </x:c>
      <x:c r="L272" s="7" t="str">
        <x:v>CAD_volume_x_specified_density</x:v>
      </x:c>
      <x:c r="M272" s="7" t="str">
        <x:v>BOM y montaje TT10_C05_PC_01; sin plano individual</x:v>
      </x:c>
      <x:c r="N272" s="7" t="str">
        <x:v>C05E_TT10_LIN_0_0_B.SLDPRT</x:v>
      </x:c>
    </x:row>
    <x:row r="273" ht="34" customHeight="1">
      <x:c r="B273" s="7" t="n">
        <x:v>267</x:v>
      </x:c>
      <x:c r="C273" s="7" t="str">
        <x:v>TT10_LIN_0_0_C</x:v>
      </x:c>
      <x:c r="D273" s="7" t="str">
        <x:v>Casquillo30/18 L25 limita compresión de elastómero</x:v>
      </x:c>
      <x:c r="E273" s="7" t="n">
        <x:v>32</x:v>
      </x:c>
      <x:c r="F273" s="7" t="str">
        <x:v>Acero C45</x:v>
      </x:c>
      <x:c r="G273" s="7" t="str">
        <x:v>Fabricación</x:v>
      </x:c>
      <x:c r="H273" s="9" t="n">
        <x:v>0.000011309733552923252</x:v>
      </x:c>
      <x:c r="I273" s="7" t="n">
        <x:v>7850</x:v>
      </x:c>
      <x:c r="J273" s="14" t="n">
        <x:f>H273*I273</x:f>
        <x:v>0.08878140839044753</x:v>
      </x:c>
      <x:c r="K273" s="14" t="n">
        <x:f>IF(ISNUMBER(J273),E273*J273,"n/d")</x:f>
        <x:v>2.841005068494321</x:v>
      </x:c>
      <x:c r="L273" s="7" t="str">
        <x:v>CAD_volume_x_specified_density</x:v>
      </x:c>
      <x:c r="M273" s="7" t="str">
        <x:v>Plano de conjunto / detalle funcional: TT10_C05_PC_08</x:v>
      </x:c>
      <x:c r="N273" s="7" t="str">
        <x:v>C05E_TT10_LIN_0_0_C.SLDPRT</x:v>
      </x:c>
    </x:row>
    <x:row r="274" ht="34" customHeight="1">
      <x:c r="B274" s="7" t="n">
        <x:v>268</x:v>
      </x:c>
      <x:c r="C274" s="7" t="str">
        <x:v>TT10_LIN_0_0_N</x:v>
      </x:c>
      <x:c r="D274" s="7" t="str">
        <x:v>Tuerca autoblocante metálica M16; rosca simplificada</x:v>
      </x:c>
      <x:c r="E274" s="7" t="n">
        <x:v>32</x:v>
      </x:c>
      <x:c r="F274" s="7" t="str">
        <x:v>Tuerca clase 8 / ISO 898-2</x:v>
      </x:c>
      <x:c r="G274" s="7" t="str">
        <x:v>Comercial</x:v>
      </x:c>
      <x:c r="H274" s="9" t="n">
        <x:v>0.000004168761838501261</x:v>
      </x:c>
      <x:c r="I274" s="7" t="n">
        <x:v>7850</x:v>
      </x:c>
      <x:c r="J274" s="14" t="n">
        <x:f>H274*I274</x:f>
        <x:v>0.0327247804322349</x:v>
      </x:c>
      <x:c r="K274" s="14" t="n">
        <x:f>IF(ISNUMBER(J274),E274*J274,"n/d")</x:f>
        <x:v>1.0471929738315169</x:v>
      </x:c>
      <x:c r="L274" s="7" t="str">
        <x:v>CAD_volume_x_specified_density</x:v>
      </x:c>
      <x:c r="M274" s="7" t="str">
        <x:v>BOM y montaje TT10_C05_PC_01; sin plano individual</x:v>
      </x:c>
      <x:c r="N274" s="7" t="str">
        <x:v>C05E_TT10_LIN_0_0_N.SLDPRT</x:v>
      </x:c>
    </x:row>
    <x:row r="275" ht="34" customHeight="1">
      <x:c r="B275" s="7" t="n">
        <x:v>269</x:v>
      </x:c>
      <x:c r="C275" s="7" t="str">
        <x:v>TT10_LIN_0_0_W</x:v>
      </x:c>
      <x:c r="D275" s="7" t="str">
        <x:v>Arandela M16 200HV D30/d17/t3</x:v>
      </x:c>
      <x:c r="E275" s="7" t="n">
        <x:v>32</x:v>
      </x:c>
      <x:c r="F275" s="7" t="str">
        <x:v>Arandela endurecida 200 HV / ISO 7089</x:v>
      </x:c>
      <x:c r="G275" s="7" t="str">
        <x:v>Comercial</x:v>
      </x:c>
      <x:c r="H275" s="9" t="n">
        <x:v>0.0000014396348335075227</x:v>
      </x:c>
      <x:c r="I275" s="7" t="n">
        <x:v>7850</x:v>
      </x:c>
      <x:c r="J275" s="14" t="n">
        <x:f>H275*I275</x:f>
        <x:v>0.011301133443034054</x:v>
      </x:c>
      <x:c r="K275" s="14" t="n">
        <x:f>IF(ISNUMBER(J275),E275*J275,"n/d")</x:f>
        <x:v>0.3616362701770897</x:v>
      </x:c>
      <x:c r="L275" s="7" t="str">
        <x:v>CAD_volume_x_specified_density</x:v>
      </x:c>
      <x:c r="M275" s="7" t="str">
        <x:v>BOM y montaje TT10_C05_PC_01; sin plano individual</x:v>
      </x:c>
      <x:c r="N275" s="7" t="str">
        <x:v>C05E_TT10_LIN_0_0_W.SLDPRT</x:v>
      </x:c>
    </x:row>
    <x:row r="276" ht="34" customHeight="1">
      <x:c r="B276" s="7" t="n">
        <x:v>270</x:v>
      </x:c>
      <x:c r="C276" s="7" t="str">
        <x:v>TT10_LK_BC0</x:v>
      </x:c>
      <x:c r="D276" s="7" t="str">
        <x:v>TornilloM6x258.8; cabeza nominal, fijador de rosca y apriete por montaje</x:v>
      </x:c>
      <x:c r="E276" s="7" t="n">
        <x:v>2</x:v>
      </x:c>
      <x:c r="F276" s="7" t="str">
        <x:v>Clase 8.8 / ISO 898-1</x:v>
      </x:c>
      <x:c r="G276" s="7" t="str">
        <x:v>Comercial</x:v>
      </x:c>
      <x:c r="H276" s="9" t="n">
        <x:v>0.0000011780972450961635</x:v>
      </x:c>
      <x:c r="I276" s="7" t="n">
        <x:v>7850</x:v>
      </x:c>
      <x:c r="J276" s="14" t="n">
        <x:f>H276*I276</x:f>
        <x:v>0.009248063374004883</x:v>
      </x:c>
      <x:c r="K276" s="14" t="n">
        <x:f>IF(ISNUMBER(J276),E276*J276,"n/d")</x:f>
        <x:v>0.018496126748009767</x:v>
      </x:c>
      <x:c r="L276" s="7" t="str">
        <x:v>CAD_volume_x_specified_density</x:v>
      </x:c>
      <x:c r="M276" s="7" t="str">
        <x:v>BOM y montaje TT10_C05_PC_01; sin plano individual</x:v>
      </x:c>
      <x:c r="N276" s="7" t="str">
        <x:v>C05E_TT10_LK_BC0.SLDPRT</x:v>
      </x:c>
    </x:row>
    <x:row r="277" ht="34" customHeight="1">
      <x:c r="B277" s="7" t="n">
        <x:v>271</x:v>
      </x:c>
      <x:c r="C277" s="7" t="str">
        <x:v>TT10_LK_BC1</x:v>
      </x:c>
      <x:c r="D277" s="7" t="str">
        <x:v>TornilloM6x258.8; cabeza nominal, fijador de rosca y apriete por montaje</x:v>
      </x:c>
      <x:c r="E277" s="7" t="n">
        <x:v>2</x:v>
      </x:c>
      <x:c r="F277" s="7" t="str">
        <x:v>Clase 8.8 / ISO 898-1</x:v>
      </x:c>
      <x:c r="G277" s="7" t="str">
        <x:v>Comercial</x:v>
      </x:c>
      <x:c r="H277" s="9" t="n">
        <x:v>0.0000011780972450961635</x:v>
      </x:c>
      <x:c r="I277" s="7" t="n">
        <x:v>7850</x:v>
      </x:c>
      <x:c r="J277" s="14" t="n">
        <x:f>H277*I277</x:f>
        <x:v>0.009248063374004883</x:v>
      </x:c>
      <x:c r="K277" s="14" t="n">
        <x:f>IF(ISNUMBER(J277),E277*J277,"n/d")</x:f>
        <x:v>0.018496126748009767</x:v>
      </x:c>
      <x:c r="L277" s="7" t="str">
        <x:v>CAD_volume_x_specified_density</x:v>
      </x:c>
      <x:c r="M277" s="7" t="str">
        <x:v>BOM y montaje TT10_C05_PC_01; sin plano individual</x:v>
      </x:c>
      <x:c r="N277" s="7" t="str">
        <x:v>C05E_TT10_LK_BC1.SLDPRT</x:v>
      </x:c>
    </x:row>
    <x:row r="278" ht="34" customHeight="1">
      <x:c r="B278" s="7" t="n">
        <x:v>272</x:v>
      </x:c>
      <x:c r="C278" s="7" t="str">
        <x:v>TT10_LK_BC2</x:v>
      </x:c>
      <x:c r="D278" s="7" t="str">
        <x:v>TornilloM6x258.8; cabeza nominal, fijador de rosca y apriete por montaje</x:v>
      </x:c>
      <x:c r="E278" s="7" t="n">
        <x:v>2</x:v>
      </x:c>
      <x:c r="F278" s="7" t="str">
        <x:v>Clase 8.8 / ISO 898-1</x:v>
      </x:c>
      <x:c r="G278" s="7" t="str">
        <x:v>Comercial</x:v>
      </x:c>
      <x:c r="H278" s="9" t="n">
        <x:v>0.0000011780972450961135</x:v>
      </x:c>
      <x:c r="I278" s="7" t="n">
        <x:v>7850</x:v>
      </x:c>
      <x:c r="J278" s="14" t="n">
        <x:f>H278*I278</x:f>
        <x:v>0.009248063374004491</x:v>
      </x:c>
      <x:c r="K278" s="14" t="n">
        <x:f>IF(ISNUMBER(J278),E278*J278,"n/d")</x:f>
        <x:v>0.018496126748008983</x:v>
      </x:c>
      <x:c r="L278" s="7" t="str">
        <x:v>CAD_volume_x_specified_density</x:v>
      </x:c>
      <x:c r="M278" s="7" t="str">
        <x:v>BOM y montaje TT10_C05_PC_01; sin plano individual</x:v>
      </x:c>
      <x:c r="N278" s="7" t="str">
        <x:v>C05E_TT10_LK_BC2.SLDPRT</x:v>
      </x:c>
    </x:row>
    <x:row r="279" ht="34" customHeight="1">
      <x:c r="B279" s="7" t="n">
        <x:v>273</x:v>
      </x:c>
      <x:c r="C279" s="7" t="str">
        <x:v>TT10_LK_BC3</x:v>
      </x:c>
      <x:c r="D279" s="7" t="str">
        <x:v>TornilloM6x258.8; cabeza nominal, fijador de rosca y apriete por montaje</x:v>
      </x:c>
      <x:c r="E279" s="7" t="n">
        <x:v>2</x:v>
      </x:c>
      <x:c r="F279" s="7" t="str">
        <x:v>Clase 8.8 / ISO 898-1</x:v>
      </x:c>
      <x:c r="G279" s="7" t="str">
        <x:v>Comercial</x:v>
      </x:c>
      <x:c r="H279" s="9" t="n">
        <x:v>0.0000011780972450961135</x:v>
      </x:c>
      <x:c r="I279" s="7" t="n">
        <x:v>7850</x:v>
      </x:c>
      <x:c r="J279" s="14" t="n">
        <x:f>H279*I279</x:f>
        <x:v>0.009248063374004491</x:v>
      </x:c>
      <x:c r="K279" s="14" t="n">
        <x:f>IF(ISNUMBER(J279),E279*J279,"n/d")</x:f>
        <x:v>0.018496126748008983</x:v>
      </x:c>
      <x:c r="L279" s="7" t="str">
        <x:v>CAD_volume_x_specified_density</x:v>
      </x:c>
      <x:c r="M279" s="7" t="str">
        <x:v>BOM y montaje TT10_C05_PC_01; sin plano individual</x:v>
      </x:c>
      <x:c r="N279" s="7" t="str">
        <x:v>C05E_TT10_LK_BC3.SLDPRT</x:v>
      </x:c>
    </x:row>
    <x:row r="280" ht="34" customHeight="1">
      <x:c r="B280" s="7" t="n">
        <x:v>274</x:v>
      </x:c>
      <x:c r="C280" s="7" t="str">
        <x:v>TT10_LK_BL0</x:v>
      </x:c>
      <x:c r="D280" s="7" t="str">
        <x:v>TornilloM6x908.8; cabeza nominal, fijador de rosca y apriete por montaje</x:v>
      </x:c>
      <x:c r="E280" s="7" t="n">
        <x:v>2</x:v>
      </x:c>
      <x:c r="F280" s="7" t="str">
        <x:v>Clase 8.8 / ISO 898-1</x:v>
      </x:c>
      <x:c r="G280" s="7" t="str">
        <x:v>Comercial</x:v>
      </x:c>
      <x:c r="H280" s="9" t="n">
        <x:v>0.0000030159289474463083</x:v>
      </x:c>
      <x:c r="I280" s="7" t="n">
        <x:v>7850</x:v>
      </x:c>
      <x:c r="J280" s="14" t="n">
        <x:f>H280*I280</x:f>
        <x:v>0.02367504223745352</x:v>
      </x:c>
      <x:c r="K280" s="14" t="n">
        <x:f>IF(ISNUMBER(J280),E280*J280,"n/d")</x:f>
        <x:v>0.04735008447490704</x:v>
      </x:c>
      <x:c r="L280" s="7" t="str">
        <x:v>CAD_volume_x_specified_density</x:v>
      </x:c>
      <x:c r="M280" s="7" t="str">
        <x:v>BOM y montaje TT10_C05_PC_01; sin plano individual</x:v>
      </x:c>
      <x:c r="N280" s="7" t="str">
        <x:v>C05E_TT10_LK_BL0.SLDPRT</x:v>
      </x:c>
    </x:row>
    <x:row r="281" ht="34" customHeight="1">
      <x:c r="B281" s="7" t="n">
        <x:v>275</x:v>
      </x:c>
      <x:c r="C281" s="7" t="str">
        <x:v>TT10_LK_BS0</x:v>
      </x:c>
      <x:c r="D281" s="7" t="str">
        <x:v>TornilloM10x258.8; cabeza nominal, fijador de rosca y apriete por montaje</x:v>
      </x:c>
      <x:c r="E281" s="7" t="n">
        <x:v>2</x:v>
      </x:c>
      <x:c r="F281" s="7" t="str">
        <x:v>Clase 8.8 / ISO 898-1</x:v>
      </x:c>
      <x:c r="G281" s="7" t="str">
        <x:v>Comercial</x:v>
      </x:c>
      <x:c r="H281" s="9" t="n">
        <x:v>0.000003974114706791043</x:v>
      </x:c>
      <x:c r="I281" s="7" t="n">
        <x:v>7850</x:v>
      </x:c>
      <x:c r="J281" s="14" t="n">
        <x:f>H281*I281</x:f>
        <x:v>0.031196800448309685</x:v>
      </x:c>
      <x:c r="K281" s="14" t="n">
        <x:f>IF(ISNUMBER(J281),E281*J281,"n/d")</x:f>
        <x:v>0.06239360089661937</x:v>
      </x:c>
      <x:c r="L281" s="7" t="str">
        <x:v>CAD_volume_x_specified_density</x:v>
      </x:c>
      <x:c r="M281" s="7" t="str">
        <x:v>BOM y montaje TT10_C05_PC_01; sin plano individual</x:v>
      </x:c>
      <x:c r="N281" s="7" t="str">
        <x:v>C05E_TT10_LK_BS0.SLDPRT</x:v>
      </x:c>
    </x:row>
    <x:row r="282" ht="34" customHeight="1">
      <x:c r="B282" s="7" t="n">
        <x:v>276</x:v>
      </x:c>
      <x:c r="C282" s="7" t="str">
        <x:v>TT10_LK_BS1</x:v>
      </x:c>
      <x:c r="D282" s="7" t="str">
        <x:v>TornilloM10x258.8; cabeza nominal, fijador de rosca y apriete por montaje</x:v>
      </x:c>
      <x:c r="E282" s="7" t="n">
        <x:v>2</x:v>
      </x:c>
      <x:c r="F282" s="7" t="str">
        <x:v>Clase 8.8 / ISO 898-1</x:v>
      </x:c>
      <x:c r="G282" s="7" t="str">
        <x:v>Comercial</x:v>
      </x:c>
      <x:c r="H282" s="9" t="n">
        <x:v>0.000003974114706791043</x:v>
      </x:c>
      <x:c r="I282" s="7" t="n">
        <x:v>7850</x:v>
      </x:c>
      <x:c r="J282" s="14" t="n">
        <x:f>H282*I282</x:f>
        <x:v>0.031196800448309685</x:v>
      </x:c>
      <x:c r="K282" s="14" t="n">
        <x:f>IF(ISNUMBER(J282),E282*J282,"n/d")</x:f>
        <x:v>0.06239360089661937</x:v>
      </x:c>
      <x:c r="L282" s="7" t="str">
        <x:v>CAD_volume_x_specified_density</x:v>
      </x:c>
      <x:c r="M282" s="7" t="str">
        <x:v>BOM y montaje TT10_C05_PC_01; sin plano individual</x:v>
      </x:c>
      <x:c r="N282" s="7" t="str">
        <x:v>C05E_TT10_LK_BS1.SLDPRT</x:v>
      </x:c>
    </x:row>
    <x:row r="283" ht="34" customHeight="1">
      <x:c r="B283" s="7" t="n">
        <x:v>277</x:v>
      </x:c>
      <x:c r="C283" s="7" t="str">
        <x:v>TT10_LK_BS2</x:v>
      </x:c>
      <x:c r="D283" s="7" t="str">
        <x:v>TornilloM10x258.8; cabeza nominal, fijador de rosca y apriete por montaje</x:v>
      </x:c>
      <x:c r="E283" s="7" t="n">
        <x:v>2</x:v>
      </x:c>
      <x:c r="F283" s="7" t="str">
        <x:v>Clase 8.8 / ISO 898-1</x:v>
      </x:c>
      <x:c r="G283" s="7" t="str">
        <x:v>Comercial</x:v>
      </x:c>
      <x:c r="H283" s="9" t="n">
        <x:v>0.000003974114706791043</x:v>
      </x:c>
      <x:c r="I283" s="7" t="n">
        <x:v>7850</x:v>
      </x:c>
      <x:c r="J283" s="14" t="n">
        <x:f>H283*I283</x:f>
        <x:v>0.031196800448309685</x:v>
      </x:c>
      <x:c r="K283" s="14" t="n">
        <x:f>IF(ISNUMBER(J283),E283*J283,"n/d")</x:f>
        <x:v>0.06239360089661937</x:v>
      </x:c>
      <x:c r="L283" s="7" t="str">
        <x:v>CAD_volume_x_specified_density</x:v>
      </x:c>
      <x:c r="M283" s="7" t="str">
        <x:v>BOM y montaje TT10_C05_PC_01; sin plano individual</x:v>
      </x:c>
      <x:c r="N283" s="7" t="str">
        <x:v>C05E_TT10_LK_BS2.SLDPRT</x:v>
      </x:c>
    </x:row>
    <x:row r="284" ht="34" customHeight="1">
      <x:c r="B284" s="7" t="n">
        <x:v>278</x:v>
      </x:c>
      <x:c r="C284" s="7" t="str">
        <x:v>TT10_LK_BS3</x:v>
      </x:c>
      <x:c r="D284" s="7" t="str">
        <x:v>TornilloM10x258.8; cabeza nominal, fijador de rosca y apriete por montaje</x:v>
      </x:c>
      <x:c r="E284" s="7" t="n">
        <x:v>2</x:v>
      </x:c>
      <x:c r="F284" s="7" t="str">
        <x:v>Clase 8.8 / ISO 898-1</x:v>
      </x:c>
      <x:c r="G284" s="7" t="str">
        <x:v>Comercial</x:v>
      </x:c>
      <x:c r="H284" s="9" t="n">
        <x:v>0.000003974114706791043</x:v>
      </x:c>
      <x:c r="I284" s="7" t="n">
        <x:v>7850</x:v>
      </x:c>
      <x:c r="J284" s="14" t="n">
        <x:f>H284*I284</x:f>
        <x:v>0.031196800448309685</x:v>
      </x:c>
      <x:c r="K284" s="14" t="n">
        <x:f>IF(ISNUMBER(J284),E284*J284,"n/d")</x:f>
        <x:v>0.06239360089661937</x:v>
      </x:c>
      <x:c r="L284" s="7" t="str">
        <x:v>CAD_volume_x_specified_density</x:v>
      </x:c>
      <x:c r="M284" s="7" t="str">
        <x:v>BOM y montaje TT10_C05_PC_01; sin plano individual</x:v>
      </x:c>
      <x:c r="N284" s="7" t="str">
        <x:v>C05E_TT10_LK_BS3.SLDPRT</x:v>
      </x:c>
    </x:row>
    <x:row r="285" ht="34" customHeight="1">
      <x:c r="B285" s="7" t="n">
        <x:v>279</x:v>
      </x:c>
      <x:c r="C285" s="7" t="str">
        <x:v>TT10_LK_BSE0</x:v>
      </x:c>
      <x:c r="D285" s="7" t="str">
        <x:v>TornilloISO4762 M6x20 8.8;5.4mm de rosca en guia, fijador y apriete4Nm</x:v>
      </x:c>
      <x:c r="E285" s="7" t="n">
        <x:v>2</x:v>
      </x:c>
      <x:c r="F285" s="7" t="str">
        <x:v>Clase 8.8 / ISO 898-1</x:v>
      </x:c>
      <x:c r="G285" s="7" t="str">
        <x:v>Comercial</x:v>
      </x:c>
      <x:c r="H285" s="9" t="n">
        <x:v>0.0000010367255756844792</x:v>
      </x:c>
      <x:c r="I285" s="7" t="n">
        <x:v>7850</x:v>
      </x:c>
      <x:c r="J285" s="14" t="n">
        <x:f>H285*I285</x:f>
        <x:v>0.008138295769123161</x:v>
      </x:c>
      <x:c r="K285" s="14" t="n">
        <x:f>IF(ISNUMBER(J285),E285*J285,"n/d")</x:f>
        <x:v>0.016276591538246322</x:v>
      </x:c>
      <x:c r="L285" s="7" t="str">
        <x:v>CAD_volume_x_specified_density</x:v>
      </x:c>
      <x:c r="M285" s="7" t="str">
        <x:v>BOM y montaje TT10_C05_PC_01; sin plano individual</x:v>
      </x:c>
      <x:c r="N285" s="7" t="str">
        <x:v>C05E_TT10_LK_BSE0.SLDPRT</x:v>
      </x:c>
    </x:row>
    <x:row r="286" ht="34" customHeight="1">
      <x:c r="B286" s="7" t="n">
        <x:v>280</x:v>
      </x:c>
      <x:c r="C286" s="7" t="str">
        <x:v>TT10_LK_BSE1</x:v>
      </x:c>
      <x:c r="D286" s="7" t="str">
        <x:v>TornilloISO4762 M6x20 8.8;5.4mm de rosca en guia, fijador y apriete4Nm</x:v>
      </x:c>
      <x:c r="E286" s="7" t="n">
        <x:v>2</x:v>
      </x:c>
      <x:c r="F286" s="7" t="str">
        <x:v>Clase 8.8 / ISO 898-1</x:v>
      </x:c>
      <x:c r="G286" s="7" t="str">
        <x:v>Comercial</x:v>
      </x:c>
      <x:c r="H286" s="9" t="n">
        <x:v>0.0000010367255756844792</x:v>
      </x:c>
      <x:c r="I286" s="7" t="n">
        <x:v>7850</x:v>
      </x:c>
      <x:c r="J286" s="14" t="n">
        <x:f>H286*I286</x:f>
        <x:v>0.008138295769123161</x:v>
      </x:c>
      <x:c r="K286" s="14" t="n">
        <x:f>IF(ISNUMBER(J286),E286*J286,"n/d")</x:f>
        <x:v>0.016276591538246322</x:v>
      </x:c>
      <x:c r="L286" s="7" t="str">
        <x:v>CAD_volume_x_specified_density</x:v>
      </x:c>
      <x:c r="M286" s="7" t="str">
        <x:v>BOM y montaje TT10_C05_PC_01; sin plano individual</x:v>
      </x:c>
      <x:c r="N286" s="7" t="str">
        <x:v>C05E_TT10_LK_BSE1.SLDPRT</x:v>
      </x:c>
    </x:row>
    <x:row r="287" ht="34" customHeight="1">
      <x:c r="B287" s="7" t="n">
        <x:v>281</x:v>
      </x:c>
      <x:c r="C287" s="7" t="str">
        <x:v>TT10_LK_GTCA100</x:v>
      </x:c>
      <x:c r="D287" s="7" t="str">
        <x:v>Magnet-Schultz GTCA100X43A02,24V,S1: envolvente e interfaces publicadas; no CAD oficial</x:v>
      </x:c>
      <x:c r="E287" s="7" t="n">
        <x:v>2</x:v>
      </x:c>
      <x:c r="F287" s="7" t="str">
        <x:v>Equipo comercial condicional; polvo desconocido</x:v>
      </x:c>
      <x:c r="G287" s="7" t="str">
        <x:v>Comercial</x:v>
      </x:c>
      <x:c r="H287" s="9" t="n">
        <x:v>0.000714261504221217</x:v>
      </x:c>
      <x:c r="I287" s="7"/>
      <x:c r="J287" s="14" t="str">
        <x:v>n/d</x:v>
      </x:c>
      <x:c r="K287" s="14" t="str">
        <x:f>IF(ISNUMBER(J287),E287*J287,"n/d")</x:f>
        <x:v>n/d</x:v>
      </x:c>
      <x:c r="L287" s="7" t="str">
        <x:v>OEM_mass_required</x:v>
      </x:c>
      <x:c r="M287" s="7" t="str">
        <x:v>BOM y montaje TT10_C05_PC_01; sin plano individual</x:v>
      </x:c>
      <x:c r="N287" s="7" t="str">
        <x:v>C05E_TT10_LK_GTCA100.SLDPRT</x:v>
      </x:c>
    </x:row>
    <x:row r="288" ht="34" customHeight="1">
      <x:c r="B288" s="7" t="n">
        <x:v>282</x:v>
      </x:c>
      <x:c r="C288" s="7" t="str">
        <x:v>TT10_LK_GUIA</x:v>
      </x:c>
      <x:c r="D288" s="7" t="str">
        <x:v>Pestillo: guia abierta20.4x20.4, brazo25x42, pie80x12; asiento solenoide110/88</x:v>
      </x:c>
      <x:c r="E288" s="7" t="n">
        <x:v>2</x:v>
      </x:c>
      <x:c r="F288" s="7" t="str">
        <x:v>ASTM A36</x:v>
      </x:c>
      <x:c r="G288" s="7" t="str">
        <x:v>Fabricación</x:v>
      </x:c>
      <x:c r="H288" s="9" t="n">
        <x:v>0.0006062745221228457</x:v>
      </x:c>
      <x:c r="I288" s="7" t="n">
        <x:v>7849.999999999999</x:v>
      </x:c>
      <x:c r="J288" s="14" t="n">
        <x:f>H288*I288</x:f>
        <x:v>4.759254998664338</x:v>
      </x:c>
      <x:c r="K288" s="14" t="n">
        <x:f>IF(ISNUMBER(J288),E288*J288,"n/d")</x:f>
        <x:v>9.518509997328676</x:v>
      </x:c>
      <x:c r="L288" s="7" t="str">
        <x:v>CAD_volume_x_specified_density</x:v>
      </x:c>
      <x:c r="M288" s="7" t="str">
        <x:v>Plano de conjunto / detalle funcional: TT10_C05_PC_14</x:v>
      </x:c>
      <x:c r="N288" s="7" t="str">
        <x:v>C05E_TT10_LK_GUIA.SLDPRT</x:v>
      </x:c>
    </x:row>
    <x:row r="289" ht="34" customHeight="1">
      <x:c r="B289" s="7" t="n">
        <x:v>283</x:v>
      </x:c>
      <x:c r="C289" s="7" t="str">
        <x:v>TT10_LK_LAMINA</x:v>
      </x:c>
      <x:c r="D289" s="7" t="str">
        <x:v>Resorte de lamina20x1.8, longitud activa330, precarga equivalente50mm; forma instalada; horquillaU R6.5, sin esquina interna recta</x:v>
      </x:c>
      <x:c r="E289" s="7" t="n">
        <x:v>2</x:v>
      </x:c>
      <x:c r="F289" s="7" t="str">
        <x:v>51CrV4 templado/revenido; Rp0.2≥1000MPa,Rm≥1250MPa; superficie y fatiga por verificar</x:v>
      </x:c>
      <x:c r="G289" s="7" t="str">
        <x:v>Fabricación</x:v>
      </x:c>
      <x:c r="H289" s="9" t="n">
        <x:v>0.000011870898137643607</x:v>
      </x:c>
      <x:c r="I289" s="7" t="n">
        <x:v>7850</x:v>
      </x:c>
      <x:c r="J289" s="14" t="n">
        <x:f>H289*I289</x:f>
        <x:v>0.09318655038050232</x:v>
      </x:c>
      <x:c r="K289" s="14" t="n">
        <x:f>IF(ISNUMBER(J289),E289*J289,"n/d")</x:f>
        <x:v>0.18637310076100463</x:v>
      </x:c>
      <x:c r="L289" s="7" t="str">
        <x:v>CAD_volume_x_specified_density</x:v>
      </x:c>
      <x:c r="M289" s="7" t="str">
        <x:v>Plano de conjunto / detalle funcional: TT10_C05_PC_14</x:v>
      </x:c>
      <x:c r="N289" s="7" t="str">
        <x:v>C05E_TT10_LK_LAMINA.SLDPRT</x:v>
      </x:c>
    </x:row>
    <x:row r="290" ht="34" customHeight="1">
      <x:c r="B290" s="7" t="n">
        <x:v>284</x:v>
      </x:c>
      <x:c r="C290" s="7" t="str">
        <x:v>TT10_LK_MORDAZA_LAMINA</x:v>
      </x:c>
      <x:c r="D290" s="7" t="str">
        <x:v>Mordaza30x20x9.1 para resorte; no soldar ni taladrar zona activa de la lamina</x:v>
      </x:c>
      <x:c r="E290" s="7" t="n">
        <x:v>2</x:v>
      </x:c>
      <x:c r="F290" s="7" t="str">
        <x:v>ASTM A36</x:v>
      </x:c>
      <x:c r="G290" s="7" t="str">
        <x:v>Fabricación</x:v>
      </x:c>
      <x:c r="H290" s="9" t="n">
        <x:v>0.0000051580340411276704</x:v>
      </x:c>
      <x:c r="I290" s="7" t="n">
        <x:v>7850</x:v>
      </x:c>
      <x:c r="J290" s="14" t="n">
        <x:f>H290*I290</x:f>
        <x:v>0.040490567222852214</x:v>
      </x:c>
      <x:c r="K290" s="14" t="n">
        <x:f>IF(ISNUMBER(J290),E290*J290,"n/d")</x:f>
        <x:v>0.08098113444570443</x:v>
      </x:c>
      <x:c r="L290" s="7" t="str">
        <x:v>CAD_volume_x_specified_density</x:v>
      </x:c>
      <x:c r="M290" s="7" t="str">
        <x:v>Plano de conjunto / detalle funcional: TT10_C05_PC_14</x:v>
      </x:c>
      <x:c r="N290" s="7" t="str">
        <x:v>C05E_TT10_LK_MORDAZA_LAMINA.SLDPRT</x:v>
      </x:c>
    </x:row>
    <x:row r="291" ht="34" customHeight="1">
      <x:c r="B291" s="7" t="n">
        <x:v>285</x:v>
      </x:c>
      <x:c r="C291" s="7" t="str">
        <x:v>TT10_LK_NL0</x:v>
      </x:c>
      <x:c r="D291" s="7" t="str">
        <x:v>TuercaM6clase8, retencion positiva segun montaje</x:v>
      </x:c>
      <x:c r="E291" s="7" t="n">
        <x:v>2</x:v>
      </x:c>
      <x:c r="F291" s="7" t="str">
        <x:v>Tuerca clase 8 / ISO 898-2</x:v>
      </x:c>
      <x:c r="G291" s="7" t="str">
        <x:v>Comercial</x:v>
      </x:c>
      <x:c r="H291" s="9" t="n">
        <x:v>2.916410324806648e-7</x:v>
      </x:c>
      <x:c r="I291" s="7" t="n">
        <x:v>7850</x:v>
      </x:c>
      <x:c r="J291" s="14" t="n">
        <x:f>H291*I291</x:f>
        <x:v>0.002289382104973219</x:v>
      </x:c>
      <x:c r="K291" s="14" t="n">
        <x:f>IF(ISNUMBER(J291),E291*J291,"n/d")</x:f>
        <x:v>0.004578764209946438</x:v>
      </x:c>
      <x:c r="L291" s="7" t="str">
        <x:v>CAD_volume_x_specified_density</x:v>
      </x:c>
      <x:c r="M291" s="7" t="str">
        <x:v>BOM y montaje TT10_C05_PC_01; sin plano individual</x:v>
      </x:c>
      <x:c r="N291" s="7" t="str">
        <x:v>C05E_TT10_LK_NL0.SLDPRT</x:v>
      </x:c>
    </x:row>
    <x:row r="292" ht="34" customHeight="1">
      <x:c r="B292" s="7" t="n">
        <x:v>286</x:v>
      </x:c>
      <x:c r="C292" s="7" t="str">
        <x:v>TT10_LK_NT</x:v>
      </x:c>
      <x:c r="D292" s="7" t="str">
        <x:v>TuercaM6clase8, retencion positiva segun montaje</x:v>
      </x:c>
      <x:c r="E292" s="7" t="n">
        <x:v>2</x:v>
      </x:c>
      <x:c r="F292" s="7" t="str">
        <x:v>Tuerca clase 8 / ISO 898-2</x:v>
      </x:c>
      <x:c r="G292" s="7" t="str">
        <x:v>Comercial</x:v>
      </x:c>
      <x:c r="H292" s="9" t="n">
        <x:v>2.916410324806917e-7</x:v>
      </x:c>
      <x:c r="I292" s="7" t="n">
        <x:v>7850</x:v>
      </x:c>
      <x:c r="J292" s="14" t="n">
        <x:f>H292*I292</x:f>
        <x:v>0.0022893821049734297</x:v>
      </x:c>
      <x:c r="K292" s="14" t="n">
        <x:f>IF(ISNUMBER(J292),E292*J292,"n/d")</x:f>
        <x:v>0.004578764209946859</x:v>
      </x:c>
      <x:c r="L292" s="7" t="str">
        <x:v>CAD_volume_x_specified_density</x:v>
      </x:c>
      <x:c r="M292" s="7" t="str">
        <x:v>BOM y montaje TT10_C05_PC_01; sin plano individual</x:v>
      </x:c>
      <x:c r="N292" s="7" t="str">
        <x:v>C05E_TT10_LK_NT.SLDPRT</x:v>
      </x:c>
    </x:row>
    <x:row r="293" ht="34" customHeight="1">
      <x:c r="B293" s="7" t="n">
        <x:v>287</x:v>
      </x:c>
      <x:c r="C293" s="7" t="str">
        <x:v>TT10_LK_PESTILLO</x:v>
      </x:c>
      <x:c r="D293" s="7" t="str">
        <x:v>Pestillo42CrMo4+QT, punta20x20, enganche radial nominal9mm, retirada25mm; M12 liberacion</x:v>
      </x:c>
      <x:c r="E293" s="7" t="n">
        <x:v>2</x:v>
      </x:c>
      <x:c r="F293" s="7" t="str">
        <x:v>AISI 4140 bonificado</x:v>
      </x:c>
      <x:c r="G293" s="7" t="str">
        <x:v>Fabricación</x:v>
      </x:c>
      <x:c r="H293" s="9" t="n">
        <x:v>0.000029513148394046136</x:v>
      </x:c>
      <x:c r="I293" s="7" t="n">
        <x:v>7850</x:v>
      </x:c>
      <x:c r="J293" s="14" t="n">
        <x:f>H293*I293</x:f>
        <x:v>0.23167821489326215</x:v>
      </x:c>
      <x:c r="K293" s="14" t="n">
        <x:f>IF(ISNUMBER(J293),E293*J293,"n/d")</x:f>
        <x:v>0.4633564297865243</x:v>
      </x:c>
      <x:c r="L293" s="7" t="str">
        <x:v>CAD_volume_x_specified_density</x:v>
      </x:c>
      <x:c r="M293" s="7" t="str">
        <x:v>Plano de conjunto / detalle funcional: TT10_C05_PC_14</x:v>
      </x:c>
      <x:c r="N293" s="7" t="str">
        <x:v>C05E_TT10_LK_PESTILLO.SLDPRT</x:v>
      </x:c>
    </x:row>
    <x:row r="294" ht="34" customHeight="1">
      <x:c r="B294" s="7" t="n">
        <x:v>288</x:v>
      </x:c>
      <x:c r="C294" s="7" t="str">
        <x:v>TT10_LK_SENSOR</x:v>
      </x:c>
      <x:c r="D294" s="7" t="str">
        <x:v>ifmIE5338: sensor ordinarioPNP de enganche; M8x1, cara Y22, entrehierro nominal1mm</x:v>
      </x:c>
      <x:c r="E294" s="7" t="n">
        <x:v>2</x:v>
      </x:c>
      <x:c r="F294" s="7" t="str">
        <x:v>Sensor comercial; materiales según referencia OEM</x:v>
      </x:c>
      <x:c r="G294" s="7" t="str">
        <x:v>Comercial</x:v>
      </x:c>
      <x:c r="H294" s="9" t="n">
        <x:v>0.000002779361784554525</x:v>
      </x:c>
      <x:c r="I294" s="7"/>
      <x:c r="J294" s="14" t="str">
        <x:v>n/d</x:v>
      </x:c>
      <x:c r="K294" s="14" t="str">
        <x:f>IF(ISNUMBER(J294),E294*J294,"n/d")</x:f>
        <x:v>n/d</x:v>
      </x:c>
      <x:c r="L294" s="7" t="str">
        <x:v>OEM_mass_required</x:v>
      </x:c>
      <x:c r="M294" s="7" t="str">
        <x:v>BOM y montaje TT10_C05_PC_01; sin plano individual</x:v>
      </x:c>
      <x:c r="N294" s="7" t="str">
        <x:v>C05E_TT10_LK_SENSOR.SLDPRT</x:v>
      </x:c>
    </x:row>
    <x:row r="295" ht="34" customHeight="1">
      <x:c r="B295" s="7" t="n">
        <x:v>289</x:v>
      </x:c>
      <x:c r="C295" s="7" t="str">
        <x:v>TT10_LK_SOP_SENSOR</x:v>
      </x:c>
      <x:c r="D295" s="7" t="str">
        <x:v>Soporte desmontable: sensor a cara real del pestillo; dosM6x20, sin soldar a la guia</x:v>
      </x:c>
      <x:c r="E295" s="7" t="n">
        <x:v>2</x:v>
      </x:c>
      <x:c r="F295" s="7" t="str">
        <x:v>ASTM A36</x:v>
      </x:c>
      <x:c r="G295" s="7" t="str">
        <x:v>Fabricación</x:v>
      </x:c>
      <x:c r="H295" s="9" t="n">
        <x:v>0.000012356770013675474</x:v>
      </x:c>
      <x:c r="I295" s="7" t="n">
        <x:v>7850</x:v>
      </x:c>
      <x:c r="J295" s="14" t="n">
        <x:f>H295*I295</x:f>
        <x:v>0.09700064460735247</x:v>
      </x:c>
      <x:c r="K295" s="14" t="n">
        <x:f>IF(ISNUMBER(J295),E295*J295,"n/d")</x:f>
        <x:v>0.19400128921470494</x:v>
      </x:c>
      <x:c r="L295" s="7" t="str">
        <x:v>CAD_volume_x_specified_density</x:v>
      </x:c>
      <x:c r="M295" s="7" t="str">
        <x:v>Plano de conjunto / detalle funcional: TT10_C05_PC_14</x:v>
      </x:c>
      <x:c r="N295" s="7" t="str">
        <x:v>C05E_TT10_LK_SOP_SENSOR.SLDPRT</x:v>
      </x:c>
    </x:row>
    <x:row r="296" ht="34" customHeight="1">
      <x:c r="B296" s="7" t="n">
        <x:v>290</x:v>
      </x:c>
      <x:c r="C296" s="7" t="str">
        <x:v>TT10_LK_TAPA</x:v>
      </x:c>
      <x:c r="D296" s="7" t="str">
        <x:v>Tapa de guia desmontable; tornillo de recorrido y fijaciones de tapa pendientes de comprobacion</x:v>
      </x:c>
      <x:c r="E296" s="7" t="n">
        <x:v>2</x:v>
      </x:c>
      <x:c r="F296" s="7" t="str">
        <x:v>Clase 8.8 / ISO 898-1</x:v>
      </x:c>
      <x:c r="G296" s="7" t="str">
        <x:v>Comercial</x:v>
      </x:c>
      <x:c r="H296" s="9" t="n">
        <x:v>0.000038993645085268586</x:v>
      </x:c>
      <x:c r="I296" s="7" t="n">
        <x:v>7850</x:v>
      </x:c>
      <x:c r="J296" s="14" t="n">
        <x:f>H296*I296</x:f>
        <x:v>0.3061001139193584</x:v>
      </x:c>
      <x:c r="K296" s="14" t="n">
        <x:f>IF(ISNUMBER(J296),E296*J296,"n/d")</x:f>
        <x:v>0.6122002278387167</x:v>
      </x:c>
      <x:c r="L296" s="7" t="str">
        <x:v>CAD_volume_x_specified_density</x:v>
      </x:c>
      <x:c r="M296" s="7" t="str">
        <x:v>BOM y montaje TT10_C05_PC_01; sin plano individual</x:v>
      </x:c>
      <x:c r="N296" s="7" t="str">
        <x:v>C05E_TT10_LK_TAPA.SLDPRT</x:v>
      </x:c>
    </x:row>
    <x:row r="297" ht="34" customHeight="1">
      <x:c r="B297" s="7" t="n">
        <x:v>291</x:v>
      </x:c>
      <x:c r="C297" s="7" t="str">
        <x:v>TT10_LK_TIRANTE</x:v>
      </x:c>
      <x:c r="D297" s="7" t="str">
        <x:v>TiranteM12 nominal entre pestillo y solenoide; longitud ajustable, conexion OEM por verificar</x:v>
      </x:c>
      <x:c r="E297" s="7" t="n">
        <x:v>2</x:v>
      </x:c>
      <x:c r="F297" s="7" t="str">
        <x:v>ASTM A36</x:v>
      </x:c>
      <x:c r="G297" s="7" t="str">
        <x:v>Fabricación</x:v>
      </x:c>
      <x:c r="H297" s="9" t="n">
        <x:v>0.000008595397500221061</x:v>
      </x:c>
      <x:c r="I297" s="7" t="n">
        <x:v>7850</x:v>
      </x:c>
      <x:c r="J297" s="14" t="n">
        <x:f>H297*I297</x:f>
        <x:v>0.06747387037673533</x:v>
      </x:c>
      <x:c r="K297" s="14" t="n">
        <x:f>IF(ISNUMBER(J297),E297*J297,"n/d")</x:f>
        <x:v>0.13494774075347066</x:v>
      </x:c>
      <x:c r="L297" s="7" t="str">
        <x:v>CAD_volume_x_specified_density</x:v>
      </x:c>
      <x:c r="M297" s="7" t="str">
        <x:v>Plano de conjunto / detalle funcional: TT10_C05_PC_14</x:v>
      </x:c>
      <x:c r="N297" s="7" t="str">
        <x:v>C05E_TT10_LK_TIRANTE.SLDPRT</x:v>
      </x:c>
    </x:row>
    <x:row r="298" ht="34" customHeight="1">
      <x:c r="B298" s="7" t="n">
        <x:v>292</x:v>
      </x:c>
      <x:c r="C298" s="7" t="str">
        <x:v>TT10_LK_TOPE</x:v>
      </x:c>
      <x:c r="D298" s="7" t="str">
        <x:v>Tornillo de hombroD8, paso de recorrido; conexion roscada nominal pendiente de detalle</x:v>
      </x:c>
      <x:c r="E298" s="7" t="n">
        <x:v>2</x:v>
      </x:c>
      <x:c r="F298" s="7" t="str">
        <x:v>Clase 10.9 / ISO 898-1</x:v>
      </x:c>
      <x:c r="G298" s="7" t="str">
        <x:v>Comercial</x:v>
      </x:c>
      <x:c r="H298" s="9" t="n">
        <x:v>0.000003383495287916189</x:v>
      </x:c>
      <x:c r="I298" s="7" t="n">
        <x:v>7850</x:v>
      </x:c>
      <x:c r="J298" s="14" t="n">
        <x:f>H298*I298</x:f>
        <x:v>0.026560438010142084</x:v>
      </x:c>
      <x:c r="K298" s="14" t="n">
        <x:f>IF(ISNUMBER(J298),E298*J298,"n/d")</x:f>
        <x:v>0.05312087602028417</x:v>
      </x:c>
      <x:c r="L298" s="7" t="str">
        <x:v>CAD_volume_x_specified_density</x:v>
      </x:c>
      <x:c r="M298" s="7" t="str">
        <x:v>BOM y montaje TT10_C05_PC_01; sin plano individual</x:v>
      </x:c>
      <x:c r="N298" s="7" t="str">
        <x:v>C05E_TT10_LK_TOPE.SLDPRT</x:v>
      </x:c>
    </x:row>
    <x:row r="299" ht="34" customHeight="1">
      <x:c r="B299" s="7" t="n">
        <x:v>293</x:v>
      </x:c>
      <x:c r="C299" s="7" t="str">
        <x:v>TT10_LK_WC0</x:v>
      </x:c>
      <x:c r="D299" s="7" t="str">
        <x:v>ArandelaD12/d6.4/t1.6</x:v>
      </x:c>
      <x:c r="E299" s="7" t="n">
        <x:v>2</x:v>
      </x:c>
      <x:c r="F299" s="7" t="str">
        <x:v>Arandela endurecida 300 HV / ISO 7089</x:v>
      </x:c>
      <x:c r="G299" s="7" t="str">
        <x:v>Comercial</x:v>
      </x:c>
      <x:c r="H299" s="9" t="n">
        <x:v>1.2948388281031403e-7</x:v>
      </x:c>
      <x:c r="I299" s="7" t="n">
        <x:v>7850</x:v>
      </x:c>
      <x:c r="J299" s="14" t="n">
        <x:f>H299*I299</x:f>
        <x:v>0.0010164484800609652</x:v>
      </x:c>
      <x:c r="K299" s="14" t="n">
        <x:f>IF(ISNUMBER(J299),E299*J299,"n/d")</x:f>
        <x:v>0.0020328969601219305</x:v>
      </x:c>
      <x:c r="L299" s="7" t="str">
        <x:v>CAD_volume_x_specified_density</x:v>
      </x:c>
      <x:c r="M299" s="7" t="str">
        <x:v>BOM y montaje TT10_C05_PC_01; sin plano individual</x:v>
      </x:c>
      <x:c r="N299" s="7" t="str">
        <x:v>C05E_TT10_LK_WC0.SLDPRT</x:v>
      </x:c>
    </x:row>
    <x:row r="300" ht="34" customHeight="1">
      <x:c r="B300" s="7" t="n">
        <x:v>294</x:v>
      </x:c>
      <x:c r="C300" s="7" t="str">
        <x:v>TT10_LK_WC1</x:v>
      </x:c>
      <x:c r="D300" s="7" t="str">
        <x:v>ArandelaD12/d6.4/t1.6</x:v>
      </x:c>
      <x:c r="E300" s="7" t="n">
        <x:v>2</x:v>
      </x:c>
      <x:c r="F300" s="7" t="str">
        <x:v>Arandela endurecida 300 HV / ISO 7089</x:v>
      </x:c>
      <x:c r="G300" s="7" t="str">
        <x:v>Comercial</x:v>
      </x:c>
      <x:c r="H300" s="9" t="n">
        <x:v>1.2948388281031403e-7</x:v>
      </x:c>
      <x:c r="I300" s="7" t="n">
        <x:v>7850</x:v>
      </x:c>
      <x:c r="J300" s="14" t="n">
        <x:f>H300*I300</x:f>
        <x:v>0.0010164484800609652</x:v>
      </x:c>
      <x:c r="K300" s="14" t="n">
        <x:f>IF(ISNUMBER(J300),E300*J300,"n/d")</x:f>
        <x:v>0.0020328969601219305</x:v>
      </x:c>
      <x:c r="L300" s="7" t="str">
        <x:v>CAD_volume_x_specified_density</x:v>
      </x:c>
      <x:c r="M300" s="7" t="str">
        <x:v>BOM y montaje TT10_C05_PC_01; sin plano individual</x:v>
      </x:c>
      <x:c r="N300" s="7" t="str">
        <x:v>C05E_TT10_LK_WC1.SLDPRT</x:v>
      </x:c>
    </x:row>
    <x:row r="301" ht="34" customHeight="1">
      <x:c r="B301" s="7" t="n">
        <x:v>295</x:v>
      </x:c>
      <x:c r="C301" s="7" t="str">
        <x:v>TT10_LK_WC2</x:v>
      </x:c>
      <x:c r="D301" s="7" t="str">
        <x:v>ArandelaD12/d6.4/t1.6</x:v>
      </x:c>
      <x:c r="E301" s="7" t="n">
        <x:v>2</x:v>
      </x:c>
      <x:c r="F301" s="7" t="str">
        <x:v>Arandela endurecida 300 HV / ISO 7089</x:v>
      </x:c>
      <x:c r="G301" s="7" t="str">
        <x:v>Comercial</x:v>
      </x:c>
      <x:c r="H301" s="9" t="n">
        <x:v>1.2948388281030932e-7</x:v>
      </x:c>
      <x:c r="I301" s="7" t="n">
        <x:v>7850</x:v>
      </x:c>
      <x:c r="J301" s="14" t="n">
        <x:f>H301*I301</x:f>
        <x:v>0.0010164484800609282</x:v>
      </x:c>
      <x:c r="K301" s="14" t="n">
        <x:f>IF(ISNUMBER(J301),E301*J301,"n/d")</x:f>
        <x:v>0.0020328969601218563</x:v>
      </x:c>
      <x:c r="L301" s="7" t="str">
        <x:v>CAD_volume_x_specified_density</x:v>
      </x:c>
      <x:c r="M301" s="7" t="str">
        <x:v>BOM y montaje TT10_C05_PC_01; sin plano individual</x:v>
      </x:c>
      <x:c r="N301" s="7" t="str">
        <x:v>C05E_TT10_LK_WC2.SLDPRT</x:v>
      </x:c>
    </x:row>
    <x:row r="302" ht="34" customHeight="1">
      <x:c r="B302" s="7" t="n">
        <x:v>296</x:v>
      </x:c>
      <x:c r="C302" s="7" t="str">
        <x:v>TT10_LK_WC3</x:v>
      </x:c>
      <x:c r="D302" s="7" t="str">
        <x:v>ArandelaD12/d6.4/t1.6</x:v>
      </x:c>
      <x:c r="E302" s="7" t="n">
        <x:v>2</x:v>
      </x:c>
      <x:c r="F302" s="7" t="str">
        <x:v>Arandela endurecida 300 HV / ISO 7089</x:v>
      </x:c>
      <x:c r="G302" s="7" t="str">
        <x:v>Comercial</x:v>
      </x:c>
      <x:c r="H302" s="9" t="n">
        <x:v>1.2948388281030932e-7</x:v>
      </x:c>
      <x:c r="I302" s="7" t="n">
        <x:v>7850</x:v>
      </x:c>
      <x:c r="J302" s="14" t="n">
        <x:f>H302*I302</x:f>
        <x:v>0.0010164484800609282</x:v>
      </x:c>
      <x:c r="K302" s="14" t="n">
        <x:f>IF(ISNUMBER(J302),E302*J302,"n/d")</x:f>
        <x:v>0.0020328969601218563</x:v>
      </x:c>
      <x:c r="L302" s="7" t="str">
        <x:v>CAD_volume_x_specified_density</x:v>
      </x:c>
      <x:c r="M302" s="7" t="str">
        <x:v>BOM y montaje TT10_C05_PC_01; sin plano individual</x:v>
      </x:c>
      <x:c r="N302" s="7" t="str">
        <x:v>C05E_TT10_LK_WC3.SLDPRT</x:v>
      </x:c>
    </x:row>
    <x:row r="303" ht="34" customHeight="1">
      <x:c r="B303" s="7" t="n">
        <x:v>297</x:v>
      </x:c>
      <x:c r="C303" s="7" t="str">
        <x:v>TT10_LK_WL0</x:v>
      </x:c>
      <x:c r="D303" s="7" t="str">
        <x:v>ArandelaD12/d6.4/t1.6</x:v>
      </x:c>
      <x:c r="E303" s="7" t="n">
        <x:v>2</x:v>
      </x:c>
      <x:c r="F303" s="7" t="str">
        <x:v>Arandela endurecida 300 HV / ISO 7089</x:v>
      </x:c>
      <x:c r="G303" s="7" t="str">
        <x:v>Comercial</x:v>
      </x:c>
      <x:c r="H303" s="9" t="n">
        <x:v>1.2948388281033616e-7</x:v>
      </x:c>
      <x:c r="I303" s="7" t="n">
        <x:v>7850</x:v>
      </x:c>
      <x:c r="J303" s="14" t="n">
        <x:f>H303*I303</x:f>
        <x:v>0.001016448480061139</x:v>
      </x:c>
      <x:c r="K303" s="14" t="n">
        <x:f>IF(ISNUMBER(J303),E303*J303,"n/d")</x:f>
        <x:v>0.002032896960122278</x:v>
      </x:c>
      <x:c r="L303" s="7" t="str">
        <x:v>CAD_volume_x_specified_density</x:v>
      </x:c>
      <x:c r="M303" s="7" t="str">
        <x:v>BOM y montaje TT10_C05_PC_01; sin plano individual</x:v>
      </x:c>
      <x:c r="N303" s="7" t="str">
        <x:v>C05E_TT10_LK_WL0.SLDPRT</x:v>
      </x:c>
    </x:row>
    <x:row r="304" ht="34" customHeight="1">
      <x:c r="B304" s="7" t="n">
        <x:v>298</x:v>
      </x:c>
      <x:c r="C304" s="7" t="str">
        <x:v>TT10_LK_WS0</x:v>
      </x:c>
      <x:c r="D304" s="7" t="str">
        <x:v>ArandelaD20/d10.5/t2</x:v>
      </x:c>
      <x:c r="E304" s="7" t="n">
        <x:v>2</x:v>
      </x:c>
      <x:c r="F304" s="7" t="str">
        <x:v>Arandela endurecida 300 HV / ISO 7089</x:v>
      </x:c>
      <x:c r="G304" s="7" t="str">
        <x:v>Comercial</x:v>
      </x:c>
      <x:c r="H304" s="9" t="n">
        <x:v>4.551382356887934e-7</x:v>
      </x:c>
      <x:c r="I304" s="7" t="n">
        <x:v>7850</x:v>
      </x:c>
      <x:c r="J304" s="14" t="n">
        <x:f>H304*I304</x:f>
        <x:v>0.003572835150157028</x:v>
      </x:c>
      <x:c r="K304" s="14" t="n">
        <x:f>IF(ISNUMBER(J304),E304*J304,"n/d")</x:f>
        <x:v>0.007145670300314056</x:v>
      </x:c>
      <x:c r="L304" s="7" t="str">
        <x:v>CAD_volume_x_specified_density</x:v>
      </x:c>
      <x:c r="M304" s="7" t="str">
        <x:v>BOM y montaje TT10_C05_PC_01; sin plano individual</x:v>
      </x:c>
      <x:c r="N304" s="7" t="str">
        <x:v>C05E_TT10_LK_WS0.SLDPRT</x:v>
      </x:c>
    </x:row>
    <x:row r="305" ht="34" customHeight="1">
      <x:c r="B305" s="7" t="n">
        <x:v>299</x:v>
      </x:c>
      <x:c r="C305" s="7" t="str">
        <x:v>TT10_LK_WS1</x:v>
      </x:c>
      <x:c r="D305" s="7" t="str">
        <x:v>ArandelaD20/d10.5/t2</x:v>
      </x:c>
      <x:c r="E305" s="7" t="n">
        <x:v>2</x:v>
      </x:c>
      <x:c r="F305" s="7" t="str">
        <x:v>Arandela endurecida 300 HV / ISO 7089</x:v>
      </x:c>
      <x:c r="G305" s="7" t="str">
        <x:v>Comercial</x:v>
      </x:c>
      <x:c r="H305" s="9" t="n">
        <x:v>4.551382356887934e-7</x:v>
      </x:c>
      <x:c r="I305" s="7" t="n">
        <x:v>7850</x:v>
      </x:c>
      <x:c r="J305" s="14" t="n">
        <x:f>H305*I305</x:f>
        <x:v>0.003572835150157028</x:v>
      </x:c>
      <x:c r="K305" s="14" t="n">
        <x:f>IF(ISNUMBER(J305),E305*J305,"n/d")</x:f>
        <x:v>0.007145670300314056</x:v>
      </x:c>
      <x:c r="L305" s="7" t="str">
        <x:v>CAD_volume_x_specified_density</x:v>
      </x:c>
      <x:c r="M305" s="7" t="str">
        <x:v>BOM y montaje TT10_C05_PC_01; sin plano individual</x:v>
      </x:c>
      <x:c r="N305" s="7" t="str">
        <x:v>C05E_TT10_LK_WS1.SLDPRT</x:v>
      </x:c>
    </x:row>
    <x:row r="306" ht="34" customHeight="1">
      <x:c r="B306" s="7" t="n">
        <x:v>300</x:v>
      </x:c>
      <x:c r="C306" s="7" t="str">
        <x:v>TT10_LK_WS2</x:v>
      </x:c>
      <x:c r="D306" s="7" t="str">
        <x:v>ArandelaD20/d10.5/t2</x:v>
      </x:c>
      <x:c r="E306" s="7" t="n">
        <x:v>2</x:v>
      </x:c>
      <x:c r="F306" s="7" t="str">
        <x:v>Arandela endurecida 300 HV / ISO 7089</x:v>
      </x:c>
      <x:c r="G306" s="7" t="str">
        <x:v>Comercial</x:v>
      </x:c>
      <x:c r="H306" s="9" t="n">
        <x:v>4.551382356887934e-7</x:v>
      </x:c>
      <x:c r="I306" s="7" t="n">
        <x:v>7850</x:v>
      </x:c>
      <x:c r="J306" s="14" t="n">
        <x:f>H306*I306</x:f>
        <x:v>0.003572835150157028</x:v>
      </x:c>
      <x:c r="K306" s="14" t="n">
        <x:f>IF(ISNUMBER(J306),E306*J306,"n/d")</x:f>
        <x:v>0.007145670300314056</x:v>
      </x:c>
      <x:c r="L306" s="7" t="str">
        <x:v>CAD_volume_x_specified_density</x:v>
      </x:c>
      <x:c r="M306" s="7" t="str">
        <x:v>BOM y montaje TT10_C05_PC_01; sin plano individual</x:v>
      </x:c>
      <x:c r="N306" s="7" t="str">
        <x:v>C05E_TT10_LK_WS2.SLDPRT</x:v>
      </x:c>
    </x:row>
    <x:row r="307" ht="34" customHeight="1">
      <x:c r="B307" s="7" t="n">
        <x:v>301</x:v>
      </x:c>
      <x:c r="C307" s="7" t="str">
        <x:v>TT10_LK_WS3</x:v>
      </x:c>
      <x:c r="D307" s="7" t="str">
        <x:v>ArandelaD20/d10.5/t2</x:v>
      </x:c>
      <x:c r="E307" s="7" t="n">
        <x:v>2</x:v>
      </x:c>
      <x:c r="F307" s="7" t="str">
        <x:v>Arandela endurecida 300 HV / ISO 7089</x:v>
      </x:c>
      <x:c r="G307" s="7" t="str">
        <x:v>Comercial</x:v>
      </x:c>
      <x:c r="H307" s="9" t="n">
        <x:v>4.551382356887934e-7</x:v>
      </x:c>
      <x:c r="I307" s="7" t="n">
        <x:v>7850</x:v>
      </x:c>
      <x:c r="J307" s="14" t="n">
        <x:f>H307*I307</x:f>
        <x:v>0.003572835150157028</x:v>
      </x:c>
      <x:c r="K307" s="14" t="n">
        <x:f>IF(ISNUMBER(J307),E307*J307,"n/d")</x:f>
        <x:v>0.007145670300314056</x:v>
      </x:c>
      <x:c r="L307" s="7" t="str">
        <x:v>CAD_volume_x_specified_density</x:v>
      </x:c>
      <x:c r="M307" s="7" t="str">
        <x:v>BOM y montaje TT10_C05_PC_01; sin plano individual</x:v>
      </x:c>
      <x:c r="N307" s="7" t="str">
        <x:v>C05E_TT10_LK_WS3.SLDPRT</x:v>
      </x:c>
    </x:row>
    <x:row r="308" ht="34" customHeight="1">
      <x:c r="B308" s="7" t="n">
        <x:v>302</x:v>
      </x:c>
      <x:c r="C308" s="7" t="str">
        <x:v>TT10_LK_WSE0</x:v>
      </x:c>
      <x:c r="D308" s="7" t="str">
        <x:v>ArandelaISO7089 M6 200HV</x:v>
      </x:c>
      <x:c r="E308" s="7" t="n">
        <x:v>2</x:v>
      </x:c>
      <x:c r="F308" s="7" t="str">
        <x:v>Arandela endurecida 200 HV / ISO 7089</x:v>
      </x:c>
      <x:c r="G308" s="7" t="str">
        <x:v>Comercial</x:v>
      </x:c>
      <x:c r="H308" s="9" t="n">
        <x:v>1.294838828103364e-7</x:v>
      </x:c>
      <x:c r="I308" s="7" t="n">
        <x:v>7850</x:v>
      </x:c>
      <x:c r="J308" s="14" t="n">
        <x:f>H308*I308</x:f>
        <x:v>0.0010164484800611407</x:v>
      </x:c>
      <x:c r="K308" s="14" t="n">
        <x:f>IF(ISNUMBER(J308),E308*J308,"n/d")</x:f>
        <x:v>0.0020328969601222813</x:v>
      </x:c>
      <x:c r="L308" s="7" t="str">
        <x:v>CAD_volume_x_specified_density</x:v>
      </x:c>
      <x:c r="M308" s="7" t="str">
        <x:v>BOM y montaje TT10_C05_PC_01; sin plano individual</x:v>
      </x:c>
      <x:c r="N308" s="7" t="str">
        <x:v>C05E_TT10_LK_WSE0.SLDPRT</x:v>
      </x:c>
    </x:row>
    <x:row r="309" ht="34" customHeight="1">
      <x:c r="B309" s="7" t="n">
        <x:v>303</x:v>
      </x:c>
      <x:c r="C309" s="7" t="str">
        <x:v>TT10_LK_WSE1</x:v>
      </x:c>
      <x:c r="D309" s="7" t="str">
        <x:v>ArandelaISO7089 M6 200HV</x:v>
      </x:c>
      <x:c r="E309" s="7" t="n">
        <x:v>2</x:v>
      </x:c>
      <x:c r="F309" s="7" t="str">
        <x:v>Arandela endurecida 200 HV / ISO 7089</x:v>
      </x:c>
      <x:c r="G309" s="7" t="str">
        <x:v>Comercial</x:v>
      </x:c>
      <x:c r="H309" s="9" t="n">
        <x:v>1.294838828103364e-7</x:v>
      </x:c>
      <x:c r="I309" s="7" t="n">
        <x:v>7850</x:v>
      </x:c>
      <x:c r="J309" s="14" t="n">
        <x:f>H309*I309</x:f>
        <x:v>0.0010164484800611407</x:v>
      </x:c>
      <x:c r="K309" s="14" t="n">
        <x:f>IF(ISNUMBER(J309),E309*J309,"n/d")</x:f>
        <x:v>0.0020328969601222813</x:v>
      </x:c>
      <x:c r="L309" s="7" t="str">
        <x:v>CAD_volume_x_specified_density</x:v>
      </x:c>
      <x:c r="M309" s="7" t="str">
        <x:v>BOM y montaje TT10_C05_PC_01; sin plano individual</x:v>
      </x:c>
      <x:c r="N309" s="7" t="str">
        <x:v>C05E_TT10_LK_WSE1.SLDPRT</x:v>
      </x:c>
    </x:row>
    <x:row r="310" ht="34" customHeight="1">
      <x:c r="B310" s="7" t="n">
        <x:v>304</x:v>
      </x:c>
      <x:c r="C310" s="7" t="str">
        <x:v>TT10_LK_WT</x:v>
      </x:c>
      <x:c r="D310" s="7" t="str">
        <x:v>ArandelaD12/d6.4/t1.6</x:v>
      </x:c>
      <x:c r="E310" s="7" t="n">
        <x:v>2</x:v>
      </x:c>
      <x:c r="F310" s="7" t="str">
        <x:v>Arandela endurecida 300 HV / ISO 7089</x:v>
      </x:c>
      <x:c r="G310" s="7" t="str">
        <x:v>Comercial</x:v>
      </x:c>
      <x:c r="H310" s="9" t="n">
        <x:v>1.2948388281034635e-7</x:v>
      </x:c>
      <x:c r="I310" s="7" t="n">
        <x:v>7850</x:v>
      </x:c>
      <x:c r="J310" s="14" t="n">
        <x:f>H310*I310</x:f>
        <x:v>0.001016448480061219</x:v>
      </x:c>
      <x:c r="K310" s="14" t="n">
        <x:f>IF(ISNUMBER(J310),E310*J310,"n/d")</x:f>
        <x:v>0.002032896960122438</x:v>
      </x:c>
      <x:c r="L310" s="7" t="str">
        <x:v>CAD_volume_x_specified_density</x:v>
      </x:c>
      <x:c r="M310" s="7" t="str">
        <x:v>BOM y montaje TT10_C05_PC_01; sin plano individual</x:v>
      </x:c>
      <x:c r="N310" s="7" t="str">
        <x:v>C05E_TT10_LK_WT.SLDPRT</x:v>
      </x:c>
    </x:row>
    <x:row r="311" ht="34" customHeight="1">
      <x:c r="B311" s="7" t="n">
        <x:v>305</x:v>
      </x:c>
      <x:c r="C311" s="7" t="str">
        <x:v>TT10_M006</x:v>
      </x:c>
      <x:c r="D311" s="7" t="str">
        <x:v>Perfil tubular 200 x 150 x 10; L 2200</x:v>
      </x:c>
      <x:c r="E311" s="7" t="n">
        <x:v>1</x:v>
      </x:c>
      <x:c r="F311" s="7" t="str">
        <x:v>S275J0H / EN 10219-1</x:v>
      </x:c>
      <x:c r="G311" s="7" t="str">
        <x:v>Fabricación</x:v>
      </x:c>
      <x:c r="H311" s="9" t="n">
        <x:v>0.014520000000000066</x:v>
      </x:c>
      <x:c r="I311" s="7" t="n">
        <x:v>7850</x:v>
      </x:c>
      <x:c r="J311" s="14" t="n">
        <x:f>H311*I311</x:f>
        <x:v>113.98200000000051</x:v>
      </x:c>
      <x:c r="K311" s="14" t="n">
        <x:f>IF(ISNUMBER(J311),E311*J311,"n/d")</x:f>
        <x:v>113.98200000000051</x:v>
      </x:c>
      <x:c r="L311" s="7" t="str">
        <x:v>CAD_volume_x_specified_density</x:v>
      </x:c>
      <x:c r="M311" s="7" t="str">
        <x:v>Plano de conjunto / detalle funcional: TT10_C05_PC_05</x:v>
      </x:c>
      <x:c r="N311" s="7" t="str">
        <x:v>C05E_TT10_M006.SLDPRT</x:v>
      </x:c>
    </x:row>
    <x:row r="312" ht="34" customHeight="1">
      <x:c r="B312" s="7" t="n">
        <x:v>306</x:v>
      </x:c>
      <x:c r="C312" s="7" t="str">
        <x:v>TT10_M011</x:v>
      </x:c>
      <x:c r="D312" s="7" t="str">
        <x:v>Perfil tubular 200 x 150 x 10; L 2200</x:v>
      </x:c>
      <x:c r="E312" s="7" t="n">
        <x:v>1</x:v>
      </x:c>
      <x:c r="F312" s="7" t="str">
        <x:v>S275J0H / EN 10219-1</x:v>
      </x:c>
      <x:c r="G312" s="7" t="str">
        <x:v>Fabricación</x:v>
      </x:c>
      <x:c r="H312" s="9" t="n">
        <x:v>0.014520000000000066</x:v>
      </x:c>
      <x:c r="I312" s="7" t="n">
        <x:v>7850</x:v>
      </x:c>
      <x:c r="J312" s="14" t="n">
        <x:f>H312*I312</x:f>
        <x:v>113.98200000000051</x:v>
      </x:c>
      <x:c r="K312" s="14" t="n">
        <x:f>IF(ISNUMBER(J312),E312*J312,"n/d")</x:f>
        <x:v>113.98200000000051</x:v>
      </x:c>
      <x:c r="L312" s="7" t="str">
        <x:v>CAD_volume_x_specified_density</x:v>
      </x:c>
      <x:c r="M312" s="7" t="str">
        <x:v>Plano de conjunto / detalle funcional: TT10_C05_PC_05</x:v>
      </x:c>
      <x:c r="N312" s="7" t="str">
        <x:v>C05E_TT10_M011.SLDPRT</x:v>
      </x:c>
    </x:row>
    <x:row r="313" ht="34" customHeight="1">
      <x:c r="B313" s="7" t="n">
        <x:v>307</x:v>
      </x:c>
      <x:c r="C313" s="7" t="str">
        <x:v>TT10_M016</x:v>
      </x:c>
      <x:c r="D313" s="7" t="str">
        <x:v>Perfil tubular 150 x 100 x 8; L 4800</x:v>
      </x:c>
      <x:c r="E313" s="7" t="n">
        <x:v>1</x:v>
      </x:c>
      <x:c r="F313" s="7" t="str">
        <x:v>S275J0H / EN 10219-1</x:v>
      </x:c>
      <x:c r="G313" s="7" t="str">
        <x:v>Fabricación</x:v>
      </x:c>
      <x:c r="H313" s="9" t="n">
        <x:v>0.017971199999999993</x:v>
      </x:c>
      <x:c r="I313" s="7" t="n">
        <x:v>7849.999999999999</x:v>
      </x:c>
      <x:c r="J313" s="14" t="n">
        <x:f>H313*I313</x:f>
        <x:v>141.07391999999993</x:v>
      </x:c>
      <x:c r="K313" s="14" t="n">
        <x:f>IF(ISNUMBER(J313),E313*J313,"n/d")</x:f>
        <x:v>141.07391999999993</x:v>
      </x:c>
      <x:c r="L313" s="7" t="str">
        <x:v>CAD_volume_x_specified_density</x:v>
      </x:c>
      <x:c r="M313" s="7" t="str">
        <x:v>Plano de conjunto / detalle funcional: TT10_C05_PC_05</x:v>
      </x:c>
      <x:c r="N313" s="7" t="str">
        <x:v>C05E_TT10_M016.SLDPRT</x:v>
      </x:c>
    </x:row>
    <x:row r="314" ht="34" customHeight="1">
      <x:c r="B314" s="7" t="n">
        <x:v>308</x:v>
      </x:c>
      <x:c r="C314" s="7" t="str">
        <x:v>TT10_M021</x:v>
      </x:c>
      <x:c r="D314" s="7" t="str">
        <x:v>Perfil tubular 200 x 150 x 10; L 2200</x:v>
      </x:c>
      <x:c r="E314" s="7" t="n">
        <x:v>1</x:v>
      </x:c>
      <x:c r="F314" s="7" t="str">
        <x:v>S275J0H / EN 10219-1</x:v>
      </x:c>
      <x:c r="G314" s="7" t="str">
        <x:v>Fabricación</x:v>
      </x:c>
      <x:c r="H314" s="9" t="n">
        <x:v>0.014520000000000066</x:v>
      </x:c>
      <x:c r="I314" s="7" t="n">
        <x:v>7850</x:v>
      </x:c>
      <x:c r="J314" s="14" t="n">
        <x:f>H314*I314</x:f>
        <x:v>113.98200000000051</x:v>
      </x:c>
      <x:c r="K314" s="14" t="n">
        <x:f>IF(ISNUMBER(J314),E314*J314,"n/d")</x:f>
        <x:v>113.98200000000051</x:v>
      </x:c>
      <x:c r="L314" s="7" t="str">
        <x:v>CAD_volume_x_specified_density</x:v>
      </x:c>
      <x:c r="M314" s="7" t="str">
        <x:v>Plano de conjunto / detalle funcional: TT10_C05_PC_05</x:v>
      </x:c>
      <x:c r="N314" s="7" t="str">
        <x:v>C05E_TT10_M021.SLDPRT</x:v>
      </x:c>
    </x:row>
    <x:row r="315" ht="34" customHeight="1">
      <x:c r="B315" s="7" t="n">
        <x:v>309</x:v>
      </x:c>
      <x:c r="C315" s="7" t="str">
        <x:v>TT10_M026</x:v>
      </x:c>
      <x:c r="D315" s="7" t="str">
        <x:v>Perfil tubular 150 x 100 x 8; L 3600</x:v>
      </x:c>
      <x:c r="E315" s="7" t="n">
        <x:v>1</x:v>
      </x:c>
      <x:c r="F315" s="7" t="str">
        <x:v>S275J0H / EN 10219-1</x:v>
      </x:c>
      <x:c r="G315" s="7" t="str">
        <x:v>Fabricación</x:v>
      </x:c>
      <x:c r="H315" s="9" t="n">
        <x:v>0.013478400000000005</x:v>
      </x:c>
      <x:c r="I315" s="7" t="n">
        <x:v>7849.999999999999</x:v>
      </x:c>
      <x:c r="J315" s="14" t="n">
        <x:f>H315*I315</x:f>
        <x:v>105.80544000000003</x:v>
      </x:c>
      <x:c r="K315" s="14" t="n">
        <x:f>IF(ISNUMBER(J315),E315*J315,"n/d")</x:f>
        <x:v>105.80544000000003</x:v>
      </x:c>
      <x:c r="L315" s="7" t="str">
        <x:v>CAD_volume_x_specified_density</x:v>
      </x:c>
      <x:c r="M315" s="7" t="str">
        <x:v>Plano de conjunto / detalle funcional: TT10_C05_PC_05</x:v>
      </x:c>
      <x:c r="N315" s="7" t="str">
        <x:v>C05E_TT10_M026.SLDPRT</x:v>
      </x:c>
    </x:row>
    <x:row r="316" ht="34" customHeight="1">
      <x:c r="B316" s="7" t="n">
        <x:v>310</x:v>
      </x:c>
      <x:c r="C316" s="7" t="str">
        <x:v>TT10_M031</x:v>
      </x:c>
      <x:c r="D316" s="7" t="str">
        <x:v>Pieza TT10_M031</x:v>
      </x:c>
      <x:c r="E316" s="7" t="n">
        <x:v>1</x:v>
      </x:c>
      <x:c r="F316" s="7" t="str">
        <x:v>ASTM A36</x:v>
      </x:c>
      <x:c r="G316" s="7" t="str">
        <x:v>Fabricación</x:v>
      </x:c>
      <x:c r="H316" s="9" t="n">
        <x:v>0.002331737629523022</x:v>
      </x:c>
      <x:c r="I316" s="7" t="n">
        <x:v>7849.999999999999</x:v>
      </x:c>
      <x:c r="J316" s="14" t="n">
        <x:f>H316*I316</x:f>
        <x:v>18.304140391755723</x:v>
      </x:c>
      <x:c r="K316" s="14" t="n">
        <x:f>IF(ISNUMBER(J316),E316*J316,"n/d")</x:f>
        <x:v>18.304140391755723</x:v>
      </x:c>
      <x:c r="L316" s="7" t="str">
        <x:v>CAD_volume_x_specified_density</x:v>
      </x:c>
      <x:c r="M316" s="7" t="str">
        <x:v>Plano de conjunto / detalle funcional: TT10_C05_PC_07</x:v>
      </x:c>
      <x:c r="N316" s="7" t="str">
        <x:v>C05E_TT10_M031.SLDPRT</x:v>
      </x:c>
    </x:row>
    <x:row r="317" ht="34" customHeight="1">
      <x:c r="B317" s="7" t="n">
        <x:v>311</x:v>
      </x:c>
      <x:c r="C317" s="7" t="str">
        <x:v>TT10_M036</x:v>
      </x:c>
      <x:c r="D317" s="7" t="str">
        <x:v>Pieza TT10_M036</x:v>
      </x:c>
      <x:c r="E317" s="7" t="n">
        <x:v>1</x:v>
      </x:c>
      <x:c r="F317" s="7" t="str">
        <x:v>ASTM A36</x:v>
      </x:c>
      <x:c r="G317" s="7" t="str">
        <x:v>Fabricación</x:v>
      </x:c>
      <x:c r="H317" s="9" t="n">
        <x:v>0.002303999999999904</x:v>
      </x:c>
      <x:c r="I317" s="7" t="n">
        <x:v>7850</x:v>
      </x:c>
      <x:c r="J317" s="14" t="n">
        <x:f>H317*I317</x:f>
        <x:v>18.086399999999248</x:v>
      </x:c>
      <x:c r="K317" s="14" t="n">
        <x:f>IF(ISNUMBER(J317),E317*J317,"n/d")</x:f>
        <x:v>18.086399999999248</x:v>
      </x:c>
      <x:c r="L317" s="7" t="str">
        <x:v>CAD_volume_x_specified_density</x:v>
      </x:c>
      <x:c r="M317" s="7" t="str">
        <x:v>Plano de conjunto / detalle funcional: TT10_C05_PC_06</x:v>
      </x:c>
      <x:c r="N317" s="7" t="str">
        <x:v>C05E_TT10_M036.SLDPRT</x:v>
      </x:c>
    </x:row>
    <x:row r="318" ht="34" customHeight="1">
      <x:c r="B318" s="7" t="n">
        <x:v>312</x:v>
      </x:c>
      <x:c r="C318" s="7" t="str">
        <x:v>TT10_M041</x:v>
      </x:c>
      <x:c r="D318" s="7" t="str">
        <x:v>Perfil tubular 200 x 150 x 10; L 2200</x:v>
      </x:c>
      <x:c r="E318" s="7" t="n">
        <x:v>1</x:v>
      </x:c>
      <x:c r="F318" s="7" t="str">
        <x:v>S275J0H / EN 10219-1</x:v>
      </x:c>
      <x:c r="G318" s="7" t="str">
        <x:v>Fabricación</x:v>
      </x:c>
      <x:c r="H318" s="9" t="n">
        <x:v>0.014520000000000066</x:v>
      </x:c>
      <x:c r="I318" s="7" t="n">
        <x:v>7850</x:v>
      </x:c>
      <x:c r="J318" s="14" t="n">
        <x:f>H318*I318</x:f>
        <x:v>113.98200000000051</x:v>
      </x:c>
      <x:c r="K318" s="14" t="n">
        <x:f>IF(ISNUMBER(J318),E318*J318,"n/d")</x:f>
        <x:v>113.98200000000051</x:v>
      </x:c>
      <x:c r="L318" s="7" t="str">
        <x:v>CAD_volume_x_specified_density</x:v>
      </x:c>
      <x:c r="M318" s="7" t="str">
        <x:v>Plano de conjunto / detalle funcional: TT10_C05_PC_05</x:v>
      </x:c>
      <x:c r="N318" s="7" t="str">
        <x:v>C05E_TT10_M041.SLDPRT</x:v>
      </x:c>
    </x:row>
    <x:row r="319" ht="34" customHeight="1">
      <x:c r="B319" s="7" t="n">
        <x:v>313</x:v>
      </x:c>
      <x:c r="C319" s="7" t="str">
        <x:v>TT10_M046</x:v>
      </x:c>
      <x:c r="D319" s="7" t="str">
        <x:v>Perfil tubular 400 x 200 x 16; L 5600</x:v>
      </x:c>
      <x:c r="E319" s="7" t="n">
        <x:v>1</x:v>
      </x:c>
      <x:c r="F319" s="7" t="str">
        <x:v>S275J0H / EN 10219-1</x:v>
      </x:c>
      <x:c r="G319" s="7" t="str">
        <x:v>Fabricación</x:v>
      </x:c>
      <x:c r="H319" s="9" t="n">
        <x:v>0.10178559999999917</x:v>
      </x:c>
      <x:c r="I319" s="7" t="n">
        <x:v>7849.999999999999</x:v>
      </x:c>
      <x:c r="J319" s="14" t="n">
        <x:f>H319*I319</x:f>
        <x:v>799.0169599999934</x:v>
      </x:c>
      <x:c r="K319" s="14" t="n">
        <x:f>IF(ISNUMBER(J319),E319*J319,"n/d")</x:f>
        <x:v>799.0169599999934</x:v>
      </x:c>
      <x:c r="L319" s="7" t="str">
        <x:v>CAD_volume_x_specified_density</x:v>
      </x:c>
      <x:c r="M319" s="7" t="str">
        <x:v>Plano de conjunto / detalle funcional: TT10_C05_PC_05</x:v>
      </x:c>
      <x:c r="N319" s="7" t="str">
        <x:v>C05E_TT10_M046.SLDPRT</x:v>
      </x:c>
    </x:row>
    <x:row r="320" ht="34" customHeight="1">
      <x:c r="B320" s="7" t="n">
        <x:v>314</x:v>
      </x:c>
      <x:c r="C320" s="7" t="str">
        <x:v>TT10_M051</x:v>
      </x:c>
      <x:c r="D320" s="7" t="str">
        <x:v>Pieza TT10_M051</x:v>
      </x:c>
      <x:c r="E320" s="7" t="n">
        <x:v>1</x:v>
      </x:c>
      <x:c r="F320" s="7" t="str">
        <x:v>ASTM A36</x:v>
      </x:c>
      <x:c r="G320" s="7" t="str">
        <x:v>Fabricación</x:v>
      </x:c>
      <x:c r="H320" s="9" t="n">
        <x:v>0.002307894740067224</x:v>
      </x:c>
      <x:c r="I320" s="7" t="n">
        <x:v>7850</x:v>
      </x:c>
      <x:c r="J320" s="14" t="n">
        <x:f>H320*I320</x:f>
        <x:v>18.11697370952771</x:v>
      </x:c>
      <x:c r="K320" s="14" t="n">
        <x:f>IF(ISNUMBER(J320),E320*J320,"n/d")</x:f>
        <x:v>18.11697370952771</x:v>
      </x:c>
      <x:c r="L320" s="7" t="str">
        <x:v>CAD_volume_x_specified_density</x:v>
      </x:c>
      <x:c r="M320" s="7" t="str">
        <x:v>Plano de conjunto / detalle funcional: TT10_C05_PC_07</x:v>
      </x:c>
      <x:c r="N320" s="7" t="str">
        <x:v>C05E_TT10_M051.SLDPRT</x:v>
      </x:c>
    </x:row>
    <x:row r="321" ht="34" customHeight="1">
      <x:c r="B321" s="7" t="n">
        <x:v>315</x:v>
      </x:c>
      <x:c r="C321" s="7" t="str">
        <x:v>TT10_M056</x:v>
      </x:c>
      <x:c r="D321" s="7" t="str">
        <x:v>Cama elastomérica25 perforada para casquillos limitadores</x:v>
      </x:c>
      <x:c r="E321" s="7" t="n">
        <x:v>1</x:v>
      </x:c>
      <x:c r="F321" s="7" t="str">
        <x:v>Elastómero; curva dinámica de compresión por definir</x:v>
      </x:c>
      <x:c r="G321" s="7" t="str">
        <x:v>Fabricación</x:v>
      </x:c>
      <x:c r="H321" s="9" t="n">
        <x:v>0.041631128330588865</x:v>
      </x:c>
      <x:c r="I321" s="7" t="n">
        <x:v>1150</x:v>
      </x:c>
      <x:c r="J321" s="14" t="n">
        <x:f>H321*I321</x:f>
        <x:v>47.87579758017719</x:v>
      </x:c>
      <x:c r="K321" s="14" t="n">
        <x:f>IF(ISNUMBER(J321),E321*J321,"n/d")</x:f>
        <x:v>47.87579758017719</x:v>
      </x:c>
      <x:c r="L321" s="7" t="str">
        <x:v>CAD_volume_x_specified_density</x:v>
      </x:c>
      <x:c r="M321" s="7" t="str">
        <x:v>Plano de conjunto / detalle funcional: TT10_C05_PC_08</x:v>
      </x:c>
      <x:c r="N321" s="7" t="str">
        <x:v>C05E_TT10_M056.SLDPRT</x:v>
      </x:c>
    </x:row>
    <x:row r="322" ht="34" customHeight="1">
      <x:c r="B322" s="7" t="n">
        <x:v>316</x:v>
      </x:c>
      <x:c r="C322" s="7" t="str">
        <x:v>TT10_M061</x:v>
      </x:c>
      <x:c r="D322" s="7" t="str">
        <x:v>Pieza TT10_M061</x:v>
      </x:c>
      <x:c r="E322" s="7" t="n">
        <x:v>1</x:v>
      </x:c>
      <x:c r="F322" s="7" t="str">
        <x:v>ASTM A36</x:v>
      </x:c>
      <x:c r="G322" s="7" t="str">
        <x:v>Fabricación</x:v>
      </x:c>
      <x:c r="H322" s="9" t="n">
        <x:v>0.0024607720092424384</x:v>
      </x:c>
      <x:c r="I322" s="7" t="n">
        <x:v>7850.000000000001</x:v>
      </x:c>
      <x:c r="J322" s="14" t="n">
        <x:f>H322*I322</x:f>
        <x:v>19.317060272553142</x:v>
      </x:c>
      <x:c r="K322" s="14" t="n">
        <x:f>IF(ISNUMBER(J322),E322*J322,"n/d")</x:f>
        <x:v>19.317060272553142</x:v>
      </x:c>
      <x:c r="L322" s="7" t="str">
        <x:v>CAD_volume_x_specified_density</x:v>
      </x:c>
      <x:c r="M322" s="7" t="str">
        <x:v>Plano de conjunto / detalle funcional: TT10_C05_PC_06</x:v>
      </x:c>
      <x:c r="N322" s="7" t="str">
        <x:v>C05E_TT10_M061.SLDPRT</x:v>
      </x:c>
    </x:row>
    <x:row r="323" ht="34" customHeight="1">
      <x:c r="B323" s="7" t="n">
        <x:v>317</x:v>
      </x:c>
      <x:c r="C323" s="7" t="str">
        <x:v>TT10_M066</x:v>
      </x:c>
      <x:c r="D323" s="7" t="str">
        <x:v>Pieza TT10_M066</x:v>
      </x:c>
      <x:c r="E323" s="7" t="n">
        <x:v>1</x:v>
      </x:c>
      <x:c r="F323" s="7" t="str">
        <x:v>ASTM A36</x:v>
      </x:c>
      <x:c r="G323" s="7" t="str">
        <x:v>Fabricación</x:v>
      </x:c>
      <x:c r="H323" s="9" t="n">
        <x:v>0.0023392665460274372</x:v>
      </x:c>
      <x:c r="I323" s="7" t="n">
        <x:v>7849.999999999999</x:v>
      </x:c>
      <x:c r="J323" s="14" t="n">
        <x:f>H323*I323</x:f>
        <x:v>18.36324238631538</x:v>
      </x:c>
      <x:c r="K323" s="14" t="n">
        <x:f>IF(ISNUMBER(J323),E323*J323,"n/d")</x:f>
        <x:v>18.36324238631538</x:v>
      </x:c>
      <x:c r="L323" s="7" t="str">
        <x:v>CAD_volume_x_specified_density</x:v>
      </x:c>
      <x:c r="M323" s="7" t="str">
        <x:v>Plano de conjunto / detalle funcional: TT10_C05_PC_06</x:v>
      </x:c>
      <x:c r="N323" s="7" t="str">
        <x:v>C05E_TT10_M066.SLDPRT</x:v>
      </x:c>
    </x:row>
    <x:row r="324" ht="34" customHeight="1">
      <x:c r="B324" s="7" t="n">
        <x:v>318</x:v>
      </x:c>
      <x:c r="C324" s="7" t="str">
        <x:v>TT10_M071</x:v>
      </x:c>
      <x:c r="D324" s="7" t="str">
        <x:v>Pieza TT10_M071</x:v>
      </x:c>
      <x:c r="E324" s="7" t="n">
        <x:v>1</x:v>
      </x:c>
      <x:c r="F324" s="7" t="str">
        <x:v>ASTM A36</x:v>
      </x:c>
      <x:c r="G324" s="7" t="str">
        <x:v>Fabricación</x:v>
      </x:c>
      <x:c r="H324" s="9" t="n">
        <x:v>0.0023040000000005166</x:v>
      </x:c>
      <x:c r="I324" s="7" t="n">
        <x:v>7850</x:v>
      </x:c>
      <x:c r="J324" s="14" t="n">
        <x:f>H324*I324</x:f>
        <x:v>18.086400000004055</x:v>
      </x:c>
      <x:c r="K324" s="14" t="n">
        <x:f>IF(ISNUMBER(J324),E324*J324,"n/d")</x:f>
        <x:v>18.086400000004055</x:v>
      </x:c>
      <x:c r="L324" s="7" t="str">
        <x:v>CAD_volume_x_specified_density</x:v>
      </x:c>
      <x:c r="M324" s="7" t="str">
        <x:v>Plano de conjunto / detalle funcional: TT10_C05_PC_07</x:v>
      </x:c>
      <x:c r="N324" s="7" t="str">
        <x:v>C05E_TT10_M071.SLDPRT</x:v>
      </x:c>
    </x:row>
    <x:row r="325" ht="34" customHeight="1">
      <x:c r="B325" s="7" t="n">
        <x:v>319</x:v>
      </x:c>
      <x:c r="C325" s="7" t="str">
        <x:v>TT10_M076</x:v>
      </x:c>
      <x:c r="D325" s="7" t="str">
        <x:v>Muñón forjado integral con brida550, hombro220, asiento200, R3 y retención exterior</x:v>
      </x:c>
      <x:c r="E325" s="7" t="n">
        <x:v>1</x:v>
      </x:c>
      <x:c r="F325" s="7" t="str">
        <x:v>AISI 4140 bonificado</x:v>
      </x:c>
      <x:c r="G325" s="7" t="str">
        <x:v>Fabricación</x:v>
      </x:c>
      <x:c r="H325" s="9" t="n">
        <x:v>0.04037263062958077</x:v>
      </x:c>
      <x:c r="I325" s="7" t="n">
        <x:v>7850</x:v>
      </x:c>
      <x:c r="J325" s="14" t="n">
        <x:f>H325*I325</x:f>
        <x:v>316.92515044220903</x:v>
      </x:c>
      <x:c r="K325" s="14" t="n">
        <x:f>IF(ISNUMBER(J325),E325*J325,"n/d")</x:f>
        <x:v>316.92515044220903</x:v>
      </x:c>
      <x:c r="L325" s="7" t="str">
        <x:v>CAD_volume_x_specified_density</x:v>
      </x:c>
      <x:c r="M325" s="7" t="str">
        <x:v>Plano de conjunto / detalle funcional: TT10_C05_PC_09</x:v>
      </x:c>
      <x:c r="N325" s="7" t="str">
        <x:v>C05E_TT10_M076.SLDPRT</x:v>
      </x:c>
    </x:row>
    <x:row r="326" ht="34" customHeight="1">
      <x:c r="B326" s="7" t="n">
        <x:v>320</x:v>
      </x:c>
      <x:c r="C326" s="7" t="str">
        <x:v>TT10_M081</x:v>
      </x:c>
      <x:c r="D326" s="7" t="str">
        <x:v>Pieza TT10_M081</x:v>
      </x:c>
      <x:c r="E326" s="7" t="n">
        <x:v>1</x:v>
      </x:c>
      <x:c r="F326" s="7" t="str">
        <x:v>ASTM A36</x:v>
      </x:c>
      <x:c r="G326" s="7" t="str">
        <x:v>Fabricación</x:v>
      </x:c>
      <x:c r="H326" s="9" t="n">
        <x:v>0.0023747773477555923</x:v>
      </x:c>
      <x:c r="I326" s="7" t="n">
        <x:v>7849.999999999999</x:v>
      </x:c>
      <x:c r="J326" s="14" t="n">
        <x:f>H326*I326</x:f>
        <x:v>18.6420021798814</x:v>
      </x:c>
      <x:c r="K326" s="14" t="n">
        <x:f>IF(ISNUMBER(J326),E326*J326,"n/d")</x:f>
        <x:v>18.6420021798814</x:v>
      </x:c>
      <x:c r="L326" s="7" t="str">
        <x:v>CAD_volume_x_specified_density</x:v>
      </x:c>
      <x:c r="M326" s="7" t="str">
        <x:v>Plano de conjunto / detalle funcional: TT10_C05_PC_07</x:v>
      </x:c>
      <x:c r="N326" s="7" t="str">
        <x:v>C05E_TT10_M081.SLDPRT</x:v>
      </x:c>
    </x:row>
    <x:row r="327" ht="34" customHeight="1">
      <x:c r="B327" s="7" t="n">
        <x:v>321</x:v>
      </x:c>
      <x:c r="C327" s="7" t="str">
        <x:v>TT10_M086</x:v>
      </x:c>
      <x:c r="D327" s="7" t="str">
        <x:v>Muñón forjado integral con brida550, hombro220, asiento200, R3 y retención exterior</x:v>
      </x:c>
      <x:c r="E327" s="7" t="n">
        <x:v>1</x:v>
      </x:c>
      <x:c r="F327" s="7" t="str">
        <x:v>AISI 4140 bonificado</x:v>
      </x:c>
      <x:c r="G327" s="7" t="str">
        <x:v>Fabricación</x:v>
      </x:c>
      <x:c r="H327" s="9" t="n">
        <x:v>0.040372630629580776</x:v>
      </x:c>
      <x:c r="I327" s="7" t="n">
        <x:v>7850</x:v>
      </x:c>
      <x:c r="J327" s="14" t="n">
        <x:f>H327*I327</x:f>
        <x:v>316.9251504422091</x:v>
      </x:c>
      <x:c r="K327" s="14" t="n">
        <x:f>IF(ISNUMBER(J327),E327*J327,"n/d")</x:f>
        <x:v>316.9251504422091</x:v>
      </x:c>
      <x:c r="L327" s="7" t="str">
        <x:v>CAD_volume_x_specified_density</x:v>
      </x:c>
      <x:c r="M327" s="7" t="str">
        <x:v>Plano de conjunto / detalle funcional: TT10_C05_PC_09</x:v>
      </x:c>
      <x:c r="N327" s="7" t="str">
        <x:v>C05E_TT10_M086.SLDPRT</x:v>
      </x:c>
    </x:row>
    <x:row r="328" ht="34" customHeight="1">
      <x:c r="B328" s="7" t="n">
        <x:v>322</x:v>
      </x:c>
      <x:c r="C328" s="7" t="str">
        <x:v>TT10_M091</x:v>
      </x:c>
      <x:c r="D328" s="7" t="str">
        <x:v>Pieza TT10_M091</x:v>
      </x:c>
      <x:c r="E328" s="7" t="n">
        <x:v>1</x:v>
      </x:c>
      <x:c r="F328" s="7" t="str">
        <x:v>ASTM A36</x:v>
      </x:c>
      <x:c r="G328" s="7" t="str">
        <x:v>Fabricación</x:v>
      </x:c>
      <x:c r="H328" s="9" t="n">
        <x:v>0.00233926654602662</x:v>
      </x:c>
      <x:c r="I328" s="7" t="n">
        <x:v>7850</x:v>
      </x:c>
      <x:c r="J328" s="14" t="n">
        <x:f>H328*I328</x:f>
        <x:v>18.36324238630897</x:v>
      </x:c>
      <x:c r="K328" s="14" t="n">
        <x:f>IF(ISNUMBER(J328),E328*J328,"n/d")</x:f>
        <x:v>18.36324238630897</x:v>
      </x:c>
      <x:c r="L328" s="7" t="str">
        <x:v>CAD_volume_x_specified_density</x:v>
      </x:c>
      <x:c r="M328" s="7" t="str">
        <x:v>Plano de conjunto / detalle funcional: TT10_C05_PC_06</x:v>
      </x:c>
      <x:c r="N328" s="7" t="str">
        <x:v>C05E_TT10_M091.SLDPRT</x:v>
      </x:c>
    </x:row>
    <x:row r="329" ht="34" customHeight="1">
      <x:c r="B329" s="7" t="n">
        <x:v>323</x:v>
      </x:c>
      <x:c r="C329" s="7" t="str">
        <x:v>TT10_M096</x:v>
      </x:c>
      <x:c r="D329" s="7" t="str">
        <x:v>Pieza TT10_M096</x:v>
      </x:c>
      <x:c r="E329" s="7" t="n">
        <x:v>1</x:v>
      </x:c>
      <x:c r="F329" s="7" t="str">
        <x:v>ASTM A36</x:v>
      </x:c>
      <x:c r="G329" s="7" t="str">
        <x:v>Fabricación</x:v>
      </x:c>
      <x:c r="H329" s="9" t="n">
        <x:v>0.002307894740067638</x:v>
      </x:c>
      <x:c r="I329" s="7" t="n">
        <x:v>7850</x:v>
      </x:c>
      <x:c r="J329" s="14" t="n">
        <x:f>H329*I329</x:f>
        <x:v>18.116973709530956</x:v>
      </x:c>
      <x:c r="K329" s="14" t="n">
        <x:f>IF(ISNUMBER(J329),E329*J329,"n/d")</x:f>
        <x:v>18.116973709530956</x:v>
      </x:c>
      <x:c r="L329" s="7" t="str">
        <x:v>CAD_volume_x_specified_density</x:v>
      </x:c>
      <x:c r="M329" s="7" t="str">
        <x:v>Plano de conjunto / detalle funcional: TT10_C05_PC_07</x:v>
      </x:c>
      <x:c r="N329" s="7" t="str">
        <x:v>C05E_TT10_M096.SLDPRT</x:v>
      </x:c>
    </x:row>
    <x:row r="330" ht="34" customHeight="1">
      <x:c r="B330" s="7" t="n">
        <x:v>324</x:v>
      </x:c>
      <x:c r="C330" s="7" t="str">
        <x:v>TT10_M101</x:v>
      </x:c>
      <x:c r="D330" s="7" t="str">
        <x:v>Perfil tubular 200 x 100 x 10; L 250</x:v>
      </x:c>
      <x:c r="E330" s="7" t="n">
        <x:v>1</x:v>
      </x:c>
      <x:c r="F330" s="7" t="str">
        <x:v>S275J0H / EN 10219-1</x:v>
      </x:c>
      <x:c r="G330" s="7" t="str">
        <x:v>Fabricación</x:v>
      </x:c>
      <x:c r="H330" s="9" t="n">
        <x:v>0.0014000000000000872</x:v>
      </x:c>
      <x:c r="I330" s="7" t="n">
        <x:v>7850</x:v>
      </x:c>
      <x:c r="J330" s="14" t="n">
        <x:f>H330*I330</x:f>
        <x:v>10.990000000000684</x:v>
      </x:c>
      <x:c r="K330" s="14" t="n">
        <x:f>IF(ISNUMBER(J330),E330*J330,"n/d")</x:f>
        <x:v>10.990000000000684</x:v>
      </x:c>
      <x:c r="L330" s="7" t="str">
        <x:v>CAD_volume_x_specified_density</x:v>
      </x:c>
      <x:c r="M330" s="7" t="str">
        <x:v>Plano de conjunto / detalle funcional: TT10_C05_PC_05</x:v>
      </x:c>
      <x:c r="N330" s="7" t="str">
        <x:v>C05E_TT10_M101.SLDPRT</x:v>
      </x:c>
    </x:row>
    <x:row r="331" ht="34" customHeight="1">
      <x:c r="B331" s="7" t="n">
        <x:v>325</x:v>
      </x:c>
      <x:c r="C331" s="7" t="str">
        <x:v>TT10_M106</x:v>
      </x:c>
      <x:c r="D331" s="7" t="str">
        <x:v>Contraplaca80 con doce M30 ciegas78 PCD450, apriete desde exterior</x:v>
      </x:c>
      <x:c r="E331" s="7" t="n">
        <x:v>1</x:v>
      </x:c>
      <x:c r="F331" s="7" t="str">
        <x:v>ASTM A36</x:v>
      </x:c>
      <x:c r="G331" s="7" t="str">
        <x:v>Fabricación</x:v>
      </x:c>
      <x:c r="H331" s="9" t="n">
        <x:v>0.025625106464282146</x:v>
      </x:c>
      <x:c r="I331" s="7" t="n">
        <x:v>7850</x:v>
      </x:c>
      <x:c r="J331" s="14" t="n">
        <x:f>H331*I331</x:f>
        <x:v>201.15708574461485</x:v>
      </x:c>
      <x:c r="K331" s="14" t="n">
        <x:f>IF(ISNUMBER(J331),E331*J331,"n/d")</x:f>
        <x:v>201.15708574461485</x:v>
      </x:c>
      <x:c r="L331" s="7" t="str">
        <x:v>CAD_volume_x_specified_density</x:v>
      </x:c>
      <x:c r="M331" s="7" t="str">
        <x:v>Plano de conjunto / detalle funcional: TT10_C05_PC_09</x:v>
      </x:c>
      <x:c r="N331" s="7" t="str">
        <x:v>C05E_TT10_M106.SLDPRT</x:v>
      </x:c>
    </x:row>
    <x:row r="332" ht="34" customHeight="1">
      <x:c r="B332" s="7" t="n">
        <x:v>326</x:v>
      </x:c>
      <x:c r="C332" s="7" t="str">
        <x:v>TT10_M111</x:v>
      </x:c>
      <x:c r="D332" s="7" t="str">
        <x:v>Pieza TT10_M111</x:v>
      </x:c>
      <x:c r="E332" s="7" t="n">
        <x:v>1</x:v>
      </x:c>
      <x:c r="F332" s="7" t="str">
        <x:v>ASTM A36</x:v>
      </x:c>
      <x:c r="G332" s="7" t="str">
        <x:v>Fabricación</x:v>
      </x:c>
      <x:c r="H332" s="9" t="n">
        <x:v>0.0023103089550658524</x:v>
      </x:c>
      <x:c r="I332" s="7" t="n">
        <x:v>7849.999999999999</x:v>
      </x:c>
      <x:c r="J332" s="14" t="n">
        <x:f>H332*I332</x:f>
        <x:v>18.13592529726694</x:v>
      </x:c>
      <x:c r="K332" s="14" t="n">
        <x:f>IF(ISNUMBER(J332),E332*J332,"n/d")</x:f>
        <x:v>18.13592529726694</x:v>
      </x:c>
      <x:c r="L332" s="7" t="str">
        <x:v>CAD_volume_x_specified_density</x:v>
      </x:c>
      <x:c r="M332" s="7" t="str">
        <x:v>Plano de conjunto / detalle funcional: TT10_C05_PC_06</x:v>
      </x:c>
      <x:c r="N332" s="7" t="str">
        <x:v>C05E_TT10_M111.SLDPRT</x:v>
      </x:c>
    </x:row>
    <x:row r="333" ht="34" customHeight="1">
      <x:c r="B333" s="7" t="n">
        <x:v>327</x:v>
      </x:c>
      <x:c r="C333" s="7" t="str">
        <x:v>TT10_M116</x:v>
      </x:c>
      <x:c r="D333" s="7" t="str">
        <x:v>Pieza TT10_M116</x:v>
      </x:c>
      <x:c r="E333" s="7" t="n">
        <x:v>1</x:v>
      </x:c>
      <x:c r="F333" s="7" t="str">
        <x:v>ASTM A36</x:v>
      </x:c>
      <x:c r="G333" s="7" t="str">
        <x:v>Fabricación</x:v>
      </x:c>
      <x:c r="H333" s="9" t="n">
        <x:v>0.0023103089550656746</x:v>
      </x:c>
      <x:c r="I333" s="7" t="n">
        <x:v>7849.999999999999</x:v>
      </x:c>
      <x:c r="J333" s="14" t="n">
        <x:f>H333*I333</x:f>
        <x:v>18.135925297265544</x:v>
      </x:c>
      <x:c r="K333" s="14" t="n">
        <x:f>IF(ISNUMBER(J333),E333*J333,"n/d")</x:f>
        <x:v>18.135925297265544</x:v>
      </x:c>
      <x:c r="L333" s="7" t="str">
        <x:v>CAD_volume_x_specified_density</x:v>
      </x:c>
      <x:c r="M333" s="7" t="str">
        <x:v>Plano de conjunto / detalle funcional: TT10_C05_PC_06</x:v>
      </x:c>
      <x:c r="N333" s="7" t="str">
        <x:v>C05E_TT10_M116.SLDPRT</x:v>
      </x:c>
    </x:row>
    <x:row r="334" ht="34" customHeight="1">
      <x:c r="B334" s="7" t="n">
        <x:v>328</x:v>
      </x:c>
      <x:c r="C334" s="7" t="str">
        <x:v>TT10_M121</x:v>
      </x:c>
      <x:c r="D334" s="7" t="str">
        <x:v>Pieza TT10_M121</x:v>
      </x:c>
      <x:c r="E334" s="7" t="n">
        <x:v>1</x:v>
      </x:c>
      <x:c r="F334" s="7" t="str">
        <x:v>ASTM A36</x:v>
      </x:c>
      <x:c r="G334" s="7" t="str">
        <x:v>Fabricación</x:v>
      </x:c>
      <x:c r="H334" s="9" t="n">
        <x:v>0.003125000000000106</x:v>
      </x:c>
      <x:c r="I334" s="7" t="n">
        <x:v>7850</x:v>
      </x:c>
      <x:c r="J334" s="14" t="n">
        <x:f>H334*I334</x:f>
        <x:v>24.53125000000083</x:v>
      </x:c>
      <x:c r="K334" s="14" t="n">
        <x:f>IF(ISNUMBER(J334),E334*J334,"n/d")</x:f>
        <x:v>24.53125000000083</x:v>
      </x:c>
      <x:c r="L334" s="7" t="str">
        <x:v>CAD_volume_x_specified_density</x:v>
      </x:c>
      <x:c r="M334" s="7" t="str">
        <x:v>Plano de conjunto / detalle funcional: TT10_C05_PC_05</x:v>
      </x:c>
      <x:c r="N334" s="7" t="str">
        <x:v>C05E_TT10_M121.SLDPRT</x:v>
      </x:c>
    </x:row>
    <x:row r="335" ht="34" customHeight="1">
      <x:c r="B335" s="7" t="n">
        <x:v>329</x:v>
      </x:c>
      <x:c r="C335" s="7" t="str">
        <x:v>TT10_M131</x:v>
      </x:c>
      <x:c r="D335" s="7" t="str">
        <x:v>Perfil tubular 200 x 200 x 12; L 1200</x:v>
      </x:c>
      <x:c r="E335" s="7" t="n">
        <x:v>1</x:v>
      </x:c>
      <x:c r="F335" s="7" t="str">
        <x:v>S275J0H / EN 10219-1</x:v>
      </x:c>
      <x:c r="G335" s="7" t="str">
        <x:v>Fabricación</x:v>
      </x:c>
      <x:c r="H335" s="9" t="n">
        <x:v>0.010828800000000041</x:v>
      </x:c>
      <x:c r="I335" s="7" t="n">
        <x:v>7850</x:v>
      </x:c>
      <x:c r="J335" s="14" t="n">
        <x:f>H335*I335</x:f>
        <x:v>85.00608000000032</x:v>
      </x:c>
      <x:c r="K335" s="14" t="n">
        <x:f>IF(ISNUMBER(J335),E335*J335,"n/d")</x:f>
        <x:v>85.00608000000032</x:v>
      </x:c>
      <x:c r="L335" s="7" t="str">
        <x:v>CAD_volume_x_specified_density</x:v>
      </x:c>
      <x:c r="M335" s="7" t="str">
        <x:v>Plano de conjunto / detalle funcional: TT10_C05_PC_05</x:v>
      </x:c>
      <x:c r="N335" s="7" t="str">
        <x:v>C05E_TT10_M131.SLDPRT</x:v>
      </x:c>
    </x:row>
    <x:row r="336" ht="34" customHeight="1">
      <x:c r="B336" s="7" t="n">
        <x:v>330</x:v>
      </x:c>
      <x:c r="C336" s="7" t="str">
        <x:v>TT10_M136</x:v>
      </x:c>
      <x:c r="D336" s="7" t="str">
        <x:v>Pieza TT10_M136</x:v>
      </x:c>
      <x:c r="E336" s="7" t="n">
        <x:v>1</x:v>
      </x:c>
      <x:c r="F336" s="7" t="str">
        <x:v>ASTM A36</x:v>
      </x:c>
      <x:c r="G336" s="7" t="str">
        <x:v>Fabricación</x:v>
      </x:c>
      <x:c r="H336" s="9" t="n">
        <x:v>0.0023747773477503895</x:v>
      </x:c>
      <x:c r="I336" s="7" t="n">
        <x:v>7850</x:v>
      </x:c>
      <x:c r="J336" s="14" t="n">
        <x:f>H336*I336</x:f>
        <x:v>18.642002179840556</x:v>
      </x:c>
      <x:c r="K336" s="14" t="n">
        <x:f>IF(ISNUMBER(J336),E336*J336,"n/d")</x:f>
        <x:v>18.642002179840556</x:v>
      </x:c>
      <x:c r="L336" s="7" t="str">
        <x:v>CAD_volume_x_specified_density</x:v>
      </x:c>
      <x:c r="M336" s="7" t="str">
        <x:v>Plano de conjunto / detalle funcional: TT10_C05_PC_07</x:v>
      </x:c>
      <x:c r="N336" s="7" t="str">
        <x:v>C05E_TT10_M136.SLDPRT</x:v>
      </x:c>
    </x:row>
    <x:row r="337" ht="34" customHeight="1">
      <x:c r="B337" s="7" t="n">
        <x:v>331</x:v>
      </x:c>
      <x:c r="C337" s="7" t="str">
        <x:v>TT10_M141</x:v>
      </x:c>
      <x:c r="D337" s="7" t="str">
        <x:v>Pieza TT10_M141</x:v>
      </x:c>
      <x:c r="E337" s="7" t="n">
        <x:v>1</x:v>
      </x:c>
      <x:c r="F337" s="7" t="str">
        <x:v>ASTM A36</x:v>
      </x:c>
      <x:c r="G337" s="7" t="str">
        <x:v>Fabricación</x:v>
      </x:c>
      <x:c r="H337" s="9" t="n">
        <x:v>0.002389908584759414</x:v>
      </x:c>
      <x:c r="I337" s="7" t="n">
        <x:v>7849.999999999999</x:v>
      </x:c>
      <x:c r="J337" s="14" t="n">
        <x:f>H337*I337</x:f>
        <x:v>18.7607823903614</x:v>
      </x:c>
      <x:c r="K337" s="14" t="n">
        <x:f>IF(ISNUMBER(J337),E337*J337,"n/d")</x:f>
        <x:v>18.7607823903614</x:v>
      </x:c>
      <x:c r="L337" s="7" t="str">
        <x:v>CAD_volume_x_specified_density</x:v>
      </x:c>
      <x:c r="M337" s="7" t="str">
        <x:v>Plano de conjunto / detalle funcional: TT10_C05_PC_06</x:v>
      </x:c>
      <x:c r="N337" s="7" t="str">
        <x:v>C05E_TT10_M141.SLDPRT</x:v>
      </x:c>
    </x:row>
    <x:row r="338" ht="34" customHeight="1">
      <x:c r="B338" s="7" t="n">
        <x:v>332</x:v>
      </x:c>
      <x:c r="C338" s="7" t="str">
        <x:v>TT10_M146</x:v>
      </x:c>
      <x:c r="D338" s="7" t="str">
        <x:v>Pieza TT10_M146</x:v>
      </x:c>
      <x:c r="E338" s="7" t="n">
        <x:v>1</x:v>
      </x:c>
      <x:c r="F338" s="7" t="str">
        <x:v>ASTM A36</x:v>
      </x:c>
      <x:c r="G338" s="7" t="str">
        <x:v>Fabricación</x:v>
      </x:c>
      <x:c r="H338" s="9" t="n">
        <x:v>0.0023392665460265647</x:v>
      </x:c>
      <x:c r="I338" s="7" t="n">
        <x:v>7849.999999999999</x:v>
      </x:c>
      <x:c r="J338" s="14" t="n">
        <x:f>H338*I338</x:f>
        <x:v>18.36324238630853</x:v>
      </x:c>
      <x:c r="K338" s="14" t="n">
        <x:f>IF(ISNUMBER(J338),E338*J338,"n/d")</x:f>
        <x:v>18.36324238630853</x:v>
      </x:c>
      <x:c r="L338" s="7" t="str">
        <x:v>CAD_volume_x_specified_density</x:v>
      </x:c>
      <x:c r="M338" s="7" t="str">
        <x:v>Plano de conjunto / detalle funcional: TT10_C05_PC_06</x:v>
      </x:c>
      <x:c r="N338" s="7" t="str">
        <x:v>C05E_TT10_M146.SLDPRT</x:v>
      </x:c>
    </x:row>
    <x:row r="339" ht="34" customHeight="1">
      <x:c r="B339" s="7" t="n">
        <x:v>333</x:v>
      </x:c>
      <x:c r="C339" s="7" t="str">
        <x:v>TT10_M151</x:v>
      </x:c>
      <x:c r="D339" s="7" t="str">
        <x:v>Pieza TT10_M151</x:v>
      </x:c>
      <x:c r="E339" s="7" t="n">
        <x:v>1</x:v>
      </x:c>
      <x:c r="F339" s="7" t="str">
        <x:v>ASTM A36</x:v>
      </x:c>
      <x:c r="G339" s="7" t="str">
        <x:v>Fabricación</x:v>
      </x:c>
      <x:c r="H339" s="9" t="n">
        <x:v>0.003125000000000106</x:v>
      </x:c>
      <x:c r="I339" s="7" t="n">
        <x:v>7850</x:v>
      </x:c>
      <x:c r="J339" s="14" t="n">
        <x:f>H339*I339</x:f>
        <x:v>24.53125000000083</x:v>
      </x:c>
      <x:c r="K339" s="14" t="n">
        <x:f>IF(ISNUMBER(J339),E339*J339,"n/d")</x:f>
        <x:v>24.53125000000083</x:v>
      </x:c>
      <x:c r="L339" s="7" t="str">
        <x:v>CAD_volume_x_specified_density</x:v>
      </x:c>
      <x:c r="M339" s="7" t="str">
        <x:v>Plano de conjunto / detalle funcional: TT10_C05_PC_05</x:v>
      </x:c>
      <x:c r="N339" s="7" t="str">
        <x:v>C05E_TT10_M151.SLDPRT</x:v>
      </x:c>
    </x:row>
    <x:row r="340" ht="34" customHeight="1">
      <x:c r="B340" s="7" t="n">
        <x:v>334</x:v>
      </x:c>
      <x:c r="C340" s="7" t="str">
        <x:v>TT10_M156</x:v>
      </x:c>
      <x:c r="D340" s="7" t="str">
        <x:v>Oreja móvil espesor50, taladro Ø65.5 H9; radio de bloqueo900</x:v>
      </x:c>
      <x:c r="E340" s="7" t="n">
        <x:v>1</x:v>
      </x:c>
      <x:c r="F340" s="7" t="str">
        <x:v>ASTM A36</x:v>
      </x:c>
      <x:c r="G340" s="7" t="str">
        <x:v>Fabricación</x:v>
      </x:c>
      <x:c r="H340" s="9" t="n">
        <x:v>0.002956522276474311</x:v>
      </x:c>
      <x:c r="I340" s="7" t="n">
        <x:v>7850</x:v>
      </x:c>
      <x:c r="J340" s="14" t="n">
        <x:f>H340*I340</x:f>
        <x:v>23.20869987032334</x:v>
      </x:c>
      <x:c r="K340" s="14" t="n">
        <x:f>IF(ISNUMBER(J340),E340*J340,"n/d")</x:f>
        <x:v>23.20869987032334</x:v>
      </x:c>
      <x:c r="L340" s="7" t="str">
        <x:v>CAD_volume_x_specified_density</x:v>
      </x:c>
      <x:c r="M340" s="7" t="str">
        <x:v>Plano de conjunto / detalle funcional: TT10_C05_PC_05</x:v>
      </x:c>
      <x:c r="N340" s="7" t="str">
        <x:v>C05E_TT10_M156.SLDPRT</x:v>
      </x:c>
    </x:row>
    <x:row r="341" ht="34" customHeight="1">
      <x:c r="B341" s="7" t="n">
        <x:v>335</x:v>
      </x:c>
      <x:c r="C341" s="7" t="str">
        <x:v>TT10_M161</x:v>
      </x:c>
      <x:c r="D341" s="7" t="str">
        <x:v>Pieza TT10_M161</x:v>
      </x:c>
      <x:c r="E341" s="7" t="n">
        <x:v>1</x:v>
      </x:c>
      <x:c r="F341" s="7" t="str">
        <x:v>ASTM A36</x:v>
      </x:c>
      <x:c r="G341" s="7" t="str">
        <x:v>Fabricación</x:v>
      </x:c>
      <x:c r="H341" s="9" t="n">
        <x:v>0.01925889962690305</x:v>
      </x:c>
      <x:c r="I341" s="7" t="n">
        <x:v>7850</x:v>
      </x:c>
      <x:c r="J341" s="14" t="n">
        <x:f>H341*I341</x:f>
        <x:v>151.18236207118895</x:v>
      </x:c>
      <x:c r="K341" s="14" t="n">
        <x:f>IF(ISNUMBER(J341),E341*J341,"n/d")</x:f>
        <x:v>151.18236207118895</x:v>
      </x:c>
      <x:c r="L341" s="7" t="str">
        <x:v>CAD_volume_x_specified_density</x:v>
      </x:c>
      <x:c r="M341" s="7" t="str">
        <x:v>Plano de conjunto / detalle funcional: TT10_C05_PC_05</x:v>
      </x:c>
      <x:c r="N341" s="7" t="str">
        <x:v>C05E_TT10_M161.SLDPRT</x:v>
      </x:c>
    </x:row>
    <x:row r="342" ht="34" customHeight="1">
      <x:c r="B342" s="7" t="n">
        <x:v>336</x:v>
      </x:c>
      <x:c r="C342" s="7" t="str">
        <x:v>TT10_M166</x:v>
      </x:c>
      <x:c r="D342" s="7" t="str">
        <x:v>Perfil tubular 150 x 100 x 8; L 4800</x:v>
      </x:c>
      <x:c r="E342" s="7" t="n">
        <x:v>1</x:v>
      </x:c>
      <x:c r="F342" s="7" t="str">
        <x:v>S275J0H / EN 10219-1</x:v>
      </x:c>
      <x:c r="G342" s="7" t="str">
        <x:v>Fabricación</x:v>
      </x:c>
      <x:c r="H342" s="9" t="n">
        <x:v>0.017971199999999986</x:v>
      </x:c>
      <x:c r="I342" s="7" t="n">
        <x:v>7850.000000000001</x:v>
      </x:c>
      <x:c r="J342" s="14" t="n">
        <x:f>H342*I342</x:f>
        <x:v>141.0739199999999</x:v>
      </x:c>
      <x:c r="K342" s="14" t="n">
        <x:f>IF(ISNUMBER(J342),E342*J342,"n/d")</x:f>
        <x:v>141.0739199999999</x:v>
      </x:c>
      <x:c r="L342" s="7" t="str">
        <x:v>CAD_volume_x_specified_density</x:v>
      </x:c>
      <x:c r="M342" s="7" t="str">
        <x:v>Plano de conjunto / detalle funcional: TT10_C05_PC_05</x:v>
      </x:c>
      <x:c r="N342" s="7" t="str">
        <x:v>C05E_TT10_M166.SLDPRT</x:v>
      </x:c>
    </x:row>
    <x:row r="343" ht="34" customHeight="1">
      <x:c r="B343" s="7" t="n">
        <x:v>337</x:v>
      </x:c>
      <x:c r="C343" s="7" t="str">
        <x:v>TT10_M171</x:v>
      </x:c>
      <x:c r="D343" s="7" t="str">
        <x:v>Pieza TT10_M171</x:v>
      </x:c>
      <x:c r="E343" s="7" t="n">
        <x:v>1</x:v>
      </x:c>
      <x:c r="F343" s="7" t="str">
        <x:v>ASTM A36</x:v>
      </x:c>
      <x:c r="G343" s="7" t="str">
        <x:v>Fabricación</x:v>
      </x:c>
      <x:c r="H343" s="9" t="n">
        <x:v>0.0023078947400673056</x:v>
      </x:c>
      <x:c r="I343" s="7" t="n">
        <x:v>7850</x:v>
      </x:c>
      <x:c r="J343" s="14" t="n">
        <x:f>H343*I343</x:f>
        <x:v>18.11697370952835</x:v>
      </x:c>
      <x:c r="K343" s="14" t="n">
        <x:f>IF(ISNUMBER(J343),E343*J343,"n/d")</x:f>
        <x:v>18.11697370952835</x:v>
      </x:c>
      <x:c r="L343" s="7" t="str">
        <x:v>CAD_volume_x_specified_density</x:v>
      </x:c>
      <x:c r="M343" s="7" t="str">
        <x:v>Plano de conjunto / detalle funcional: TT10_C05_PC_07</x:v>
      </x:c>
      <x:c r="N343" s="7" t="str">
        <x:v>C05E_TT10_M171.SLDPRT</x:v>
      </x:c>
    </x:row>
    <x:row r="344" ht="34" customHeight="1">
      <x:c r="B344" s="7" t="n">
        <x:v>338</x:v>
      </x:c>
      <x:c r="C344" s="7" t="str">
        <x:v>TT10_M176</x:v>
      </x:c>
      <x:c r="D344" s="7" t="str">
        <x:v>Fondo16 con taladros de revestimientos desmontables</x:v>
      </x:c>
      <x:c r="E344" s="7" t="n">
        <x:v>1</x:v>
      </x:c>
      <x:c r="F344" s="7" t="str">
        <x:v>ASTM A36</x:v>
      </x:c>
      <x:c r="G344" s="7" t="str">
        <x:v>Fabricación</x:v>
      </x:c>
      <x:c r="H344" s="9" t="n">
        <x:v>0.11250971186947098</x:v>
      </x:c>
      <x:c r="I344" s="7" t="n">
        <x:v>7850</x:v>
      </x:c>
      <x:c r="J344" s="14" t="n">
        <x:f>H344*I344</x:f>
        <x:v>883.2012381753472</x:v>
      </x:c>
      <x:c r="K344" s="14" t="n">
        <x:f>IF(ISNUMBER(J344),E344*J344,"n/d")</x:f>
        <x:v>883.2012381753472</x:v>
      </x:c>
      <x:c r="L344" s="7" t="str">
        <x:v>CAD_volume_x_specified_density</x:v>
      </x:c>
      <x:c r="M344" s="7" t="str">
        <x:v>Plano de conjunto / detalle funcional: TT10_C05_PC_07</x:v>
      </x:c>
      <x:c r="N344" s="7" t="str">
        <x:v>C05E_TT10_M176.SLDPRT</x:v>
      </x:c>
    </x:row>
    <x:row r="345" ht="34" customHeight="1">
      <x:c r="B345" s="7" t="n">
        <x:v>339</x:v>
      </x:c>
      <x:c r="C345" s="7" t="str">
        <x:v>TT10_M181</x:v>
      </x:c>
      <x:c r="D345" s="7" t="str">
        <x:v>Pieza TT10_M181</x:v>
      </x:c>
      <x:c r="E345" s="7" t="n">
        <x:v>1</x:v>
      </x:c>
      <x:c r="F345" s="7" t="str">
        <x:v>ASTM A36</x:v>
      </x:c>
      <x:c r="G345" s="7" t="str">
        <x:v>Fabricación</x:v>
      </x:c>
      <x:c r="H345" s="9" t="n">
        <x:v>0.002374777347750102</x:v>
      </x:c>
      <x:c r="I345" s="7" t="n">
        <x:v>7850</x:v>
      </x:c>
      <x:c r="J345" s="14" t="n">
        <x:f>H345*I345</x:f>
        <x:v>18.6420021798383</x:v>
      </x:c>
      <x:c r="K345" s="14" t="n">
        <x:f>IF(ISNUMBER(J345),E345*J345,"n/d")</x:f>
        <x:v>18.6420021798383</x:v>
      </x:c>
      <x:c r="L345" s="7" t="str">
        <x:v>CAD_volume_x_specified_density</x:v>
      </x:c>
      <x:c r="M345" s="7" t="str">
        <x:v>Plano de conjunto / detalle funcional: TT10_C05_PC_07</x:v>
      </x:c>
      <x:c r="N345" s="7" t="str">
        <x:v>C05E_TT10_M181.SLDPRT</x:v>
      </x:c>
    </x:row>
    <x:row r="346" ht="34" customHeight="1">
      <x:c r="B346" s="7" t="n">
        <x:v>340</x:v>
      </x:c>
      <x:c r="C346" s="7" t="str">
        <x:v>TT10_M186</x:v>
      </x:c>
      <x:c r="D346" s="7" t="str">
        <x:v>Perfil tubular 200 x 150 x 10; L 2200</x:v>
      </x:c>
      <x:c r="E346" s="7" t="n">
        <x:v>1</x:v>
      </x:c>
      <x:c r="F346" s="7" t="str">
        <x:v>S275J0H / EN 10219-1</x:v>
      </x:c>
      <x:c r="G346" s="7" t="str">
        <x:v>Fabricación</x:v>
      </x:c>
      <x:c r="H346" s="9" t="n">
        <x:v>0.014520000000000068</x:v>
      </x:c>
      <x:c r="I346" s="7" t="n">
        <x:v>7850</x:v>
      </x:c>
      <x:c r="J346" s="14" t="n">
        <x:f>H346*I346</x:f>
        <x:v>113.98200000000053</x:v>
      </x:c>
      <x:c r="K346" s="14" t="n">
        <x:f>IF(ISNUMBER(J346),E346*J346,"n/d")</x:f>
        <x:v>113.98200000000053</x:v>
      </x:c>
      <x:c r="L346" s="7" t="str">
        <x:v>CAD_volume_x_specified_density</x:v>
      </x:c>
      <x:c r="M346" s="7" t="str">
        <x:v>Plano de conjunto / detalle funcional: TT10_C05_PC_05</x:v>
      </x:c>
      <x:c r="N346" s="7" t="str">
        <x:v>C05E_TT10_M186.SLDPRT</x:v>
      </x:c>
    </x:row>
    <x:row r="347" ht="34" customHeight="1">
      <x:c r="B347" s="7" t="n">
        <x:v>341</x:v>
      </x:c>
      <x:c r="C347" s="7" t="str">
        <x:v>TT10_M191</x:v>
      </x:c>
      <x:c r="D347" s="7" t="str">
        <x:v>Pieza TT10_M191</x:v>
      </x:c>
      <x:c r="E347" s="7" t="n">
        <x:v>1</x:v>
      </x:c>
      <x:c r="F347" s="7" t="str">
        <x:v>ASTM A36</x:v>
      </x:c>
      <x:c r="G347" s="7" t="str">
        <x:v>Fabricación</x:v>
      </x:c>
      <x:c r="H347" s="9" t="n">
        <x:v>0.014526724430199207</x:v>
      </x:c>
      <x:c r="I347" s="7" t="n">
        <x:v>7850</x:v>
      </x:c>
      <x:c r="J347" s="14" t="n">
        <x:f>H347*I347</x:f>
        <x:v>114.03478677706377</x:v>
      </x:c>
      <x:c r="K347" s="14" t="n">
        <x:f>IF(ISNUMBER(J347),E347*J347,"n/d")</x:f>
        <x:v>114.03478677706377</x:v>
      </x:c>
      <x:c r="L347" s="7" t="str">
        <x:v>CAD_volume_x_specified_density</x:v>
      </x:c>
      <x:c r="M347" s="7" t="str">
        <x:v>Plano de conjunto / detalle funcional: TT10_C05_PC_05</x:v>
      </x:c>
      <x:c r="N347" s="7" t="str">
        <x:v>C05E_TT10_M191.SLDPRT</x:v>
      </x:c>
    </x:row>
    <x:row r="348" ht="34" customHeight="1">
      <x:c r="B348" s="7" t="n">
        <x:v>342</x:v>
      </x:c>
      <x:c r="C348" s="7" t="str">
        <x:v>TT10_M196</x:v>
      </x:c>
      <x:c r="D348" s="7" t="str">
        <x:v>Pieza TT10_M196</x:v>
      </x:c>
      <x:c r="E348" s="7" t="n">
        <x:v>1</x:v>
      </x:c>
      <x:c r="F348" s="7" t="str">
        <x:v>ASTM A36</x:v>
      </x:c>
      <x:c r="G348" s="7" t="str">
        <x:v>Fabricación</x:v>
      </x:c>
      <x:c r="H348" s="9" t="n">
        <x:v>0.06873412942598003</x:v>
      </x:c>
      <x:c r="I348" s="7" t="n">
        <x:v>7850.000000000001</x:v>
      </x:c>
      <x:c r="J348" s="14" t="n">
        <x:f>H348*I348</x:f>
        <x:v>539.5629159939433</x:v>
      </x:c>
      <x:c r="K348" s="14" t="n">
        <x:f>IF(ISNUMBER(J348),E348*J348,"n/d")</x:f>
        <x:v>539.5629159939433</x:v>
      </x:c>
      <x:c r="L348" s="7" t="str">
        <x:v>CAD_volume_x_specified_density</x:v>
      </x:c>
      <x:c r="M348" s="7" t="str">
        <x:v>Plano de conjunto / detalle funcional: TT10_C05_PC_06</x:v>
      </x:c>
      <x:c r="N348" s="7" t="str">
        <x:v>C05E_TT10_M196.SLDPRT</x:v>
      </x:c>
    </x:row>
    <x:row r="349" ht="34" customHeight="1">
      <x:c r="B349" s="7" t="n">
        <x:v>343</x:v>
      </x:c>
      <x:c r="C349" s="7" t="str">
        <x:v>TT10_M201</x:v>
      </x:c>
      <x:c r="D349" s="7" t="str">
        <x:v>Perfil tubular 200 x 200 x 12; L 1200</x:v>
      </x:c>
      <x:c r="E349" s="7" t="n">
        <x:v>1</x:v>
      </x:c>
      <x:c r="F349" s="7" t="str">
        <x:v>S275J0H / EN 10219-1</x:v>
      </x:c>
      <x:c r="G349" s="7" t="str">
        <x:v>Fabricación</x:v>
      </x:c>
      <x:c r="H349" s="9" t="n">
        <x:v>0.010828800000000048</x:v>
      </x:c>
      <x:c r="I349" s="7" t="n">
        <x:v>7850</x:v>
      </x:c>
      <x:c r="J349" s="14" t="n">
        <x:f>H349*I349</x:f>
        <x:v>85.00608000000038</x:v>
      </x:c>
      <x:c r="K349" s="14" t="n">
        <x:f>IF(ISNUMBER(J349),E349*J349,"n/d")</x:f>
        <x:v>85.00608000000038</x:v>
      </x:c>
      <x:c r="L349" s="7" t="str">
        <x:v>CAD_volume_x_specified_density</x:v>
      </x:c>
      <x:c r="M349" s="7" t="str">
        <x:v>Plano de conjunto / detalle funcional: TT10_C05_PC_05</x:v>
      </x:c>
      <x:c r="N349" s="7" t="str">
        <x:v>C05E_TT10_M201.SLDPRT</x:v>
      </x:c>
    </x:row>
    <x:row r="350" ht="34" customHeight="1">
      <x:c r="B350" s="7" t="n">
        <x:v>344</x:v>
      </x:c>
      <x:c r="C350" s="7" t="str">
        <x:v>TT10_M206</x:v>
      </x:c>
      <x:c r="D350" s="7" t="str">
        <x:v>Pieza TT10_M206</x:v>
      </x:c>
      <x:c r="E350" s="7" t="n">
        <x:v>1</x:v>
      </x:c>
      <x:c r="F350" s="7" t="str">
        <x:v>ASTM A36</x:v>
      </x:c>
      <x:c r="G350" s="7" t="str">
        <x:v>Fabricación</x:v>
      </x:c>
      <x:c r="H350" s="9" t="n">
        <x:v>0.030159289474462017</x:v>
      </x:c>
      <x:c r="I350" s="7" t="n">
        <x:v>7850</x:v>
      </x:c>
      <x:c r="J350" s="14" t="n">
        <x:f>H350*I350</x:f>
        <x:v>236.75042237452683</x:v>
      </x:c>
      <x:c r="K350" s="14" t="n">
        <x:f>IF(ISNUMBER(J350),E350*J350,"n/d")</x:f>
        <x:v>236.75042237452683</x:v>
      </x:c>
      <x:c r="L350" s="7" t="str">
        <x:v>CAD_volume_x_specified_density</x:v>
      </x:c>
      <x:c r="M350" s="7" t="str">
        <x:v>Plano de conjunto / detalle funcional: TT10_C05_PC_05</x:v>
      </x:c>
      <x:c r="N350" s="7" t="str">
        <x:v>C05E_TT10_M206.SLDPRT</x:v>
      </x:c>
    </x:row>
    <x:row r="351" ht="34" customHeight="1">
      <x:c r="B351" s="7" t="n">
        <x:v>345</x:v>
      </x:c>
      <x:c r="C351" s="7" t="str">
        <x:v>TT10_M211</x:v>
      </x:c>
      <x:c r="D351" s="7" t="str">
        <x:v>Cama elastomérica25 perforada para casquillos limitadores</x:v>
      </x:c>
      <x:c r="E351" s="7" t="n">
        <x:v>1</x:v>
      </x:c>
      <x:c r="F351" s="7" t="str">
        <x:v>Elastómero; curva dinámica de compresión por definir</x:v>
      </x:c>
      <x:c r="G351" s="7" t="str">
        <x:v>Fabricación</x:v>
      </x:c>
      <x:c r="H351" s="9" t="n">
        <x:v>0.041631128330588865</x:v>
      </x:c>
      <x:c r="I351" s="7" t="n">
        <x:v>1150</x:v>
      </x:c>
      <x:c r="J351" s="14" t="n">
        <x:f>H351*I351</x:f>
        <x:v>47.87579758017719</x:v>
      </x:c>
      <x:c r="K351" s="14" t="n">
        <x:f>IF(ISNUMBER(J351),E351*J351,"n/d")</x:f>
        <x:v>47.87579758017719</x:v>
      </x:c>
      <x:c r="L351" s="7" t="str">
        <x:v>CAD_volume_x_specified_density</x:v>
      </x:c>
      <x:c r="M351" s="7" t="str">
        <x:v>Plano de conjunto / detalle funcional: TT10_C05_PC_08</x:v>
      </x:c>
      <x:c r="N351" s="7" t="str">
        <x:v>C05E_TT10_M211.SLDPRT</x:v>
      </x:c>
    </x:row>
    <x:row r="352" ht="34" customHeight="1">
      <x:c r="B352" s="7" t="n">
        <x:v>346</x:v>
      </x:c>
      <x:c r="C352" s="7" t="str">
        <x:v>TT10_M216</x:v>
      </x:c>
      <x:c r="D352" s="7" t="str">
        <x:v>Pieza TT10_M216</x:v>
      </x:c>
      <x:c r="E352" s="7" t="n">
        <x:v>1</x:v>
      </x:c>
      <x:c r="F352" s="7" t="str">
        <x:v>ASTM A36</x:v>
      </x:c>
      <x:c r="G352" s="7" t="str">
        <x:v>Fabricación</x:v>
      </x:c>
      <x:c r="H352" s="9" t="n">
        <x:v>0.0023040000000005166</x:v>
      </x:c>
      <x:c r="I352" s="7" t="n">
        <x:v>7850</x:v>
      </x:c>
      <x:c r="J352" s="14" t="n">
        <x:f>H352*I352</x:f>
        <x:v>18.086400000004055</x:v>
      </x:c>
      <x:c r="K352" s="14" t="n">
        <x:f>IF(ISNUMBER(J352),E352*J352,"n/d")</x:f>
        <x:v>18.086400000004055</x:v>
      </x:c>
      <x:c r="L352" s="7" t="str">
        <x:v>CAD_volume_x_specified_density</x:v>
      </x:c>
      <x:c r="M352" s="7" t="str">
        <x:v>Plano de conjunto / detalle funcional: TT10_C05_PC_07</x:v>
      </x:c>
      <x:c r="N352" s="7" t="str">
        <x:v>C05E_TT10_M216.SLDPRT</x:v>
      </x:c>
    </x:row>
    <x:row r="353" ht="34" customHeight="1">
      <x:c r="B353" s="7" t="n">
        <x:v>347</x:v>
      </x:c>
      <x:c r="C353" s="7" t="str">
        <x:v>TT10_M221</x:v>
      </x:c>
      <x:c r="D353" s="7" t="str">
        <x:v>Cama elastomérica25 perforada para casquillos limitadores</x:v>
      </x:c>
      <x:c r="E353" s="7" t="n">
        <x:v>1</x:v>
      </x:c>
      <x:c r="F353" s="7" t="str">
        <x:v>Elastómero; curva dinámica de compresión por definir</x:v>
      </x:c>
      <x:c r="G353" s="7" t="str">
        <x:v>Fabricación</x:v>
      </x:c>
      <x:c r="H353" s="9" t="n">
        <x:v>0.04163112833058885</x:v>
      </x:c>
      <x:c r="I353" s="7" t="n">
        <x:v>1150</x:v>
      </x:c>
      <x:c r="J353" s="14" t="n">
        <x:f>H353*I353</x:f>
        <x:v>47.87579758017718</x:v>
      </x:c>
      <x:c r="K353" s="14" t="n">
        <x:f>IF(ISNUMBER(J353),E353*J353,"n/d")</x:f>
        <x:v>47.87579758017718</x:v>
      </x:c>
      <x:c r="L353" s="7" t="str">
        <x:v>CAD_volume_x_specified_density</x:v>
      </x:c>
      <x:c r="M353" s="7" t="str">
        <x:v>Plano de conjunto / detalle funcional: TT10_C05_PC_08</x:v>
      </x:c>
      <x:c r="N353" s="7" t="str">
        <x:v>C05E_TT10_M221.SLDPRT</x:v>
      </x:c>
    </x:row>
    <x:row r="354" ht="34" customHeight="1">
      <x:c r="B354" s="7" t="n">
        <x:v>348</x:v>
      </x:c>
      <x:c r="C354" s="7" t="str">
        <x:v>TT10_M226</x:v>
      </x:c>
      <x:c r="D354" s="7" t="str">
        <x:v>Perfil tubular 200 x 150 x 10; L 2200</x:v>
      </x:c>
      <x:c r="E354" s="7" t="n">
        <x:v>1</x:v>
      </x:c>
      <x:c r="F354" s="7" t="str">
        <x:v>S275J0H / EN 10219-1</x:v>
      </x:c>
      <x:c r="G354" s="7" t="str">
        <x:v>Fabricación</x:v>
      </x:c>
      <x:c r="H354" s="9" t="n">
        <x:v>0.014520000000000066</x:v>
      </x:c>
      <x:c r="I354" s="7" t="n">
        <x:v>7850</x:v>
      </x:c>
      <x:c r="J354" s="14" t="n">
        <x:f>H354*I354</x:f>
        <x:v>113.98200000000051</x:v>
      </x:c>
      <x:c r="K354" s="14" t="n">
        <x:f>IF(ISNUMBER(J354),E354*J354,"n/d")</x:f>
        <x:v>113.98200000000051</x:v>
      </x:c>
      <x:c r="L354" s="7" t="str">
        <x:v>CAD_volume_x_specified_density</x:v>
      </x:c>
      <x:c r="M354" s="7" t="str">
        <x:v>Plano de conjunto / detalle funcional: TT10_C05_PC_05</x:v>
      </x:c>
      <x:c r="N354" s="7" t="str">
        <x:v>C05E_TT10_M226.SLDPRT</x:v>
      </x:c>
    </x:row>
    <x:row r="355" ht="34" customHeight="1">
      <x:c r="B355" s="7" t="n">
        <x:v>349</x:v>
      </x:c>
      <x:c r="C355" s="7" t="str">
        <x:v>TT10_M231</x:v>
      </x:c>
      <x:c r="D355" s="7" t="str">
        <x:v>Pieza TT10_M231</x:v>
      </x:c>
      <x:c r="E355" s="7" t="n">
        <x:v>1</x:v>
      </x:c>
      <x:c r="F355" s="7" t="str">
        <x:v>ASTM A36</x:v>
      </x:c>
      <x:c r="G355" s="7" t="str">
        <x:v>Fabricación</x:v>
      </x:c>
      <x:c r="H355" s="9" t="n">
        <x:v>0.0023899085847588937</x:v>
      </x:c>
      <x:c r="I355" s="7" t="n">
        <x:v>7850.000000000001</x:v>
      </x:c>
      <x:c r="J355" s="14" t="n">
        <x:f>H355*I355</x:f>
        <x:v>18.760782390357317</x:v>
      </x:c>
      <x:c r="K355" s="14" t="n">
        <x:f>IF(ISNUMBER(J355),E355*J355,"n/d")</x:f>
        <x:v>18.760782390357317</x:v>
      </x:c>
      <x:c r="L355" s="7" t="str">
        <x:v>CAD_volume_x_specified_density</x:v>
      </x:c>
      <x:c r="M355" s="7" t="str">
        <x:v>Plano de conjunto / detalle funcional: TT10_C05_PC_06</x:v>
      </x:c>
      <x:c r="N355" s="7" t="str">
        <x:v>C05E_TT10_M231.SLDPRT</x:v>
      </x:c>
    </x:row>
    <x:row r="356" ht="34" customHeight="1">
      <x:c r="B356" s="7" t="n">
        <x:v>350</x:v>
      </x:c>
      <x:c r="C356" s="7" t="str">
        <x:v>TT10_M236</x:v>
      </x:c>
      <x:c r="D356" s="7" t="str">
        <x:v>Perfil tubular 150 x 100 x 8; L 3600</x:v>
      </x:c>
      <x:c r="E356" s="7" t="n">
        <x:v>1</x:v>
      </x:c>
      <x:c r="F356" s="7" t="str">
        <x:v>S275J0H / EN 10219-1</x:v>
      </x:c>
      <x:c r="G356" s="7" t="str">
        <x:v>Fabricación</x:v>
      </x:c>
      <x:c r="H356" s="9" t="n">
        <x:v>0.013478400000000005</x:v>
      </x:c>
      <x:c r="I356" s="7" t="n">
        <x:v>7849.999999999999</x:v>
      </x:c>
      <x:c r="J356" s="14" t="n">
        <x:f>H356*I356</x:f>
        <x:v>105.80544000000003</x:v>
      </x:c>
      <x:c r="K356" s="14" t="n">
        <x:f>IF(ISNUMBER(J356),E356*J356,"n/d")</x:f>
        <x:v>105.80544000000003</x:v>
      </x:c>
      <x:c r="L356" s="7" t="str">
        <x:v>CAD_volume_x_specified_density</x:v>
      </x:c>
      <x:c r="M356" s="7" t="str">
        <x:v>Plano de conjunto / detalle funcional: TT10_C05_PC_05</x:v>
      </x:c>
      <x:c r="N356" s="7" t="str">
        <x:v>C05E_TT10_M236.SLDPRT</x:v>
      </x:c>
    </x:row>
    <x:row r="357" ht="34" customHeight="1">
      <x:c r="B357" s="7" t="n">
        <x:v>351</x:v>
      </x:c>
      <x:c r="C357" s="7" t="str">
        <x:v>TT10_M241</x:v>
      </x:c>
      <x:c r="D357" s="7" t="str">
        <x:v>Cama elastomérica25 perforada para casquillos limitadores</x:v>
      </x:c>
      <x:c r="E357" s="7" t="n">
        <x:v>1</x:v>
      </x:c>
      <x:c r="F357" s="7" t="str">
        <x:v>Elastómero; curva dinámica de compresión por definir</x:v>
      </x:c>
      <x:c r="G357" s="7" t="str">
        <x:v>Fabricación</x:v>
      </x:c>
      <x:c r="H357" s="9" t="n">
        <x:v>0.041631128330588865</x:v>
      </x:c>
      <x:c r="I357" s="7" t="n">
        <x:v>1150</x:v>
      </x:c>
      <x:c r="J357" s="14" t="n">
        <x:f>H357*I357</x:f>
        <x:v>47.87579758017719</x:v>
      </x:c>
      <x:c r="K357" s="14" t="n">
        <x:f>IF(ISNUMBER(J357),E357*J357,"n/d")</x:f>
        <x:v>47.87579758017719</x:v>
      </x:c>
      <x:c r="L357" s="7" t="str">
        <x:v>CAD_volume_x_specified_density</x:v>
      </x:c>
      <x:c r="M357" s="7" t="str">
        <x:v>Plano de conjunto / detalle funcional: TT10_C05_PC_08</x:v>
      </x:c>
      <x:c r="N357" s="7" t="str">
        <x:v>C05E_TT10_M241.SLDPRT</x:v>
      </x:c>
    </x:row>
    <x:row r="358" ht="34" customHeight="1">
      <x:c r="B358" s="7" t="n">
        <x:v>352</x:v>
      </x:c>
      <x:c r="C358" s="7" t="str">
        <x:v>TT10_M246</x:v>
      </x:c>
      <x:c r="D358" s="7" t="str">
        <x:v>Pieza TT10_M246</x:v>
      </x:c>
      <x:c r="E358" s="7" t="n">
        <x:v>1</x:v>
      </x:c>
      <x:c r="F358" s="7" t="str">
        <x:v>ASTM A36</x:v>
      </x:c>
      <x:c r="G358" s="7" t="str">
        <x:v>Fabricación</x:v>
      </x:c>
      <x:c r="H358" s="9" t="n">
        <x:v>0.0023317376295243354</x:v>
      </x:c>
      <x:c r="I358" s="7" t="n">
        <x:v>7850</x:v>
      </x:c>
      <x:c r="J358" s="14" t="n">
        <x:f>H358*I358</x:f>
        <x:v>18.304140391766033</x:v>
      </x:c>
      <x:c r="K358" s="14" t="n">
        <x:f>IF(ISNUMBER(J358),E358*J358,"n/d")</x:f>
        <x:v>18.304140391766033</x:v>
      </x:c>
      <x:c r="L358" s="7" t="str">
        <x:v>CAD_volume_x_specified_density</x:v>
      </x:c>
      <x:c r="M358" s="7" t="str">
        <x:v>Plano de conjunto / detalle funcional: TT10_C05_PC_07</x:v>
      </x:c>
      <x:c r="N358" s="7" t="str">
        <x:v>C05E_TT10_M246.SLDPRT</x:v>
      </x:c>
    </x:row>
    <x:row r="359" ht="34" customHeight="1">
      <x:c r="B359" s="7" t="n">
        <x:v>353</x:v>
      </x:c>
      <x:c r="C359" s="7" t="str">
        <x:v>TT10_M251</x:v>
      </x:c>
      <x:c r="D359" s="7" t="str">
        <x:v>Pieza TT10_M251</x:v>
      </x:c>
      <x:c r="E359" s="7" t="n">
        <x:v>1</x:v>
      </x:c>
      <x:c r="F359" s="7" t="str">
        <x:v>ASTM A36</x:v>
      </x:c>
      <x:c r="G359" s="7" t="str">
        <x:v>Fabricación</x:v>
      </x:c>
      <x:c r="H359" s="9" t="n">
        <x:v>0.0023747773477497567</x:v>
      </x:c>
      <x:c r="I359" s="7" t="n">
        <x:v>7850</x:v>
      </x:c>
      <x:c r="J359" s="14" t="n">
        <x:f>H359*I359</x:f>
        <x:v>18.64200217983559</x:v>
      </x:c>
      <x:c r="K359" s="14" t="n">
        <x:f>IF(ISNUMBER(J359),E359*J359,"n/d")</x:f>
        <x:v>18.64200217983559</x:v>
      </x:c>
      <x:c r="L359" s="7" t="str">
        <x:v>CAD_volume_x_specified_density</x:v>
      </x:c>
      <x:c r="M359" s="7" t="str">
        <x:v>Plano de conjunto / detalle funcional: TT10_C05_PC_07</x:v>
      </x:c>
      <x:c r="N359" s="7" t="str">
        <x:v>C05E_TT10_M251.SLDPRT</x:v>
      </x:c>
    </x:row>
    <x:row r="360" ht="34" customHeight="1">
      <x:c r="B360" s="7" t="n">
        <x:v>354</x:v>
      </x:c>
      <x:c r="C360" s="7" t="str">
        <x:v>TT10_M256</x:v>
      </x:c>
      <x:c r="D360" s="7" t="str">
        <x:v>Revestimiento AR400 t12 con ocho M16 avellanados desmontables</x:v>
      </x:c>
      <x:c r="E360" s="7" t="n">
        <x:v>1</x:v>
      </x:c>
      <x:c r="F360" s="7" t="str">
        <x:v>Hardox 400</x:v>
      </x:c>
      <x:c r="G360" s="7" t="str">
        <x:v>Fabricación</x:v>
      </x:c>
      <x:c r="H360" s="9" t="n">
        <x:v>0.020010113233543462</x:v>
      </x:c>
      <x:c r="I360" s="7" t="n">
        <x:v>7850</x:v>
      </x:c>
      <x:c r="J360" s="14" t="n">
        <x:f>H360*I360</x:f>
        <x:v>157.07938888331617</x:v>
      </x:c>
      <x:c r="K360" s="14" t="n">
        <x:f>IF(ISNUMBER(J360),E360*J360,"n/d")</x:f>
        <x:v>157.07938888331617</x:v>
      </x:c>
      <x:c r="L360" s="7" t="str">
        <x:v>CAD_volume_x_specified_density</x:v>
      </x:c>
      <x:c r="M360" s="7" t="str">
        <x:v>Plano de conjunto / detalle funcional: TT10_C05_PC_08</x:v>
      </x:c>
      <x:c r="N360" s="7" t="str">
        <x:v>C05E_TT10_M256.SLDPRT</x:v>
      </x:c>
    </x:row>
    <x:row r="361" ht="34" customHeight="1">
      <x:c r="B361" s="7" t="n">
        <x:v>355</x:v>
      </x:c>
      <x:c r="C361" s="7" t="str">
        <x:v>TT10_M261</x:v>
      </x:c>
      <x:c r="D361" s="7" t="str">
        <x:v>Pieza TT10_M261</x:v>
      </x:c>
      <x:c r="E361" s="7" t="n">
        <x:v>1</x:v>
      </x:c>
      <x:c r="F361" s="7" t="str">
        <x:v>ASTM A36</x:v>
      </x:c>
      <x:c r="G361" s="7" t="str">
        <x:v>Fabricación</x:v>
      </x:c>
      <x:c r="H361" s="9" t="n">
        <x:v>0.0018750000000000069</x:v>
      </x:c>
      <x:c r="I361" s="7" t="n">
        <x:v>7850</x:v>
      </x:c>
      <x:c r="J361" s="14" t="n">
        <x:f>H361*I361</x:f>
        <x:v>14.718750000000053</x:v>
      </x:c>
      <x:c r="K361" s="14" t="n">
        <x:f>IF(ISNUMBER(J361),E361*J361,"n/d")</x:f>
        <x:v>14.718750000000053</x:v>
      </x:c>
      <x:c r="L361" s="7" t="str">
        <x:v>CAD_volume_x_specified_density</x:v>
      </x:c>
      <x:c r="M361" s="7" t="str">
        <x:v>Plano de conjunto / detalle funcional: TT10_C05_PC_05</x:v>
      </x:c>
      <x:c r="N361" s="7" t="str">
        <x:v>C05E_TT10_M261.SLDPRT</x:v>
      </x:c>
    </x:row>
    <x:row r="362" ht="34" customHeight="1">
      <x:c r="B362" s="7" t="n">
        <x:v>356</x:v>
      </x:c>
      <x:c r="C362" s="7" t="str">
        <x:v>TT10_M266</x:v>
      </x:c>
      <x:c r="D362" s="7" t="str">
        <x:v>Revestimiento AR400 t12 con ocho M16 avellanados desmontables</x:v>
      </x:c>
      <x:c r="E362" s="7" t="n">
        <x:v>1</x:v>
      </x:c>
      <x:c r="F362" s="7" t="str">
        <x:v>Hardox 400</x:v>
      </x:c>
      <x:c r="G362" s="7" t="str">
        <x:v>Fabricación</x:v>
      </x:c>
      <x:c r="H362" s="9" t="n">
        <x:v>0.020010113233543465</x:v>
      </x:c>
      <x:c r="I362" s="7" t="n">
        <x:v>7850</x:v>
      </x:c>
      <x:c r="J362" s="14" t="n">
        <x:f>H362*I362</x:f>
        <x:v>157.0793888833162</x:v>
      </x:c>
      <x:c r="K362" s="14" t="n">
        <x:f>IF(ISNUMBER(J362),E362*J362,"n/d")</x:f>
        <x:v>157.0793888833162</x:v>
      </x:c>
      <x:c r="L362" s="7" t="str">
        <x:v>CAD_volume_x_specified_density</x:v>
      </x:c>
      <x:c r="M362" s="7" t="str">
        <x:v>Plano de conjunto / detalle funcional: TT10_C05_PC_08</x:v>
      </x:c>
      <x:c r="N362" s="7" t="str">
        <x:v>C05E_TT10_M266.SLDPRT</x:v>
      </x:c>
    </x:row>
    <x:row r="363" ht="34" customHeight="1">
      <x:c r="B363" s="7" t="n">
        <x:v>357</x:v>
      </x:c>
      <x:c r="C363" s="7" t="str">
        <x:v>TT10_M271</x:v>
      </x:c>
      <x:c r="D363" s="7" t="str">
        <x:v>Pieza TT10_M271</x:v>
      </x:c>
      <x:c r="E363" s="7" t="n">
        <x:v>1</x:v>
      </x:c>
      <x:c r="F363" s="7" t="str">
        <x:v>ASTM A36</x:v>
      </x:c>
      <x:c r="G363" s="7" t="str">
        <x:v>Fabricación</x:v>
      </x:c>
      <x:c r="H363" s="9" t="n">
        <x:v>0.0006250000000000032</x:v>
      </x:c>
      <x:c r="I363" s="7" t="n">
        <x:v>7850</x:v>
      </x:c>
      <x:c r="J363" s="14" t="n">
        <x:f>H363*I363</x:f>
        <x:v>4.906250000000025</x:v>
      </x:c>
      <x:c r="K363" s="14" t="n">
        <x:f>IF(ISNUMBER(J363),E363*J363,"n/d")</x:f>
        <x:v>4.906250000000025</x:v>
      </x:c>
      <x:c r="L363" s="7" t="str">
        <x:v>CAD_volume_x_specified_density</x:v>
      </x:c>
      <x:c r="M363" s="7" t="str">
        <x:v>Plano de conjunto / detalle funcional: TT10_C05_PC_05</x:v>
      </x:c>
      <x:c r="N363" s="7" t="str">
        <x:v>C05E_TT10_M271.SLDPRT</x:v>
      </x:c>
    </x:row>
    <x:row r="364" ht="34" customHeight="1">
      <x:c r="B364" s="7" t="n">
        <x:v>358</x:v>
      </x:c>
      <x:c r="C364" s="7" t="str">
        <x:v>TT10_M276</x:v>
      </x:c>
      <x:c r="D364" s="7" t="str">
        <x:v>Puente extendido 300 mm para bloqueo radio900</x:v>
      </x:c>
      <x:c r="E364" s="7" t="n">
        <x:v>1</x:v>
      </x:c>
      <x:c r="F364" s="7" t="str">
        <x:v>ASTM A36</x:v>
      </x:c>
      <x:c r="G364" s="7" t="str">
        <x:v>Fabricación</x:v>
      </x:c>
      <x:c r="H364" s="9" t="n">
        <x:v>0.006874999999999988</x:v>
      </x:c>
      <x:c r="I364" s="7" t="n">
        <x:v>7850</x:v>
      </x:c>
      <x:c r="J364" s="14" t="n">
        <x:f>H364*I364</x:f>
        <x:v>53.96874999999991</x:v>
      </x:c>
      <x:c r="K364" s="14" t="n">
        <x:f>IF(ISNUMBER(J364),E364*J364,"n/d")</x:f>
        <x:v>53.96874999999991</x:v>
      </x:c>
      <x:c r="L364" s="7" t="str">
        <x:v>CAD_volume_x_specified_density</x:v>
      </x:c>
      <x:c r="M364" s="7" t="str">
        <x:v>Plano de conjunto / detalle funcional: TT10_C05_PC_05</x:v>
      </x:c>
      <x:c r="N364" s="7" t="str">
        <x:v>C05E_TT10_M276.SLDPRT</x:v>
      </x:c>
    </x:row>
    <x:row r="365" ht="34" customHeight="1">
      <x:c r="B365" s="7" t="n">
        <x:v>359</x:v>
      </x:c>
      <x:c r="C365" s="7" t="str">
        <x:v>TT10_M281</x:v>
      </x:c>
      <x:c r="D365" s="7" t="str">
        <x:v>Pieza TT10_M281</x:v>
      </x:c>
      <x:c r="E365" s="7" t="n">
        <x:v>1</x:v>
      </x:c>
      <x:c r="F365" s="7" t="str">
        <x:v>ASTM A36</x:v>
      </x:c>
      <x:c r="G365" s="7" t="str">
        <x:v>Fabricación</x:v>
      </x:c>
      <x:c r="H365" s="9" t="n">
        <x:v>0.0023899085847589856</x:v>
      </x:c>
      <x:c r="I365" s="7" t="n">
        <x:v>7850</x:v>
      </x:c>
      <x:c r="J365" s="14" t="n">
        <x:f>H365*I365</x:f>
        <x:v>18.760782390358038</x:v>
      </x:c>
      <x:c r="K365" s="14" t="n">
        <x:f>IF(ISNUMBER(J365),E365*J365,"n/d")</x:f>
        <x:v>18.760782390358038</x:v>
      </x:c>
      <x:c r="L365" s="7" t="str">
        <x:v>CAD_volume_x_specified_density</x:v>
      </x:c>
      <x:c r="M365" s="7" t="str">
        <x:v>Plano de conjunto / detalle funcional: TT10_C05_PC_06</x:v>
      </x:c>
      <x:c r="N365" s="7" t="str">
        <x:v>C05E_TT10_M281.SLDPRT</x:v>
      </x:c>
    </x:row>
    <x:row r="366" ht="34" customHeight="1">
      <x:c r="B366" s="7" t="n">
        <x:v>360</x:v>
      </x:c>
      <x:c r="C366" s="7" t="str">
        <x:v>TT10_M286</x:v>
      </x:c>
      <x:c r="D366" s="7" t="str">
        <x:v>Pieza TT10_M286</x:v>
      </x:c>
      <x:c r="E366" s="7" t="n">
        <x:v>1</x:v>
      </x:c>
      <x:c r="F366" s="7" t="str">
        <x:v>ASTM A36</x:v>
      </x:c>
      <x:c r="G366" s="7" t="str">
        <x:v>Fabricación</x:v>
      </x:c>
      <x:c r="H366" s="9" t="n">
        <x:v>0.002460772009246338</x:v>
      </x:c>
      <x:c r="I366" s="7" t="n">
        <x:v>7850</x:v>
      </x:c>
      <x:c r="J366" s="14" t="n">
        <x:f>H366*I366</x:f>
        <x:v>19.317060272583753</x:v>
      </x:c>
      <x:c r="K366" s="14" t="n">
        <x:f>IF(ISNUMBER(J366),E366*J366,"n/d")</x:f>
        <x:v>19.317060272583753</x:v>
      </x:c>
      <x:c r="L366" s="7" t="str">
        <x:v>CAD_volume_x_specified_density</x:v>
      </x:c>
      <x:c r="M366" s="7" t="str">
        <x:v>Plano de conjunto / detalle funcional: TT10_C05_PC_06</x:v>
      </x:c>
      <x:c r="N366" s="7" t="str">
        <x:v>C05E_TT10_M286.SLDPRT</x:v>
      </x:c>
    </x:row>
    <x:row r="367" ht="34" customHeight="1">
      <x:c r="B367" s="7" t="n">
        <x:v>361</x:v>
      </x:c>
      <x:c r="C367" s="7" t="str">
        <x:v>TT10_M291</x:v>
      </x:c>
      <x:c r="D367" s="7" t="str">
        <x:v>Pieza TT10_M291</x:v>
      </x:c>
      <x:c r="E367" s="7" t="n">
        <x:v>1</x:v>
      </x:c>
      <x:c r="F367" s="7" t="str">
        <x:v>ASTM A36</x:v>
      </x:c>
      <x:c r="G367" s="7" t="str">
        <x:v>Fabricación</x:v>
      </x:c>
      <x:c r="H367" s="9" t="n">
        <x:v>0.0023078947400676734</x:v>
      </x:c>
      <x:c r="I367" s="7" t="n">
        <x:v>7850.000000000001</x:v>
      </x:c>
      <x:c r="J367" s="14" t="n">
        <x:f>H367*I367</x:f>
        <x:v>18.116973709531237</x:v>
      </x:c>
      <x:c r="K367" s="14" t="n">
        <x:f>IF(ISNUMBER(J367),E367*J367,"n/d")</x:f>
        <x:v>18.116973709531237</x:v>
      </x:c>
      <x:c r="L367" s="7" t="str">
        <x:v>CAD_volume_x_specified_density</x:v>
      </x:c>
      <x:c r="M367" s="7" t="str">
        <x:v>Plano de conjunto / detalle funcional: TT10_C05_PC_07</x:v>
      </x:c>
      <x:c r="N367" s="7" t="str">
        <x:v>C05E_TT10_M291.SLDPRT</x:v>
      </x:c>
    </x:row>
    <x:row r="368" ht="34" customHeight="1">
      <x:c r="B368" s="7" t="n">
        <x:v>362</x:v>
      </x:c>
      <x:c r="C368" s="7" t="str">
        <x:v>TT10_M296</x:v>
      </x:c>
      <x:c r="D368" s="7" t="str">
        <x:v>Pieza TT10_M296</x:v>
      </x:c>
      <x:c r="E368" s="7" t="n">
        <x:v>1</x:v>
      </x:c>
      <x:c r="F368" s="7" t="str">
        <x:v>ASTM A36</x:v>
      </x:c>
      <x:c r="G368" s="7" t="str">
        <x:v>Fabricación</x:v>
      </x:c>
      <x:c r="H368" s="9" t="n">
        <x:v>0.0023103089550659643</x:v>
      </x:c>
      <x:c r="I368" s="7" t="n">
        <x:v>7850.000000000001</x:v>
      </x:c>
      <x:c r="J368" s="14" t="n">
        <x:f>H368*I368</x:f>
        <x:v>18.13592529726782</x:v>
      </x:c>
      <x:c r="K368" s="14" t="n">
        <x:f>IF(ISNUMBER(J368),E368*J368,"n/d")</x:f>
        <x:v>18.13592529726782</x:v>
      </x:c>
      <x:c r="L368" s="7" t="str">
        <x:v>CAD_volume_x_specified_density</x:v>
      </x:c>
      <x:c r="M368" s="7" t="str">
        <x:v>Plano de conjunto / detalle funcional: TT10_C05_PC_06</x:v>
      </x:c>
      <x:c r="N368" s="7" t="str">
        <x:v>C05E_TT10_M296.SLDPRT</x:v>
      </x:c>
    </x:row>
    <x:row r="369" ht="34" customHeight="1">
      <x:c r="B369" s="7" t="n">
        <x:v>363</x:v>
      </x:c>
      <x:c r="C369" s="7" t="str">
        <x:v>TT10_M301</x:v>
      </x:c>
      <x:c r="D369" s="7" t="str">
        <x:v>Pieza TT10_M301</x:v>
      </x:c>
      <x:c r="E369" s="7" t="n">
        <x:v>1</x:v>
      </x:c>
      <x:c r="F369" s="7" t="str">
        <x:v>ASTM A36</x:v>
      </x:c>
      <x:c r="G369" s="7" t="str">
        <x:v>Fabricación</x:v>
      </x:c>
      <x:c r="H369" s="9" t="n">
        <x:v>0.0024607720092428504</x:v>
      </x:c>
      <x:c r="I369" s="7" t="n">
        <x:v>7850</x:v>
      </x:c>
      <x:c r="J369" s="14" t="n">
        <x:f>H369*I369</x:f>
        <x:v>19.317060272556375</x:v>
      </x:c>
      <x:c r="K369" s="14" t="n">
        <x:f>IF(ISNUMBER(J369),E369*J369,"n/d")</x:f>
        <x:v>19.317060272556375</x:v>
      </x:c>
      <x:c r="L369" s="7" t="str">
        <x:v>CAD_volume_x_specified_density</x:v>
      </x:c>
      <x:c r="M369" s="7" t="str">
        <x:v>Plano de conjunto / detalle funcional: TT10_C05_PC_06</x:v>
      </x:c>
      <x:c r="N369" s="7" t="str">
        <x:v>C05E_TT10_M301.SLDPRT</x:v>
      </x:c>
    </x:row>
    <x:row r="370" ht="34" customHeight="1">
      <x:c r="B370" s="7" t="n">
        <x:v>364</x:v>
      </x:c>
      <x:c r="C370" s="7" t="str">
        <x:v>TT10_M306</x:v>
      </x:c>
      <x:c r="D370" s="7" t="str">
        <x:v>Oreja móvil espesor50, taladro Ø65.5 H9; radio de bloqueo900</x:v>
      </x:c>
      <x:c r="E370" s="7" t="n">
        <x:v>1</x:v>
      </x:c>
      <x:c r="F370" s="7" t="str">
        <x:v>ASTM A36</x:v>
      </x:c>
      <x:c r="G370" s="7" t="str">
        <x:v>Fabricación</x:v>
      </x:c>
      <x:c r="H370" s="9" t="n">
        <x:v>0.0029565222764743105</x:v>
      </x:c>
      <x:c r="I370" s="7" t="n">
        <x:v>7850</x:v>
      </x:c>
      <x:c r="J370" s="14" t="n">
        <x:f>H370*I370</x:f>
        <x:v>23.208699870323336</x:v>
      </x:c>
      <x:c r="K370" s="14" t="n">
        <x:f>IF(ISNUMBER(J370),E370*J370,"n/d")</x:f>
        <x:v>23.208699870323336</x:v>
      </x:c>
      <x:c r="L370" s="7" t="str">
        <x:v>CAD_volume_x_specified_density</x:v>
      </x:c>
      <x:c r="M370" s="7" t="str">
        <x:v>Plano de conjunto / detalle funcional: TT10_C05_PC_05</x:v>
      </x:c>
      <x:c r="N370" s="7" t="str">
        <x:v>C05E_TT10_M306.SLDPRT</x:v>
      </x:c>
    </x:row>
    <x:row r="371" ht="34" customHeight="1">
      <x:c r="B371" s="7" t="n">
        <x:v>365</x:v>
      </x:c>
      <x:c r="C371" s="7" t="str">
        <x:v>TT10_M311</x:v>
      </x:c>
      <x:c r="D371" s="7" t="str">
        <x:v>Pieza TT10_M311</x:v>
      </x:c>
      <x:c r="E371" s="7" t="n">
        <x:v>1</x:v>
      </x:c>
      <x:c r="F371" s="7" t="str">
        <x:v>ASTM A36</x:v>
      </x:c>
      <x:c r="G371" s="7" t="str">
        <x:v>Fabricación</x:v>
      </x:c>
      <x:c r="H371" s="9" t="n">
        <x:v>0.01925889962690305</x:v>
      </x:c>
      <x:c r="I371" s="7" t="n">
        <x:v>7850</x:v>
      </x:c>
      <x:c r="J371" s="14" t="n">
        <x:f>H371*I371</x:f>
        <x:v>151.18236207118895</x:v>
      </x:c>
      <x:c r="K371" s="14" t="n">
        <x:f>IF(ISNUMBER(J371),E371*J371,"n/d")</x:f>
        <x:v>151.18236207118895</x:v>
      </x:c>
      <x:c r="L371" s="7" t="str">
        <x:v>CAD_volume_x_specified_density</x:v>
      </x:c>
      <x:c r="M371" s="7" t="str">
        <x:v>Plano de conjunto / detalle funcional: TT10_C05_PC_05</x:v>
      </x:c>
      <x:c r="N371" s="7" t="str">
        <x:v>C05E_TT10_M311.SLDPRT</x:v>
      </x:c>
    </x:row>
    <x:row r="372" ht="34" customHeight="1">
      <x:c r="B372" s="7" t="n">
        <x:v>366</x:v>
      </x:c>
      <x:c r="C372" s="7" t="str">
        <x:v>TT10_M316</x:v>
      </x:c>
      <x:c r="D372" s="7" t="str">
        <x:v>Pieza TT10_M316</x:v>
      </x:c>
      <x:c r="E372" s="7" t="n">
        <x:v>1</x:v>
      </x:c>
      <x:c r="F372" s="7" t="str">
        <x:v>ASTM A36</x:v>
      </x:c>
      <x:c r="G372" s="7" t="str">
        <x:v>Fabricación</x:v>
      </x:c>
      <x:c r="H372" s="9" t="n">
        <x:v>0.002389908584759637</x:v>
      </x:c>
      <x:c r="I372" s="7" t="n">
        <x:v>7850</x:v>
      </x:c>
      <x:c r="J372" s="14" t="n">
        <x:f>H372*I372</x:f>
        <x:v>18.76078239036315</x:v>
      </x:c>
      <x:c r="K372" s="14" t="n">
        <x:f>IF(ISNUMBER(J372),E372*J372,"n/d")</x:f>
        <x:v>18.76078239036315</x:v>
      </x:c>
      <x:c r="L372" s="7" t="str">
        <x:v>CAD_volume_x_specified_density</x:v>
      </x:c>
      <x:c r="M372" s="7" t="str">
        <x:v>Plano de conjunto / detalle funcional: TT10_C05_PC_06</x:v>
      </x:c>
      <x:c r="N372" s="7" t="str">
        <x:v>C05E_TT10_M316.SLDPRT</x:v>
      </x:c>
    </x:row>
    <x:row r="373" ht="34" customHeight="1">
      <x:c r="B373" s="7" t="n">
        <x:v>367</x:v>
      </x:c>
      <x:c r="C373" s="7" t="str">
        <x:v>TT10_M326</x:v>
      </x:c>
      <x:c r="D373" s="7" t="str">
        <x:v>Pieza TT10_M326</x:v>
      </x:c>
      <x:c r="E373" s="7" t="n">
        <x:v>1</x:v>
      </x:c>
      <x:c r="F373" s="7" t="str">
        <x:v>ASTM A36</x:v>
      </x:c>
      <x:c r="G373" s="7" t="str">
        <x:v>Fabricación</x:v>
      </x:c>
      <x:c r="H373" s="9" t="n">
        <x:v>0.06873412942597892</x:v>
      </x:c>
      <x:c r="I373" s="7" t="n">
        <x:v>7850</x:v>
      </x:c>
      <x:c r="J373" s="14" t="n">
        <x:f>H373*I373</x:f>
        <x:v>539.5629159939346</x:v>
      </x:c>
      <x:c r="K373" s="14" t="n">
        <x:f>IF(ISNUMBER(J373),E373*J373,"n/d")</x:f>
        <x:v>539.5629159939346</x:v>
      </x:c>
      <x:c r="L373" s="7" t="str">
        <x:v>CAD_volume_x_specified_density</x:v>
      </x:c>
      <x:c r="M373" s="7" t="str">
        <x:v>Plano de conjunto / detalle funcional: TT10_C05_PC_06</x:v>
      </x:c>
      <x:c r="N373" s="7" t="str">
        <x:v>C05E_TT10_M326.SLDPRT</x:v>
      </x:c>
    </x:row>
    <x:row r="374" ht="34" customHeight="1">
      <x:c r="B374" s="7" t="n">
        <x:v>368</x:v>
      </x:c>
      <x:c r="C374" s="7" t="str">
        <x:v>TT10_M331</x:v>
      </x:c>
      <x:c r="D374" s="7" t="str">
        <x:v>Pieza TT10_M331</x:v>
      </x:c>
      <x:c r="E374" s="7" t="n">
        <x:v>1</x:v>
      </x:c>
      <x:c r="F374" s="7" t="str">
        <x:v>ASTM A36</x:v>
      </x:c>
      <x:c r="G374" s="7" t="str">
        <x:v>Fabricación</x:v>
      </x:c>
      <x:c r="H374" s="9" t="n">
        <x:v>0.0023039999999999983</x:v>
      </x:c>
      <x:c r="I374" s="7" t="n">
        <x:v>7850</x:v>
      </x:c>
      <x:c r="J374" s="14" t="n">
        <x:f>H374*I374</x:f>
        <x:v>18.086399999999987</x:v>
      </x:c>
      <x:c r="K374" s="14" t="n">
        <x:f>IF(ISNUMBER(J374),E374*J374,"n/d")</x:f>
        <x:v>18.086399999999987</x:v>
      </x:c>
      <x:c r="L374" s="7" t="str">
        <x:v>CAD_volume_x_specified_density</x:v>
      </x:c>
      <x:c r="M374" s="7" t="str">
        <x:v>Plano de conjunto / detalle funcional: TT10_C05_PC_06</x:v>
      </x:c>
      <x:c r="N374" s="7" t="str">
        <x:v>C05E_TT10_M331.SLDPRT</x:v>
      </x:c>
    </x:row>
    <x:row r="375" ht="34" customHeight="1">
      <x:c r="B375" s="7" t="n">
        <x:v>369</x:v>
      </x:c>
      <x:c r="C375" s="7" t="str">
        <x:v>TT10_M336</x:v>
      </x:c>
      <x:c r="D375" s="7" t="str">
        <x:v>Perfil tubular 200 x 100 x 10; L 250</x:v>
      </x:c>
      <x:c r="E375" s="7" t="n">
        <x:v>1</x:v>
      </x:c>
      <x:c r="F375" s="7" t="str">
        <x:v>S275J0H / EN 10219-1</x:v>
      </x:c>
      <x:c r="G375" s="7" t="str">
        <x:v>Fabricación</x:v>
      </x:c>
      <x:c r="H375" s="9" t="n">
        <x:v>0.0014000000000000872</x:v>
      </x:c>
      <x:c r="I375" s="7" t="n">
        <x:v>7850</x:v>
      </x:c>
      <x:c r="J375" s="14" t="n">
        <x:f>H375*I375</x:f>
        <x:v>10.990000000000684</x:v>
      </x:c>
      <x:c r="K375" s="14" t="n">
        <x:f>IF(ISNUMBER(J375),E375*J375,"n/d")</x:f>
        <x:v>10.990000000000684</x:v>
      </x:c>
      <x:c r="L375" s="7" t="str">
        <x:v>CAD_volume_x_specified_density</x:v>
      </x:c>
      <x:c r="M375" s="7" t="str">
        <x:v>Plano de conjunto / detalle funcional: TT10_C05_PC_05</x:v>
      </x:c>
      <x:c r="N375" s="7" t="str">
        <x:v>C05E_TT10_M336.SLDPRT</x:v>
      </x:c>
    </x:row>
    <x:row r="376" ht="34" customHeight="1">
      <x:c r="B376" s="7" t="n">
        <x:v>370</x:v>
      </x:c>
      <x:c r="C376" s="7" t="str">
        <x:v>TT10_M341</x:v>
      </x:c>
      <x:c r="D376" s="7" t="str">
        <x:v>Pieza TT10_M341</x:v>
      </x:c>
      <x:c r="E376" s="7" t="n">
        <x:v>1</x:v>
      </x:c>
      <x:c r="F376" s="7" t="str">
        <x:v>ASTM A36</x:v>
      </x:c>
      <x:c r="G376" s="7" t="str">
        <x:v>Fabricación</x:v>
      </x:c>
      <x:c r="H376" s="9" t="n">
        <x:v>0.002310308955066216</x:v>
      </x:c>
      <x:c r="I376" s="7" t="n">
        <x:v>7849.999999999999</x:v>
      </x:c>
      <x:c r="J376" s="14" t="n">
        <x:f>H376*I376</x:f>
        <x:v>18.135925297269793</x:v>
      </x:c>
      <x:c r="K376" s="14" t="n">
        <x:f>IF(ISNUMBER(J376),E376*J376,"n/d")</x:f>
        <x:v>18.135925297269793</x:v>
      </x:c>
      <x:c r="L376" s="7" t="str">
        <x:v>CAD_volume_x_specified_density</x:v>
      </x:c>
      <x:c r="M376" s="7" t="str">
        <x:v>Plano de conjunto / detalle funcional: TT10_C05_PC_06</x:v>
      </x:c>
      <x:c r="N376" s="7" t="str">
        <x:v>C05E_TT10_M341.SLDPRT</x:v>
      </x:c>
    </x:row>
    <x:row r="377" ht="34" customHeight="1">
      <x:c r="B377" s="7" t="n">
        <x:v>371</x:v>
      </x:c>
      <x:c r="C377" s="7" t="str">
        <x:v>TT10_M346</x:v>
      </x:c>
      <x:c r="D377" s="7" t="str">
        <x:v>Pieza TT10_M346</x:v>
      </x:c>
      <x:c r="E377" s="7" t="n">
        <x:v>1</x:v>
      </x:c>
      <x:c r="F377" s="7" t="str">
        <x:v>ASTM A36</x:v>
      </x:c>
      <x:c r="G377" s="7" t="str">
        <x:v>Fabricación</x:v>
      </x:c>
      <x:c r="H377" s="9" t="n">
        <x:v>0.0023392665460268886</x:v>
      </x:c>
      <x:c r="I377" s="7" t="n">
        <x:v>7850</x:v>
      </x:c>
      <x:c r="J377" s="14" t="n">
        <x:f>H377*I377</x:f>
        <x:v>18.363242386311075</x:v>
      </x:c>
      <x:c r="K377" s="14" t="n">
        <x:f>IF(ISNUMBER(J377),E377*J377,"n/d")</x:f>
        <x:v>18.363242386311075</x:v>
      </x:c>
      <x:c r="L377" s="7" t="str">
        <x:v>CAD_volume_x_specified_density</x:v>
      </x:c>
      <x:c r="M377" s="7" t="str">
        <x:v>Plano de conjunto / detalle funcional: TT10_C05_PC_06</x:v>
      </x:c>
      <x:c r="N377" s="7" t="str">
        <x:v>C05E_TT10_M346.SLDPRT</x:v>
      </x:c>
    </x:row>
    <x:row r="378" ht="34" customHeight="1">
      <x:c r="B378" s="7" t="n">
        <x:v>372</x:v>
      </x:c>
      <x:c r="C378" s="7" t="str">
        <x:v>TT10_M351</x:v>
      </x:c>
      <x:c r="D378" s="7" t="str">
        <x:v>Puente extendido 300 mm para bloqueo radio900</x:v>
      </x:c>
      <x:c r="E378" s="7" t="n">
        <x:v>1</x:v>
      </x:c>
      <x:c r="F378" s="7" t="str">
        <x:v>ASTM A36</x:v>
      </x:c>
      <x:c r="G378" s="7" t="str">
        <x:v>Fabricación</x:v>
      </x:c>
      <x:c r="H378" s="9" t="n">
        <x:v>0.006874999999999989</x:v>
      </x:c>
      <x:c r="I378" s="7" t="n">
        <x:v>7850</x:v>
      </x:c>
      <x:c r="J378" s="14" t="n">
        <x:f>H378*I378</x:f>
        <x:v>53.968749999999915</x:v>
      </x:c>
      <x:c r="K378" s="14" t="n">
        <x:f>IF(ISNUMBER(J378),E378*J378,"n/d")</x:f>
        <x:v>53.968749999999915</x:v>
      </x:c>
      <x:c r="L378" s="7" t="str">
        <x:v>CAD_volume_x_specified_density</x:v>
      </x:c>
      <x:c r="M378" s="7" t="str">
        <x:v>Plano de conjunto / detalle funcional: TT10_C05_PC_05</x:v>
      </x:c>
      <x:c r="N378" s="7" t="str">
        <x:v>C05E_TT10_M351.SLDPRT</x:v>
      </x:c>
    </x:row>
    <x:row r="379" ht="34" customHeight="1">
      <x:c r="B379" s="7" t="n">
        <x:v>373</x:v>
      </x:c>
      <x:c r="C379" s="7" t="str">
        <x:v>TT10_M356</x:v>
      </x:c>
      <x:c r="D379" s="7" t="str">
        <x:v>Perfil tubular 400 x 200 x 16; L 5600</x:v>
      </x:c>
      <x:c r="E379" s="7" t="n">
        <x:v>1</x:v>
      </x:c>
      <x:c r="F379" s="7" t="str">
        <x:v>S275J0H / EN 10219-1</x:v>
      </x:c>
      <x:c r="G379" s="7" t="str">
        <x:v>Fabricación</x:v>
      </x:c>
      <x:c r="H379" s="9" t="n">
        <x:v>0.101785600000001</x:v>
      </x:c>
      <x:c r="I379" s="7" t="n">
        <x:v>7850</x:v>
      </x:c>
      <x:c r="J379" s="14" t="n">
        <x:f>H379*I379</x:f>
        <x:v>799.0169600000079</x:v>
      </x:c>
      <x:c r="K379" s="14" t="n">
        <x:f>IF(ISNUMBER(J379),E379*J379,"n/d")</x:f>
        <x:v>799.0169600000079</x:v>
      </x:c>
      <x:c r="L379" s="7" t="str">
        <x:v>CAD_volume_x_specified_density</x:v>
      </x:c>
      <x:c r="M379" s="7" t="str">
        <x:v>Plano de conjunto / detalle funcional: TT10_C05_PC_05</x:v>
      </x:c>
      <x:c r="N379" s="7" t="str">
        <x:v>C05E_TT10_M356.SLDPRT</x:v>
      </x:c>
    </x:row>
    <x:row r="380" ht="34" customHeight="1">
      <x:c r="B380" s="7" t="n">
        <x:v>374</x:v>
      </x:c>
      <x:c r="C380" s="7" t="str">
        <x:v>TT10_M361</x:v>
      </x:c>
      <x:c r="D380" s="7" t="str">
        <x:v>Pieza TT10_M361</x:v>
      </x:c>
      <x:c r="E380" s="7" t="n">
        <x:v>1</x:v>
      </x:c>
      <x:c r="F380" s="7" t="str">
        <x:v>ASTM A36</x:v>
      </x:c>
      <x:c r="G380" s="7" t="str">
        <x:v>Fabricación</x:v>
      </x:c>
      <x:c r="H380" s="9" t="n">
        <x:v>0.002331737629523886</x:v>
      </x:c>
      <x:c r="I380" s="7" t="n">
        <x:v>7850</x:v>
      </x:c>
      <x:c r="J380" s="14" t="n">
        <x:f>H380*I380</x:f>
        <x:v>18.304140391762505</x:v>
      </x:c>
      <x:c r="K380" s="14" t="n">
        <x:f>IF(ISNUMBER(J380),E380*J380,"n/d")</x:f>
        <x:v>18.304140391762505</x:v>
      </x:c>
      <x:c r="L380" s="7" t="str">
        <x:v>CAD_volume_x_specified_density</x:v>
      </x:c>
      <x:c r="M380" s="7" t="str">
        <x:v>Plano de conjunto / detalle funcional: TT10_C05_PC_07</x:v>
      </x:c>
      <x:c r="N380" s="7" t="str">
        <x:v>C05E_TT10_M361.SLDPRT</x:v>
      </x:c>
    </x:row>
    <x:row r="381" ht="34" customHeight="1">
      <x:c r="B381" s="7" t="n">
        <x:v>375</x:v>
      </x:c>
      <x:c r="C381" s="7" t="str">
        <x:v>TT10_M366</x:v>
      </x:c>
      <x:c r="D381" s="7" t="str">
        <x:v>Pieza TT10_M366</x:v>
      </x:c>
      <x:c r="E381" s="7" t="n">
        <x:v>1</x:v>
      </x:c>
      <x:c r="F381" s="7" t="str">
        <x:v>ASTM A36</x:v>
      </x:c>
      <x:c r="G381" s="7" t="str">
        <x:v>Fabricación</x:v>
      </x:c>
      <x:c r="H381" s="9" t="n">
        <x:v>0.000625000000000003</x:v>
      </x:c>
      <x:c r="I381" s="7" t="n">
        <x:v>7850</x:v>
      </x:c>
      <x:c r="J381" s="14" t="n">
        <x:f>H381*I381</x:f>
        <x:v>4.906250000000024</x:v>
      </x:c>
      <x:c r="K381" s="14" t="n">
        <x:f>IF(ISNUMBER(J381),E381*J381,"n/d")</x:f>
        <x:v>4.906250000000024</x:v>
      </x:c>
      <x:c r="L381" s="7" t="str">
        <x:v>CAD_volume_x_specified_density</x:v>
      </x:c>
      <x:c r="M381" s="7" t="str">
        <x:v>Plano de conjunto / detalle funcional: TT10_C05_PC_05</x:v>
      </x:c>
      <x:c r="N381" s="7" t="str">
        <x:v>C05E_TT10_M366.SLDPRT</x:v>
      </x:c>
    </x:row>
    <x:row r="382" ht="34" customHeight="1">
      <x:c r="B382" s="7" t="n">
        <x:v>376</x:v>
      </x:c>
      <x:c r="C382" s="7" t="str">
        <x:v>TT10_M371</x:v>
      </x:c>
      <x:c r="D382" s="7" t="str">
        <x:v>Pieza TT10_M371</x:v>
      </x:c>
      <x:c r="E382" s="7" t="n">
        <x:v>1</x:v>
      </x:c>
      <x:c r="F382" s="7" t="str">
        <x:v>ASTM A36</x:v>
      </x:c>
      <x:c r="G382" s="7" t="str">
        <x:v>Fabricación</x:v>
      </x:c>
      <x:c r="H382" s="9" t="n">
        <x:v>0.0018750000000000069</x:v>
      </x:c>
      <x:c r="I382" s="7" t="n">
        <x:v>7850</x:v>
      </x:c>
      <x:c r="J382" s="14" t="n">
        <x:f>H382*I382</x:f>
        <x:v>14.718750000000053</x:v>
      </x:c>
      <x:c r="K382" s="14" t="n">
        <x:f>IF(ISNUMBER(J382),E382*J382,"n/d")</x:f>
        <x:v>14.718750000000053</x:v>
      </x:c>
      <x:c r="L382" s="7" t="str">
        <x:v>CAD_volume_x_specified_density</x:v>
      </x:c>
      <x:c r="M382" s="7" t="str">
        <x:v>Plano de conjunto / detalle funcional: TT10_C05_PC_05</x:v>
      </x:c>
      <x:c r="N382" s="7" t="str">
        <x:v>C05E_TT10_M371.SLDPRT</x:v>
      </x:c>
    </x:row>
    <x:row r="383" ht="34" customHeight="1">
      <x:c r="B383" s="7" t="n">
        <x:v>377</x:v>
      </x:c>
      <x:c r="C383" s="7" t="str">
        <x:v>TT10_M376</x:v>
      </x:c>
      <x:c r="D383" s="7" t="str">
        <x:v>Contraplaca80 con doce M30 ciegas78 PCD450, apriete desde exterior</x:v>
      </x:c>
      <x:c r="E383" s="7" t="n">
        <x:v>1</x:v>
      </x:c>
      <x:c r="F383" s="7" t="str">
        <x:v>ASTM A36</x:v>
      </x:c>
      <x:c r="G383" s="7" t="str">
        <x:v>Fabricación</x:v>
      </x:c>
      <x:c r="H383" s="9" t="n">
        <x:v>0.025625106464282146</x:v>
      </x:c>
      <x:c r="I383" s="7" t="n">
        <x:v>7850</x:v>
      </x:c>
      <x:c r="J383" s="14" t="n">
        <x:f>H383*I383</x:f>
        <x:v>201.15708574461485</x:v>
      </x:c>
      <x:c r="K383" s="14" t="n">
        <x:f>IF(ISNUMBER(J383),E383*J383,"n/d")</x:f>
        <x:v>201.15708574461485</x:v>
      </x:c>
      <x:c r="L383" s="7" t="str">
        <x:v>CAD_volume_x_specified_density</x:v>
      </x:c>
      <x:c r="M383" s="7" t="str">
        <x:v>Plano de conjunto / detalle funcional: TT10_C05_PC_09</x:v>
      </x:c>
      <x:c r="N383" s="7" t="str">
        <x:v>C05E_TT10_M376.SLDPRT</x:v>
      </x:c>
    </x:row>
    <x:row r="384" ht="34" customHeight="1">
      <x:c r="B384" s="7" t="n">
        <x:v>378</x:v>
      </x:c>
      <x:c r="C384" s="7" t="str">
        <x:v>TT10_M381</x:v>
      </x:c>
      <x:c r="D384" s="7" t="str">
        <x:v>Perfil tubular 200 x 150 x 10; L 2200</x:v>
      </x:c>
      <x:c r="E384" s="7" t="n">
        <x:v>1</x:v>
      </x:c>
      <x:c r="F384" s="7" t="str">
        <x:v>S275J0H / EN 10219-1</x:v>
      </x:c>
      <x:c r="G384" s="7" t="str">
        <x:v>Fabricación</x:v>
      </x:c>
      <x:c r="H384" s="9" t="n">
        <x:v>0.014520000000000066</x:v>
      </x:c>
      <x:c r="I384" s="7" t="n">
        <x:v>7850</x:v>
      </x:c>
      <x:c r="J384" s="14" t="n">
        <x:f>H384*I384</x:f>
        <x:v>113.98200000000051</x:v>
      </x:c>
      <x:c r="K384" s="14" t="n">
        <x:f>IF(ISNUMBER(J384),E384*J384,"n/d")</x:f>
        <x:v>113.98200000000051</x:v>
      </x:c>
      <x:c r="L384" s="7" t="str">
        <x:v>CAD_volume_x_specified_density</x:v>
      </x:c>
      <x:c r="M384" s="7" t="str">
        <x:v>Plano de conjunto / detalle funcional: TT10_C05_PC_05</x:v>
      </x:c>
      <x:c r="N384" s="7" t="str">
        <x:v>C05E_TT10_M381.SLDPRT</x:v>
      </x:c>
    </x:row>
    <x:row r="385" ht="34" customHeight="1">
      <x:c r="B385" s="7" t="n">
        <x:v>379</x:v>
      </x:c>
      <x:c r="C385" s="7" t="str">
        <x:v>TT10_M386</x:v>
      </x:c>
      <x:c r="D385" s="7" t="str">
        <x:v>Revestimiento AR400 t12 con ocho M16 avellanados desmontables</x:v>
      </x:c>
      <x:c r="E385" s="7" t="n">
        <x:v>1</x:v>
      </x:c>
      <x:c r="F385" s="7" t="str">
        <x:v>Hardox 400</x:v>
      </x:c>
      <x:c r="G385" s="7" t="str">
        <x:v>Fabricación</x:v>
      </x:c>
      <x:c r="H385" s="9" t="n">
        <x:v>0.020010113233543462</x:v>
      </x:c>
      <x:c r="I385" s="7" t="n">
        <x:v>7850</x:v>
      </x:c>
      <x:c r="J385" s="14" t="n">
        <x:f>H385*I385</x:f>
        <x:v>157.07938888331617</x:v>
      </x:c>
      <x:c r="K385" s="14" t="n">
        <x:f>IF(ISNUMBER(J385),E385*J385,"n/d")</x:f>
        <x:v>157.07938888331617</x:v>
      </x:c>
      <x:c r="L385" s="7" t="str">
        <x:v>CAD_volume_x_specified_density</x:v>
      </x:c>
      <x:c r="M385" s="7" t="str">
        <x:v>Plano de conjunto / detalle funcional: TT10_C05_PC_08</x:v>
      </x:c>
      <x:c r="N385" s="7" t="str">
        <x:v>C05E_TT10_M386.SLDPRT</x:v>
      </x:c>
    </x:row>
    <x:row r="386" ht="34" customHeight="1">
      <x:c r="B386" s="7" t="n">
        <x:v>380</x:v>
      </x:c>
      <x:c r="C386" s="7" t="str">
        <x:v>TT10_M391</x:v>
      </x:c>
      <x:c r="D386" s="7" t="str">
        <x:v>Revestimiento AR400 t12 con ocho M16 avellanados desmontables</x:v>
      </x:c>
      <x:c r="E386" s="7" t="n">
        <x:v>1</x:v>
      </x:c>
      <x:c r="F386" s="7" t="str">
        <x:v>Hardox 400</x:v>
      </x:c>
      <x:c r="G386" s="7" t="str">
        <x:v>Fabricación</x:v>
      </x:c>
      <x:c r="H386" s="9" t="n">
        <x:v>0.020010113233543462</x:v>
      </x:c>
      <x:c r="I386" s="7" t="n">
        <x:v>7850</x:v>
      </x:c>
      <x:c r="J386" s="14" t="n">
        <x:f>H386*I386</x:f>
        <x:v>157.07938888331617</x:v>
      </x:c>
      <x:c r="K386" s="14" t="n">
        <x:f>IF(ISNUMBER(J386),E386*J386,"n/d")</x:f>
        <x:v>157.07938888331617</x:v>
      </x:c>
      <x:c r="L386" s="7" t="str">
        <x:v>CAD_volume_x_specified_density</x:v>
      </x:c>
      <x:c r="M386" s="7" t="str">
        <x:v>Plano de conjunto / detalle funcional: TT10_C05_PC_08</x:v>
      </x:c>
      <x:c r="N386" s="7" t="str">
        <x:v>C05E_TT10_M391.SLDPRT</x:v>
      </x:c>
    </x:row>
    <x:row r="387" ht="34" customHeight="1">
      <x:c r="B387" s="7" t="n">
        <x:v>381</x:v>
      </x:c>
      <x:c r="C387" s="7" t="str">
        <x:v>TT10_M396</x:v>
      </x:c>
      <x:c r="D387" s="7" t="str">
        <x:v>Pieza TT10_M396</x:v>
      </x:c>
      <x:c r="E387" s="7" t="n">
        <x:v>1</x:v>
      </x:c>
      <x:c r="F387" s="7" t="str">
        <x:v>ASTM A36</x:v>
      </x:c>
      <x:c r="G387" s="7" t="str">
        <x:v>Fabricación</x:v>
      </x:c>
      <x:c r="H387" s="9" t="n">
        <x:v>0.0024607720092420992</x:v>
      </x:c>
      <x:c r="I387" s="7" t="n">
        <x:v>7850</x:v>
      </x:c>
      <x:c r="J387" s="14" t="n">
        <x:f>H387*I387</x:f>
        <x:v>19.317060272550478</x:v>
      </x:c>
      <x:c r="K387" s="14" t="n">
        <x:f>IF(ISNUMBER(J387),E387*J387,"n/d")</x:f>
        <x:v>19.317060272550478</x:v>
      </x:c>
      <x:c r="L387" s="7" t="str">
        <x:v>CAD_volume_x_specified_density</x:v>
      </x:c>
      <x:c r="M387" s="7" t="str">
        <x:v>Plano de conjunto / detalle funcional: TT10_C05_PC_06</x:v>
      </x:c>
      <x:c r="N387" s="7" t="str">
        <x:v>C05E_TT10_M396.SLDPRT</x:v>
      </x:c>
    </x:row>
    <x:row r="388" ht="34" customHeight="1">
      <x:c r="B388" s="7" t="n">
        <x:v>382</x:v>
      </x:c>
      <x:c r="C388" s="7" t="str">
        <x:v>TT10_M401</x:v>
      </x:c>
      <x:c r="D388" s="7" t="str">
        <x:v>Pieza TT10_M401</x:v>
      </x:c>
      <x:c r="E388" s="7" t="n">
        <x:v>1</x:v>
      </x:c>
      <x:c r="F388" s="7" t="str">
        <x:v>ASTM A36</x:v>
      </x:c>
      <x:c r="G388" s="7" t="str">
        <x:v>Fabricación</x:v>
      </x:c>
      <x:c r="H388" s="9" t="n">
        <x:v>0.050087922695995726</x:v>
      </x:c>
      <x:c r="I388" s="7" t="n">
        <x:v>7850</x:v>
      </x:c>
      <x:c r="J388" s="14" t="n">
        <x:f>H388*I388</x:f>
        <x:v>393.19019316356645</x:v>
      </x:c>
      <x:c r="K388" s="14" t="n">
        <x:f>IF(ISNUMBER(J388),E388*J388,"n/d")</x:f>
        <x:v>393.19019316356645</x:v>
      </x:c>
      <x:c r="L388" s="7" t="str">
        <x:v>CAD_volume_x_specified_density</x:v>
      </x:c>
      <x:c r="M388" s="7" t="str">
        <x:v>Plano de conjunto / detalle funcional: TT10_C05_PC_07</x:v>
      </x:c>
      <x:c r="N388" s="7" t="str">
        <x:v>C05E_TT10_M401.SLDPRT</x:v>
      </x:c>
    </x:row>
    <x:row r="389" ht="34" customHeight="1">
      <x:c r="B389" s="7" t="n">
        <x:v>383</x:v>
      </x:c>
      <x:c r="C389" s="7" t="str">
        <x:v>TT10_M406</x:v>
      </x:c>
      <x:c r="D389" s="7" t="str">
        <x:v>Pieza TT10_M406</x:v>
      </x:c>
      <x:c r="E389" s="7" t="n">
        <x:v>1</x:v>
      </x:c>
      <x:c r="F389" s="7" t="str">
        <x:v>ASTM A36</x:v>
      </x:c>
      <x:c r="G389" s="7" t="str">
        <x:v>Fabricación</x:v>
      </x:c>
      <x:c r="H389" s="9" t="n">
        <x:v>0.002331737629523691</x:v>
      </x:c>
      <x:c r="I389" s="7" t="n">
        <x:v>7850</x:v>
      </x:c>
      <x:c r="J389" s="14" t="n">
        <x:f>H389*I389</x:f>
        <x:v>18.304140391760974</x:v>
      </x:c>
      <x:c r="K389" s="14" t="n">
        <x:f>IF(ISNUMBER(J389),E389*J389,"n/d")</x:f>
        <x:v>18.304140391760974</x:v>
      </x:c>
      <x:c r="L389" s="7" t="str">
        <x:v>CAD_volume_x_specified_density</x:v>
      </x:c>
      <x:c r="M389" s="7" t="str">
        <x:v>Plano de conjunto / detalle funcional: TT10_C05_PC_07</x:v>
      </x:c>
      <x:c r="N389" s="7" t="str">
        <x:v>C05E_TT10_M406.SLDPRT</x:v>
      </x:c>
    </x:row>
    <x:row r="390" ht="34" customHeight="1">
      <x:c r="B390" s="7" t="n">
        <x:v>384</x:v>
      </x:c>
      <x:c r="C390" s="7" t="str">
        <x:v>TT10_M411</x:v>
      </x:c>
      <x:c r="D390" s="7" t="str">
        <x:v>Pieza TT10_M411</x:v>
      </x:c>
      <x:c r="E390" s="7" t="n">
        <x:v>1</x:v>
      </x:c>
      <x:c r="F390" s="7" t="str">
        <x:v>ASTM A36</x:v>
      </x:c>
      <x:c r="G390" s="7" t="str">
        <x:v>Fabricación</x:v>
      </x:c>
      <x:c r="H390" s="9" t="n">
        <x:v>0.05008792269602954</x:v>
      </x:c>
      <x:c r="I390" s="7" t="n">
        <x:v>7850</x:v>
      </x:c>
      <x:c r="J390" s="14" t="n">
        <x:f>H390*I390</x:f>
        <x:v>393.1901931638319</x:v>
      </x:c>
      <x:c r="K390" s="14" t="n">
        <x:f>IF(ISNUMBER(J390),E390*J390,"n/d")</x:f>
        <x:v>393.1901931638319</x:v>
      </x:c>
      <x:c r="L390" s="7" t="str">
        <x:v>CAD_volume_x_specified_density</x:v>
      </x:c>
      <x:c r="M390" s="7" t="str">
        <x:v>Plano de conjunto / detalle funcional: TT10_C05_PC_07</x:v>
      </x:c>
      <x:c r="N390" s="7" t="str">
        <x:v>C05E_TT10_M411.SLDPRT</x:v>
      </x:c>
    </x:row>
    <x:row r="391" ht="34" customHeight="1">
      <x:c r="B391" s="7" t="n">
        <x:v>385</x:v>
      </x:c>
      <x:c r="C391" s="7" t="str">
        <x:v>TT10_MB40_N</x:v>
      </x:c>
      <x:c r="D391" s="7" t="str">
        <x:v>MB40 comprada: una pestana plegada nominal en KM40; restantes18 planas</x:v>
      </x:c>
      <x:c r="E391" s="7" t="n">
        <x:v>1</x:v>
      </x:c>
      <x:c r="F391" s="7" t="str">
        <x:v>Acero arandela comercial Timken MB40; variante a confirmar</x:v>
      </x:c>
      <x:c r="G391" s="7" t="str">
        <x:v>Comercial</x:v>
      </x:c>
      <x:c r="H391" s="9" t="n">
        <x:v>0.00003738146626038725</x:v>
      </x:c>
      <x:c r="I391" s="7"/>
      <x:c r="J391" s="14" t="n">
        <x:v>0.28</x:v>
      </x:c>
      <x:c r="K391" s="14" t="n">
        <x:f>IF(ISNUMBER(J391),E391*J391,"n/d")</x:f>
        <x:v>0.28</x:v>
      </x:c>
      <x:c r="L391" s="7" t="str">
        <x:v>MB40</x:v>
      </x:c>
      <x:c r="M391" s="7" t="str">
        <x:v>BOM y montaje TT10_C05_PC_01; sin plano individual</x:v>
      </x:c>
      <x:c r="N391" s="7" t="str">
        <x:v>C05E_TT10_MB40_N.SLDPRT</x:v>
      </x:c>
    </x:row>
    <x:row r="392" ht="34" customHeight="1">
      <x:c r="B392" s="7" t="n">
        <x:v>386</x:v>
      </x:c>
      <x:c r="C392" s="7" t="str">
        <x:v>TT10_MB40_P</x:v>
      </x:c>
      <x:c r="D392" s="7" t="str">
        <x:v>MB40 comprada: una pestana plegada nominal en KM40; restantes18 planas</x:v>
      </x:c>
      <x:c r="E392" s="7" t="n">
        <x:v>1</x:v>
      </x:c>
      <x:c r="F392" s="7" t="str">
        <x:v>Acero arandela comercial Timken MB40; variante a confirmar</x:v>
      </x:c>
      <x:c r="G392" s="7" t="str">
        <x:v>Comercial</x:v>
      </x:c>
      <x:c r="H392" s="9" t="n">
        <x:v>0.0000373814662603872</x:v>
      </x:c>
      <x:c r="I392" s="7"/>
      <x:c r="J392" s="14" t="n">
        <x:v>0.28</x:v>
      </x:c>
      <x:c r="K392" s="14" t="n">
        <x:f>IF(ISNUMBER(J392),E392*J392,"n/d")</x:f>
        <x:v>0.28</x:v>
      </x:c>
      <x:c r="L392" s="7" t="str">
        <x:v>MB40</x:v>
      </x:c>
      <x:c r="M392" s="7" t="str">
        <x:v>BOM y montaje TT10_C05_PC_01; sin plano individual</x:v>
      </x:c>
      <x:c r="N392" s="7" t="str">
        <x:v>C05E_TT10_MB40_P.SLDPRT</x:v>
      </x:c>
    </x:row>
    <x:row r="393" ht="34" customHeight="1">
      <x:c r="B393" s="7" t="n">
        <x:v>387</x:v>
      </x:c>
      <x:c r="C393" s="7" t="str">
        <x:v>TT10_N20_P1I</x:v>
      </x:c>
      <x:c r="D393" s="7" t="str">
        <x:v>Tuerca M20 clase8; rosca simplificada</x:v>
      </x:c>
      <x:c r="E393" s="7" t="n">
        <x:v>16</x:v>
      </x:c>
      <x:c r="F393" s="7" t="str">
        <x:v>Tuerca clase 8 / ISO 898-2</x:v>
      </x:c>
      <x:c r="G393" s="7" t="str">
        <x:v>Comercial</x:v>
      </x:c>
      <x:c r="H393" s="9" t="n">
        <x:v>0.000007444217568752248</x:v>
      </x:c>
      <x:c r="I393" s="7" t="n">
        <x:v>7850</x:v>
      </x:c>
      <x:c r="J393" s="14" t="n">
        <x:f>H393*I393</x:f>
        <x:v>0.05843710791470515</x:v>
      </x:c>
      <x:c r="K393" s="14" t="n">
        <x:f>IF(ISNUMBER(J393),E393*J393,"n/d")</x:f>
        <x:v>0.9349937266352824</x:v>
      </x:c>
      <x:c r="L393" s="7" t="str">
        <x:v>CAD_volume_x_specified_density</x:v>
      </x:c>
      <x:c r="M393" s="7" t="str">
        <x:v>BOM y montaje TT10_C05_PC_01; sin plano individual</x:v>
      </x:c>
      <x:c r="N393" s="7" t="str">
        <x:v>C05E_TT10_N20_P1I.SLDPRT</x:v>
      </x:c>
    </x:row>
    <x:row r="394" ht="34" customHeight="1">
      <x:c r="B394" s="7" t="n">
        <x:v>388</x:v>
      </x:c>
      <x:c r="C394" s="7" t="str">
        <x:v>TT10_NODO_N</x:v>
      </x:c>
      <x:c r="D394" s="7" t="str">
        <x:v>Placa de nodo20: unión entre puente desplazado y columna principal</x:v>
      </x:c>
      <x:c r="E394" s="7" t="n">
        <x:v>1</x:v>
      </x:c>
      <x:c r="F394" s="7" t="str">
        <x:v>ASTM A36</x:v>
      </x:c>
      <x:c r="G394" s="7" t="str">
        <x:v>Fabricación</x:v>
      </x:c>
      <x:c r="H394" s="9" t="n">
        <x:v>0.0021750000000000025</x:v>
      </x:c>
      <x:c r="I394" s="7" t="n">
        <x:v>7849.999999999999</x:v>
      </x:c>
      <x:c r="J394" s="14" t="n">
        <x:f>H394*I394</x:f>
        <x:v>17.073750000000018</x:v>
      </x:c>
      <x:c r="K394" s="14" t="n">
        <x:f>IF(ISNUMBER(J394),E394*J394,"n/d")</x:f>
        <x:v>17.073750000000018</x:v>
      </x:c>
      <x:c r="L394" s="7" t="str">
        <x:v>CAD_volume_x_specified_density</x:v>
      </x:c>
      <x:c r="M394" s="7" t="str">
        <x:v>Plano de conjunto / detalle funcional: TT10_C05_PC_02</x:v>
      </x:c>
      <x:c r="N394" s="7" t="str">
        <x:v>C05E_TT10_NODO_N.SLDPRT</x:v>
      </x:c>
    </x:row>
    <x:row r="395" ht="34" customHeight="1">
      <x:c r="B395" s="7" t="n">
        <x:v>389</x:v>
      </x:c>
      <x:c r="C395" s="7" t="str">
        <x:v>TT10_NODO_P</x:v>
      </x:c>
      <x:c r="D395" s="7" t="str">
        <x:v>Placa de nodo20: unión entre puente desplazado y columna principal</x:v>
      </x:c>
      <x:c r="E395" s="7" t="n">
        <x:v>1</x:v>
      </x:c>
      <x:c r="F395" s="7" t="str">
        <x:v>ASTM A36</x:v>
      </x:c>
      <x:c r="G395" s="7" t="str">
        <x:v>Fabricación</x:v>
      </x:c>
      <x:c r="H395" s="9" t="n">
        <x:v>0.002175000000000002</x:v>
      </x:c>
      <x:c r="I395" s="7" t="n">
        <x:v>7849.999999999999</x:v>
      </x:c>
      <x:c r="J395" s="14" t="n">
        <x:f>H395*I395</x:f>
        <x:v>17.073750000000015</x:v>
      </x:c>
      <x:c r="K395" s="14" t="n">
        <x:f>IF(ISNUMBER(J395),E395*J395,"n/d")</x:f>
        <x:v>17.073750000000015</x:v>
      </x:c>
      <x:c r="L395" s="7" t="str">
        <x:v>CAD_volume_x_specified_density</x:v>
      </x:c>
      <x:c r="M395" s="7" t="str">
        <x:v>Plano de conjunto / detalle funcional: TT10_C05_PC_02</x:v>
      </x:c>
      <x:c r="N395" s="7" t="str">
        <x:v>C05E_TT10_NODO_P.SLDPRT</x:v>
      </x:c>
    </x:row>
    <x:row r="396" ht="34" customHeight="1">
      <x:c r="B396" s="7" t="n">
        <x:v>390</x:v>
      </x:c>
      <x:c r="C396" s="7" t="str">
        <x:v>TT10_PE_ACT_CUERPO</x:v>
      </x:c>
      <x:c r="D396" s="7" t="str">
        <x:v>Thomson HD24B026-0250LPS2MMSD: interfaces nominales y envolvente conservadora, NO CAD oficial</x:v>
      </x:c>
      <x:c r="E396" s="7" t="n">
        <x:v>2</x:v>
      </x:c>
      <x:c r="F396" s="7" t="str">
        <x:v>Conjunto comercial; selección condicionada</x:v>
      </x:c>
      <x:c r="G396" s="7" t="str">
        <x:v>Comercial</x:v>
      </x:c>
      <x:c r="H396" s="9" t="n">
        <x:v>0.0032862833898049644</x:v>
      </x:c>
      <x:c r="I396" s="7"/>
      <x:c r="J396" s="14" t="str">
        <x:v>n/d</x:v>
      </x:c>
      <x:c r="K396" s="14" t="str">
        <x:f>IF(ISNUMBER(J396),E396*J396,"n/d")</x:f>
        <x:v>n/d</x:v>
      </x:c>
      <x:c r="L396" s="7" t="str">
        <x:v>OEM_mass_required</x:v>
      </x:c>
      <x:c r="M396" s="7" t="str">
        <x:v>BOM y montaje TT10_C05_PC_01; sin plano individual</x:v>
      </x:c>
      <x:c r="N396" s="7" t="str">
        <x:v>C05E_TT10_PE_ACT_CUERPO.SLDPRT</x:v>
      </x:c>
    </x:row>
    <x:row r="397" ht="34" customHeight="1">
      <x:c r="B397" s="7" t="n">
        <x:v>391</x:v>
      </x:c>
      <x:c r="C397" s="7" t="str">
        <x:v>TT10_PE_ACT_VASTAGO</x:v>
      </x:c>
      <x:c r="D397" s="7" t="str">
        <x:v>Extremo y vástago comercial nominal D30.2; taladro12.2; parte móvil de candidato Thomson</x:v>
      </x:c>
      <x:c r="E397" s="7" t="n">
        <x:v>2</x:v>
      </x:c>
      <x:c r="F397" s="7" t="str">
        <x:v>Subcomponente de actuador comercial</x:v>
      </x:c>
      <x:c r="G397" s="7" t="str">
        <x:v>Comercial</x:v>
      </x:c>
      <x:c r="H397" s="9" t="n">
        <x:v>0.00018529190853264663</x:v>
      </x:c>
      <x:c r="I397" s="7"/>
      <x:c r="J397" s="14" t="str">
        <x:v>n/d</x:v>
      </x:c>
      <x:c r="K397" s="14" t="str">
        <x:f>IF(ISNUMBER(J397),E397*J397,"n/d")</x:f>
        <x:v>n/d</x:v>
      </x:c>
      <x:c r="L397" s="7" t="str">
        <x:v>OEM_mass_required</x:v>
      </x:c>
      <x:c r="M397" s="7" t="str">
        <x:v>BOM y montaje TT10_C05_PC_01; sin plano individual</x:v>
      </x:c>
      <x:c r="N397" s="7" t="str">
        <x:v>C05E_TT10_PE_ACT_VASTAGO.SLDPRT</x:v>
      </x:c>
    </x:row>
    <x:row r="398" ht="34" customHeight="1">
      <x:c r="B398" s="7" t="n">
        <x:v>392</x:v>
      </x:c>
      <x:c r="C398" s="7" t="str">
        <x:v>TT10_PE_BA0</x:v>
      </x:c>
      <x:c r="D398" s="7" t="str">
        <x:v>Tornillo M8x40 clase8.8, rosca nominal; fijador de rosca según montaje</x:v>
      </x:c>
      <x:c r="E398" s="7" t="n">
        <x:v>2</x:v>
      </x:c>
      <x:c r="F398" s="7" t="str">
        <x:v>Clase 8.8 / ISO 898-1</x:v>
      </x:c>
      <x:c r="G398" s="7" t="str">
        <x:v>Comercial</x:v>
      </x:c>
      <x:c r="H398" s="9" t="n">
        <x:v>0.0000029477699570658574</x:v>
      </x:c>
      <x:c r="I398" s="7" t="n">
        <x:v>7850</x:v>
      </x:c>
      <x:c r="J398" s="14" t="n">
        <x:f>H398*I398</x:f>
        <x:v>0.02313999416296698</x:v>
      </x:c>
      <x:c r="K398" s="14" t="n">
        <x:f>IF(ISNUMBER(J398),E398*J398,"n/d")</x:f>
        <x:v>0.04627998832593396</x:v>
      </x:c>
      <x:c r="L398" s="7" t="str">
        <x:v>CAD_volume_x_specified_density</x:v>
      </x:c>
      <x:c r="M398" s="7" t="str">
        <x:v>BOM y montaje TT10_C05_PC_01; sin plano individual</x:v>
      </x:c>
      <x:c r="N398" s="7" t="str">
        <x:v>C05E_TT10_PE_BA0.SLDPRT</x:v>
      </x:c>
    </x:row>
    <x:row r="399" ht="34" customHeight="1">
      <x:c r="B399" s="7" t="n">
        <x:v>393</x:v>
      </x:c>
      <x:c r="C399" s="7" t="str">
        <x:v>TT10_PE_BA1</x:v>
      </x:c>
      <x:c r="D399" s="7" t="str">
        <x:v>Tornillo M8x40 clase8.8, rosca nominal; fijador de rosca según montaje</x:v>
      </x:c>
      <x:c r="E399" s="7" t="n">
        <x:v>2</x:v>
      </x:c>
      <x:c r="F399" s="7" t="str">
        <x:v>Clase 8.8 / ISO 898-1</x:v>
      </x:c>
      <x:c r="G399" s="7" t="str">
        <x:v>Comercial</x:v>
      </x:c>
      <x:c r="H399" s="9" t="n">
        <x:v>0.0000029477699570658574</x:v>
      </x:c>
      <x:c r="I399" s="7" t="n">
        <x:v>7850</x:v>
      </x:c>
      <x:c r="J399" s="14" t="n">
        <x:f>H399*I399</x:f>
        <x:v>0.02313999416296698</x:v>
      </x:c>
      <x:c r="K399" s="14" t="n">
        <x:f>IF(ISNUMBER(J399),E399*J399,"n/d")</x:f>
        <x:v>0.04627998832593396</x:v>
      </x:c>
      <x:c r="L399" s="7" t="str">
        <x:v>CAD_volume_x_specified_density</x:v>
      </x:c>
      <x:c r="M399" s="7" t="str">
        <x:v>BOM y montaje TT10_C05_PC_01; sin plano individual</x:v>
      </x:c>
      <x:c r="N399" s="7" t="str">
        <x:v>C05E_TT10_PE_BA1.SLDPRT</x:v>
      </x:c>
    </x:row>
    <x:row r="400" ht="34" customHeight="1">
      <x:c r="B400" s="7" t="n">
        <x:v>394</x:v>
      </x:c>
      <x:c r="C400" s="7" t="str">
        <x:v>TT10_PE_BA2</x:v>
      </x:c>
      <x:c r="D400" s="7" t="str">
        <x:v>Tornillo M8x40 clase8.8, rosca nominal; fijador de rosca según montaje</x:v>
      </x:c>
      <x:c r="E400" s="7" t="n">
        <x:v>2</x:v>
      </x:c>
      <x:c r="F400" s="7" t="str">
        <x:v>Clase 8.8 / ISO 898-1</x:v>
      </x:c>
      <x:c r="G400" s="7" t="str">
        <x:v>Comercial</x:v>
      </x:c>
      <x:c r="H400" s="9" t="n">
        <x:v>0.0000029477699570658574</x:v>
      </x:c>
      <x:c r="I400" s="7" t="n">
        <x:v>7850</x:v>
      </x:c>
      <x:c r="J400" s="14" t="n">
        <x:f>H400*I400</x:f>
        <x:v>0.02313999416296698</x:v>
      </x:c>
      <x:c r="K400" s="14" t="n">
        <x:f>IF(ISNUMBER(J400),E400*J400,"n/d")</x:f>
        <x:v>0.04627998832593396</x:v>
      </x:c>
      <x:c r="L400" s="7" t="str">
        <x:v>CAD_volume_x_specified_density</x:v>
      </x:c>
      <x:c r="M400" s="7" t="str">
        <x:v>BOM y montaje TT10_C05_PC_01; sin plano individual</x:v>
      </x:c>
      <x:c r="N400" s="7" t="str">
        <x:v>C05E_TT10_PE_BA2.SLDPRT</x:v>
      </x:c>
    </x:row>
    <x:row r="401" ht="34" customHeight="1">
      <x:c r="B401" s="7" t="n">
        <x:v>395</x:v>
      </x:c>
      <x:c r="C401" s="7" t="str">
        <x:v>TT10_PE_BA3</x:v>
      </x:c>
      <x:c r="D401" s="7" t="str">
        <x:v>Tornillo M8x40 clase8.8, rosca nominal; fijador de rosca según montaje</x:v>
      </x:c>
      <x:c r="E401" s="7" t="n">
        <x:v>2</x:v>
      </x:c>
      <x:c r="F401" s="7" t="str">
        <x:v>Clase 8.8 / ISO 898-1</x:v>
      </x:c>
      <x:c r="G401" s="7" t="str">
        <x:v>Comercial</x:v>
      </x:c>
      <x:c r="H401" s="9" t="n">
        <x:v>0.0000029477699570658574</x:v>
      </x:c>
      <x:c r="I401" s="7" t="n">
        <x:v>7850</x:v>
      </x:c>
      <x:c r="J401" s="14" t="n">
        <x:f>H401*I401</x:f>
        <x:v>0.02313999416296698</x:v>
      </x:c>
      <x:c r="K401" s="14" t="n">
        <x:f>IF(ISNUMBER(J401),E401*J401,"n/d")</x:f>
        <x:v>0.04627998832593396</x:v>
      </x:c>
      <x:c r="L401" s="7" t="str">
        <x:v>CAD_volume_x_specified_density</x:v>
      </x:c>
      <x:c r="M401" s="7" t="str">
        <x:v>BOM y montaje TT10_C05_PC_01; sin plano individual</x:v>
      </x:c>
      <x:c r="N401" s="7" t="str">
        <x:v>C05E_TT10_PE_BA3.SLDPRT</x:v>
      </x:c>
    </x:row>
    <x:row r="402" ht="34" customHeight="1">
      <x:c r="B402" s="7" t="n">
        <x:v>396</x:v>
      </x:c>
      <x:c r="C402" s="7" t="str">
        <x:v>TT10_PE_BEF</x:v>
      </x:c>
      <x:c r="D402" s="7" t="str">
        <x:v>ISO7380-1 M6x10 8.8; cabeza baja D10.5 H3.3 envolvente; hexágono4; fijador de rosca requerido</x:v>
      </x:c>
      <x:c r="E402" s="7" t="n">
        <x:v>2</x:v>
      </x:c>
      <x:c r="F402" s="7" t="str">
        <x:v>Clase 8.8 / ISO 898-1</x:v>
      </x:c>
      <x:c r="G402" s="7" t="str">
        <x:v>Comercial</x:v>
      </x:c>
      <x:c r="H402" s="9" t="n">
        <x:v>5.456277549612486e-7</x:v>
      </x:c>
      <x:c r="I402" s="7" t="n">
        <x:v>7850</x:v>
      </x:c>
      <x:c r="J402" s="14" t="n">
        <x:f>H402*I402</x:f>
        <x:v>0.004283177876445801</x:v>
      </x:c>
      <x:c r="K402" s="14" t="n">
        <x:f>IF(ISNUMBER(J402),E402*J402,"n/d")</x:f>
        <x:v>0.008566355752891603</x:v>
      </x:c>
      <x:c r="L402" s="7" t="str">
        <x:v>CAD_volume_x_specified_density</x:v>
      </x:c>
      <x:c r="M402" s="7" t="str">
        <x:v>BOM y montaje TT10_C05_PC_01; sin plano individual</x:v>
      </x:c>
      <x:c r="N402" s="7" t="str">
        <x:v>C05E_TT10_PE_BEF.SLDPRT</x:v>
      </x:c>
    </x:row>
    <x:row r="403" ht="34" customHeight="1">
      <x:c r="B403" s="7" t="n">
        <x:v>397</x:v>
      </x:c>
      <x:c r="C403" s="7" t="str">
        <x:v>TT10_PE_BER</x:v>
      </x:c>
      <x:c r="D403" s="7" t="str">
        <x:v>Tornillo M8x12 clase8.8, rosca nominal; fijador de rosca según montaje</x:v>
      </x:c>
      <x:c r="E403" s="7" t="n">
        <x:v>2</x:v>
      </x:c>
      <x:c r="F403" s="7" t="str">
        <x:v>Clase 8.8 / ISO 898-1</x:v>
      </x:c>
      <x:c r="G403" s="7" t="str">
        <x:v>Comercial</x:v>
      </x:c>
      <x:c r="H403" s="9" t="n">
        <x:v>0.0000015403364482576316</x:v>
      </x:c>
      <x:c r="I403" s="7" t="n">
        <x:v>7850</x:v>
      </x:c>
      <x:c r="J403" s="14" t="n">
        <x:f>H403*I403</x:f>
        <x:v>0.012091641118822409</x:v>
      </x:c>
      <x:c r="K403" s="14" t="n">
        <x:f>IF(ISNUMBER(J403),E403*J403,"n/d")</x:f>
        <x:v>0.024183282237644817</x:v>
      </x:c>
      <x:c r="L403" s="7" t="str">
        <x:v>CAD_volume_x_specified_density</x:v>
      </x:c>
      <x:c r="M403" s="7" t="str">
        <x:v>BOM y montaje TT10_C05_PC_01; sin plano individual</x:v>
      </x:c>
      <x:c r="N403" s="7" t="str">
        <x:v>C05E_TT10_PE_BER.SLDPRT</x:v>
      </x:c>
    </x:row>
    <x:row r="404" ht="34" customHeight="1">
      <x:c r="B404" s="7" t="n">
        <x:v>398</x:v>
      </x:c>
      <x:c r="C404" s="7" t="str">
        <x:v>TT10_PE_BF0</x:v>
      </x:c>
      <x:c r="D404" s="7" t="str">
        <x:v>Tornillo M10x25 clase8.8, rosca nominal; fijador de rosca según montaje</x:v>
      </x:c>
      <x:c r="E404" s="7" t="n">
        <x:v>2</x:v>
      </x:c>
      <x:c r="F404" s="7" t="str">
        <x:v>Clase 8.8 / ISO 898-1</x:v>
      </x:c>
      <x:c r="G404" s="7" t="str">
        <x:v>Comercial</x:v>
      </x:c>
      <x:c r="H404" s="9" t="n">
        <x:v>0.000003696986577580069</x:v>
      </x:c>
      <x:c r="I404" s="7" t="n">
        <x:v>7850</x:v>
      </x:c>
      <x:c r="J404" s="14" t="n">
        <x:f>H404*I404</x:f>
        <x:v>0.02902134463400354</x:v>
      </x:c>
      <x:c r="K404" s="14" t="n">
        <x:f>IF(ISNUMBER(J404),E404*J404,"n/d")</x:f>
        <x:v>0.05804268926800708</x:v>
      </x:c>
      <x:c r="L404" s="7" t="str">
        <x:v>CAD_volume_x_specified_density</x:v>
      </x:c>
      <x:c r="M404" s="7" t="str">
        <x:v>BOM y montaje TT10_C05_PC_01; sin plano individual</x:v>
      </x:c>
      <x:c r="N404" s="7" t="str">
        <x:v>C05E_TT10_PE_BF0.SLDPRT</x:v>
      </x:c>
    </x:row>
    <x:row r="405" ht="34" customHeight="1">
      <x:c r="B405" s="7" t="n">
        <x:v>399</x:v>
      </x:c>
      <x:c r="C405" s="7" t="str">
        <x:v>TT10_PE_BF1</x:v>
      </x:c>
      <x:c r="D405" s="7" t="str">
        <x:v>Tornillo M10x25 clase8.8, rosca nominal; fijador de rosca según montaje</x:v>
      </x:c>
      <x:c r="E405" s="7" t="n">
        <x:v>2</x:v>
      </x:c>
      <x:c r="F405" s="7" t="str">
        <x:v>Clase 8.8 / ISO 898-1</x:v>
      </x:c>
      <x:c r="G405" s="7" t="str">
        <x:v>Comercial</x:v>
      </x:c>
      <x:c r="H405" s="9" t="n">
        <x:v>0.000003696986577580069</x:v>
      </x:c>
      <x:c r="I405" s="7" t="n">
        <x:v>7850</x:v>
      </x:c>
      <x:c r="J405" s="14" t="n">
        <x:f>H405*I405</x:f>
        <x:v>0.02902134463400354</x:v>
      </x:c>
      <x:c r="K405" s="14" t="n">
        <x:f>IF(ISNUMBER(J405),E405*J405,"n/d")</x:f>
        <x:v>0.05804268926800708</x:v>
      </x:c>
      <x:c r="L405" s="7" t="str">
        <x:v>CAD_volume_x_specified_density</x:v>
      </x:c>
      <x:c r="M405" s="7" t="str">
        <x:v>BOM y montaje TT10_C05_PC_01; sin plano individual</x:v>
      </x:c>
      <x:c r="N405" s="7" t="str">
        <x:v>C05E_TT10_PE_BF1.SLDPRT</x:v>
      </x:c>
    </x:row>
    <x:row r="406" ht="34" customHeight="1">
      <x:c r="B406" s="7" t="n">
        <x:v>400</x:v>
      </x:c>
      <x:c r="C406" s="7" t="str">
        <x:v>TT10_PE_BR0</x:v>
      </x:c>
      <x:c r="D406" s="7" t="str">
        <x:v>Tornillo M10x25 clase8.8, rosca nominal; fijador de rosca según montaje</x:v>
      </x:c>
      <x:c r="E406" s="7" t="n">
        <x:v>2</x:v>
      </x:c>
      <x:c r="F406" s="7" t="str">
        <x:v>Clase 8.8 / ISO 898-1</x:v>
      </x:c>
      <x:c r="G406" s="7" t="str">
        <x:v>Comercial</x:v>
      </x:c>
      <x:c r="H406" s="9" t="n">
        <x:v>0.000003696986577580069</x:v>
      </x:c>
      <x:c r="I406" s="7" t="n">
        <x:v>7850</x:v>
      </x:c>
      <x:c r="J406" s="14" t="n">
        <x:f>H406*I406</x:f>
        <x:v>0.02902134463400354</x:v>
      </x:c>
      <x:c r="K406" s="14" t="n">
        <x:f>IF(ISNUMBER(J406),E406*J406,"n/d")</x:f>
        <x:v>0.05804268926800708</x:v>
      </x:c>
      <x:c r="L406" s="7" t="str">
        <x:v>CAD_volume_x_specified_density</x:v>
      </x:c>
      <x:c r="M406" s="7" t="str">
        <x:v>BOM y montaje TT10_C05_PC_01; sin plano individual</x:v>
      </x:c>
      <x:c r="N406" s="7" t="str">
        <x:v>C05E_TT10_PE_BR0.SLDPRT</x:v>
      </x:c>
    </x:row>
    <x:row r="407" ht="34" customHeight="1">
      <x:c r="B407" s="7" t="n">
        <x:v>401</x:v>
      </x:c>
      <x:c r="C407" s="7" t="str">
        <x:v>TT10_PE_BR1</x:v>
      </x:c>
      <x:c r="D407" s="7" t="str">
        <x:v>Tornillo M10x25 clase8.8, rosca nominal; fijador de rosca según montaje</x:v>
      </x:c>
      <x:c r="E407" s="7" t="n">
        <x:v>2</x:v>
      </x:c>
      <x:c r="F407" s="7" t="str">
        <x:v>Clase 8.8 / ISO 898-1</x:v>
      </x:c>
      <x:c r="G407" s="7" t="str">
        <x:v>Comercial</x:v>
      </x:c>
      <x:c r="H407" s="9" t="n">
        <x:v>0.000003696986577580069</x:v>
      </x:c>
      <x:c r="I407" s="7" t="n">
        <x:v>7850</x:v>
      </x:c>
      <x:c r="J407" s="14" t="n">
        <x:f>H407*I407</x:f>
        <x:v>0.02902134463400354</x:v>
      </x:c>
      <x:c r="K407" s="14" t="n">
        <x:f>IF(ISNUMBER(J407),E407*J407,"n/d")</x:f>
        <x:v>0.05804268926800708</x:v>
      </x:c>
      <x:c r="L407" s="7" t="str">
        <x:v>CAD_volume_x_specified_density</x:v>
      </x:c>
      <x:c r="M407" s="7" t="str">
        <x:v>BOM y montaje TT10_C05_PC_01; sin plano individual</x:v>
      </x:c>
      <x:c r="N407" s="7" t="str">
        <x:v>C05E_TT10_PE_BR1.SLDPRT</x:v>
      </x:c>
    </x:row>
    <x:row r="408" ht="34" customHeight="1">
      <x:c r="B408" s="7" t="n">
        <x:v>402</x:v>
      </x:c>
      <x:c r="C408" s="7" t="str">
        <x:v>TT10_PE_EJE_F</x:v>
      </x:c>
      <x:c r="D408" s="7" t="str">
        <x:v>Bulón articulación D12 h8, cabeza20x4, M6-6H axial profundidad12; arandela y tornillo de retención</x:v>
      </x:c>
      <x:c r="E408" s="7" t="n">
        <x:v>2</x:v>
      </x:c>
      <x:c r="F408" s="7" t="str">
        <x:v>Arandela endurecida 300 HV / ISO 7089</x:v>
      </x:c>
      <x:c r="G408" s="7" t="str">
        <x:v>Comercial</x:v>
      </x:c>
      <x:c r="H408" s="9" t="n">
        <x:v>0.000006730548101050772</x:v>
      </x:c>
      <x:c r="I408" s="7" t="n">
        <x:v>7850</x:v>
      </x:c>
      <x:c r="J408" s="14" t="n">
        <x:f>H408*I408</x:f>
        <x:v>0.05283480259324856</x:v>
      </x:c>
      <x:c r="K408" s="14" t="n">
        <x:f>IF(ISNUMBER(J408),E408*J408,"n/d")</x:f>
        <x:v>0.10566960518649712</x:v>
      </x:c>
      <x:c r="L408" s="7" t="str">
        <x:v>CAD_volume_x_specified_density</x:v>
      </x:c>
      <x:c r="M408" s="7" t="str">
        <x:v>BOM y montaje TT10_C05_PC_01; sin plano individual</x:v>
      </x:c>
      <x:c r="N408" s="7" t="str">
        <x:v>C05E_TT10_PE_EJE_F.SLDPRT</x:v>
      </x:c>
    </x:row>
    <x:row r="409" ht="34" customHeight="1">
      <x:c r="B409" s="7" t="n">
        <x:v>403</x:v>
      </x:c>
      <x:c r="C409" s="7" t="str">
        <x:v>TT10_PE_EJE_R</x:v>
      </x:c>
      <x:c r="D409" s="7" t="str">
        <x:v>Bulón articulación D12 h8, cabeza20x4, M8-6H axial profundidad12; arandela y tornillo de retención</x:v>
      </x:c>
      <x:c r="E409" s="7" t="n">
        <x:v>2</x:v>
      </x:c>
      <x:c r="F409" s="7" t="str">
        <x:v>Arandela endurecida 300 HV / ISO 7089</x:v>
      </x:c>
      <x:c r="G409" s="7" t="str">
        <x:v>Comercial</x:v>
      </x:c>
      <x:c r="H409" s="9" t="n">
        <x:v>0.000005957716308267683</x:v>
      </x:c>
      <x:c r="I409" s="7" t="n">
        <x:v>7850</x:v>
      </x:c>
      <x:c r="J409" s="14" t="n">
        <x:f>H409*I409</x:f>
        <x:v>0.04676807301990131</x:v>
      </x:c>
      <x:c r="K409" s="14" t="n">
        <x:f>IF(ISNUMBER(J409),E409*J409,"n/d")</x:f>
        <x:v>0.09353614603980262</x:v>
      </x:c>
      <x:c r="L409" s="7" t="str">
        <x:v>CAD_volume_x_specified_density</x:v>
      </x:c>
      <x:c r="M409" s="7" t="str">
        <x:v>BOM y montaje TT10_C05_PC_01; sin plano individual</x:v>
      </x:c>
      <x:c r="N409" s="7" t="str">
        <x:v>C05E_TT10_PE_EJE_R.SLDPRT</x:v>
      </x:c>
    </x:row>
    <x:row r="410" ht="34" customHeight="1">
      <x:c r="B410" s="7" t="n">
        <x:v>404</x:v>
      </x:c>
      <x:c r="C410" s="7" t="str">
        <x:v>TT10_PE_HORQ_F</x:v>
      </x:c>
      <x:c r="D410" s="7" t="str">
        <x:v>Horquilla frontal integral ASTM A36: base60x10, separación31.2, dos orejas10, D12.2H8; 2M10 de fijación</x:v>
      </x:c>
      <x:c r="E410" s="7" t="n">
        <x:v>2</x:v>
      </x:c>
      <x:c r="F410" s="7" t="str">
        <x:v>ASTM A36</x:v>
      </x:c>
      <x:c r="G410" s="7" t="str">
        <x:v>Fabricación</x:v>
      </x:c>
      <x:c r="H410" s="9" t="n">
        <x:v>0.000051235697074094613</x:v>
      </x:c>
      <x:c r="I410" s="7" t="n">
        <x:v>7850.000000000001</x:v>
      </x:c>
      <x:c r="J410" s="14" t="n">
        <x:f>H410*I410</x:f>
        <x:v>0.40220022203164274</x:v>
      </x:c>
      <x:c r="K410" s="14" t="n">
        <x:f>IF(ISNUMBER(J410),E410*J410,"n/d")</x:f>
        <x:v>0.8044004440632855</x:v>
      </x:c>
      <x:c r="L410" s="7" t="str">
        <x:v>CAD_volume_x_specified_density</x:v>
      </x:c>
      <x:c r="M410" s="7" t="str">
        <x:v>Plano de conjunto / detalle funcional: TT10_C05_PC_12</x:v>
      </x:c>
      <x:c r="N410" s="7" t="str">
        <x:v>C05E_TT10_PE_HORQ_F.SLDPRT</x:v>
      </x:c>
    </x:row>
    <x:row r="411" ht="34" customHeight="1">
      <x:c r="B411" s="7" t="n">
        <x:v>405</x:v>
      </x:c>
      <x:c r="C411" s="7" t="str">
        <x:v>TT10_PE_HORQ_R</x:v>
      </x:c>
      <x:c r="D411" s="7" t="str">
        <x:v>Horquilla trasera mecanizada: base130x60x10; separación26.4; eje12; 2M10</x:v>
      </x:c>
      <x:c r="E411" s="7" t="n">
        <x:v>2</x:v>
      </x:c>
      <x:c r="F411" s="7" t="str">
        <x:v>ASTM A36</x:v>
      </x:c>
      <x:c r="G411" s="7" t="str">
        <x:v>Fabricación</x:v>
      </x:c>
      <x:c r="H411" s="9" t="n">
        <x:v>0.00010576136319177668</x:v>
      </x:c>
      <x:c r="I411" s="7" t="n">
        <x:v>7850</x:v>
      </x:c>
      <x:c r="J411" s="14" t="n">
        <x:f>H411*I411</x:f>
        <x:v>0.8302267010554469</x:v>
      </x:c>
      <x:c r="K411" s="14" t="n">
        <x:f>IF(ISNUMBER(J411),E411*J411,"n/d")</x:f>
        <x:v>1.6604534021108939</x:v>
      </x:c>
      <x:c r="L411" s="7" t="str">
        <x:v>CAD_volume_x_specified_density</x:v>
      </x:c>
      <x:c r="M411" s="7" t="str">
        <x:v>Plano de conjunto / detalle funcional: TT10_C05_PC_12</x:v>
      </x:c>
      <x:c r="N411" s="7" t="str">
        <x:v>C05E_TT10_PE_HORQ_R.SLDPRT</x:v>
      </x:c>
    </x:row>
    <x:row r="412" ht="34" customHeight="1">
      <x:c r="B412" s="7" t="n">
        <x:v>406</x:v>
      </x:c>
      <x:c r="C412" s="7" t="str">
        <x:v>TT10_PE_LARG_L</x:v>
      </x:c>
      <x:c r="D412" s="7" t="str">
        <x:v>Larguero ASTM A36 plano12x80; corte a longitud503.0</x:v>
      </x:c>
      <x:c r="E412" s="7" t="n">
        <x:v>2</x:v>
      </x:c>
      <x:c r="F412" s="7" t="str">
        <x:v>ASTM A36</x:v>
      </x:c>
      <x:c r="G412" s="7" t="str">
        <x:v>Fabricación</x:v>
      </x:c>
      <x:c r="H412" s="9" t="n">
        <x:v>0.0004828799999999999</x:v>
      </x:c>
      <x:c r="I412" s="7" t="n">
        <x:v>7850</x:v>
      </x:c>
      <x:c r="J412" s="14" t="n">
        <x:f>H412*I412</x:f>
        <x:v>3.790607999999999</x:v>
      </x:c>
      <x:c r="K412" s="14" t="n">
        <x:f>IF(ISNUMBER(J412),E412*J412,"n/d")</x:f>
        <x:v>7.581215999999998</x:v>
      </x:c>
      <x:c r="L412" s="7" t="str">
        <x:v>CAD_volume_x_specified_density</x:v>
      </x:c>
      <x:c r="M412" s="7" t="str">
        <x:v>Plano de conjunto / detalle funcional: TT10_C05_PC_12</x:v>
      </x:c>
      <x:c r="N412" s="7" t="str">
        <x:v>C05E_TT10_PE_LARG_L.SLDPRT</x:v>
      </x:c>
    </x:row>
    <x:row r="413" ht="34" customHeight="1">
      <x:c r="B413" s="7" t="n">
        <x:v>407</x:v>
      </x:c>
      <x:c r="C413" s="7" t="str">
        <x:v>TT10_PE_LARG_R</x:v>
      </x:c>
      <x:c r="D413" s="7" t="str">
        <x:v>Larguero ASTM A36 plano12x80; corte a longitud503.0</x:v>
      </x:c>
      <x:c r="E413" s="7" t="n">
        <x:v>2</x:v>
      </x:c>
      <x:c r="F413" s="7" t="str">
        <x:v>ASTM A36</x:v>
      </x:c>
      <x:c r="G413" s="7" t="str">
        <x:v>Fabricación</x:v>
      </x:c>
      <x:c r="H413" s="9" t="n">
        <x:v>0.0004828799999999999</x:v>
      </x:c>
      <x:c r="I413" s="7" t="n">
        <x:v>7850</x:v>
      </x:c>
      <x:c r="J413" s="14" t="n">
        <x:f>H413*I413</x:f>
        <x:v>3.790607999999999</x:v>
      </x:c>
      <x:c r="K413" s="14" t="n">
        <x:f>IF(ISNUMBER(J413),E413*J413,"n/d")</x:f>
        <x:v>7.581215999999998</x:v>
      </x:c>
      <x:c r="L413" s="7" t="str">
        <x:v>CAD_volume_x_specified_density</x:v>
      </x:c>
      <x:c r="M413" s="7" t="str">
        <x:v>Plano de conjunto / detalle funcional: TT10_C05_PC_12</x:v>
      </x:c>
      <x:c r="N413" s="7" t="str">
        <x:v>C05E_TT10_PE_LARG_R.SLDPRT</x:v>
      </x:c>
    </x:row>
    <x:row r="414" ht="34" customHeight="1">
      <x:c r="B414" s="7" t="n">
        <x:v>408</x:v>
      </x:c>
      <x:c r="C414" s="7" t="str">
        <x:v>TT10_PE_NA0</x:v>
      </x:c>
      <x:c r="D414" s="7" t="str">
        <x:v>Tuerca M8 clase8; rosca nominal, retención por fijador especificado</x:v>
      </x:c>
      <x:c r="E414" s="7" t="n">
        <x:v>2</x:v>
      </x:c>
      <x:c r="F414" s="7" t="str">
        <x:v>Tuerca clase 8 / ISO 898-2</x:v>
      </x:c>
      <x:c r="G414" s="7" t="str">
        <x:v>Comercial</x:v>
      </x:c>
      <x:c r="H414" s="9" t="n">
        <x:v>6.246032700838674e-7</x:v>
      </x:c>
      <x:c r="I414" s="7" t="n">
        <x:v>7850</x:v>
      </x:c>
      <x:c r="J414" s="14" t="n">
        <x:f>H414*I414</x:f>
        <x:v>0.004903135670158359</x:v>
      </x:c>
      <x:c r="K414" s="14" t="n">
        <x:f>IF(ISNUMBER(J414),E414*J414,"n/d")</x:f>
        <x:v>0.009806271340316718</x:v>
      </x:c>
      <x:c r="L414" s="7" t="str">
        <x:v>CAD_volume_x_specified_density</x:v>
      </x:c>
      <x:c r="M414" s="7" t="str">
        <x:v>BOM y montaje TT10_C05_PC_01; sin plano individual</x:v>
      </x:c>
      <x:c r="N414" s="7" t="str">
        <x:v>C05E_TT10_PE_NA0.SLDPRT</x:v>
      </x:c>
    </x:row>
    <x:row r="415" ht="34" customHeight="1">
      <x:c r="B415" s="7" t="n">
        <x:v>409</x:v>
      </x:c>
      <x:c r="C415" s="7" t="str">
        <x:v>TT10_PE_NA1</x:v>
      </x:c>
      <x:c r="D415" s="7" t="str">
        <x:v>Tuerca M8 clase8; rosca nominal, retención por fijador especificado</x:v>
      </x:c>
      <x:c r="E415" s="7" t="n">
        <x:v>2</x:v>
      </x:c>
      <x:c r="F415" s="7" t="str">
        <x:v>Tuerca clase 8 / ISO 898-2</x:v>
      </x:c>
      <x:c r="G415" s="7" t="str">
        <x:v>Comercial</x:v>
      </x:c>
      <x:c r="H415" s="9" t="n">
        <x:v>6.246032700838674e-7</x:v>
      </x:c>
      <x:c r="I415" s="7" t="n">
        <x:v>7850</x:v>
      </x:c>
      <x:c r="J415" s="14" t="n">
        <x:f>H415*I415</x:f>
        <x:v>0.004903135670158359</x:v>
      </x:c>
      <x:c r="K415" s="14" t="n">
        <x:f>IF(ISNUMBER(J415),E415*J415,"n/d")</x:f>
        <x:v>0.009806271340316718</x:v>
      </x:c>
      <x:c r="L415" s="7" t="str">
        <x:v>CAD_volume_x_specified_density</x:v>
      </x:c>
      <x:c r="M415" s="7" t="str">
        <x:v>BOM y montaje TT10_C05_PC_01; sin plano individual</x:v>
      </x:c>
      <x:c r="N415" s="7" t="str">
        <x:v>C05E_TT10_PE_NA1.SLDPRT</x:v>
      </x:c>
    </x:row>
    <x:row r="416" ht="34" customHeight="1">
      <x:c r="B416" s="7" t="n">
        <x:v>410</x:v>
      </x:c>
      <x:c r="C416" s="7" t="str">
        <x:v>TT10_PE_NA2</x:v>
      </x:c>
      <x:c r="D416" s="7" t="str">
        <x:v>Tuerca M8 clase8; rosca nominal, retención por fijador especificado</x:v>
      </x:c>
      <x:c r="E416" s="7" t="n">
        <x:v>2</x:v>
      </x:c>
      <x:c r="F416" s="7" t="str">
        <x:v>Tuerca clase 8 / ISO 898-2</x:v>
      </x:c>
      <x:c r="G416" s="7" t="str">
        <x:v>Comercial</x:v>
      </x:c>
      <x:c r="H416" s="9" t="n">
        <x:v>6.246032700838674e-7</x:v>
      </x:c>
      <x:c r="I416" s="7" t="n">
        <x:v>7850</x:v>
      </x:c>
      <x:c r="J416" s="14" t="n">
        <x:f>H416*I416</x:f>
        <x:v>0.004903135670158359</x:v>
      </x:c>
      <x:c r="K416" s="14" t="n">
        <x:f>IF(ISNUMBER(J416),E416*J416,"n/d")</x:f>
        <x:v>0.009806271340316718</x:v>
      </x:c>
      <x:c r="L416" s="7" t="str">
        <x:v>CAD_volume_x_specified_density</x:v>
      </x:c>
      <x:c r="M416" s="7" t="str">
        <x:v>BOM y montaje TT10_C05_PC_01; sin plano individual</x:v>
      </x:c>
      <x:c r="N416" s="7" t="str">
        <x:v>C05E_TT10_PE_NA2.SLDPRT</x:v>
      </x:c>
    </x:row>
    <x:row r="417" ht="34" customHeight="1">
      <x:c r="B417" s="7" t="n">
        <x:v>411</x:v>
      </x:c>
      <x:c r="C417" s="7" t="str">
        <x:v>TT10_PE_NA3</x:v>
      </x:c>
      <x:c r="D417" s="7" t="str">
        <x:v>Tuerca M8 clase8; rosca nominal, retención por fijador especificado</x:v>
      </x:c>
      <x:c r="E417" s="7" t="n">
        <x:v>2</x:v>
      </x:c>
      <x:c r="F417" s="7" t="str">
        <x:v>Tuerca clase 8 / ISO 898-2</x:v>
      </x:c>
      <x:c r="G417" s="7" t="str">
        <x:v>Comercial</x:v>
      </x:c>
      <x:c r="H417" s="9" t="n">
        <x:v>6.246032700838674e-7</x:v>
      </x:c>
      <x:c r="I417" s="7" t="n">
        <x:v>7850</x:v>
      </x:c>
      <x:c r="J417" s="14" t="n">
        <x:f>H417*I417</x:f>
        <x:v>0.004903135670158359</x:v>
      </x:c>
      <x:c r="K417" s="14" t="n">
        <x:f>IF(ISNUMBER(J417),E417*J417,"n/d")</x:f>
        <x:v>0.009806271340316718</x:v>
      </x:c>
      <x:c r="L417" s="7" t="str">
        <x:v>CAD_volume_x_specified_density</x:v>
      </x:c>
      <x:c r="M417" s="7" t="str">
        <x:v>BOM y montaje TT10_C05_PC_01; sin plano individual</x:v>
      </x:c>
      <x:c r="N417" s="7" t="str">
        <x:v>C05E_TT10_PE_NA3.SLDPRT</x:v>
      </x:c>
    </x:row>
    <x:row r="418" ht="34" customHeight="1">
      <x:c r="B418" s="7" t="n">
        <x:v>412</x:v>
      </x:c>
      <x:c r="C418" s="7" t="str">
        <x:v>TT10_PE_PIN</x:v>
      </x:c>
      <x:c r="D418" s="7" t="str">
        <x:v>Pasador Ø65 f7 L330, cabeza90x15, R3, C2, dosM10x18</x:v>
      </x:c>
      <x:c r="E418" s="7" t="n">
        <x:v>2</x:v>
      </x:c>
      <x:c r="F418" s="7" t="str">
        <x:v>AISI 4140 bonificado</x:v>
      </x:c>
      <x:c r="G418" s="7" t="str">
        <x:v>Fabricación</x:v>
      </x:c>
      <x:c r="H418" s="9" t="n">
        <x:v>0.001187972990012372</x:v>
      </x:c>
      <x:c r="I418" s="7" t="n">
        <x:v>7849.999999999999</x:v>
      </x:c>
      <x:c r="J418" s="14" t="n">
        <x:f>H418*I418</x:f>
        <x:v>9.32558797159712</x:v>
      </x:c>
      <x:c r="K418" s="14" t="n">
        <x:f>IF(ISNUMBER(J418),E418*J418,"n/d")</x:f>
        <x:v>18.65117594319424</x:v>
      </x:c>
      <x:c r="L418" s="7" t="str">
        <x:v>CAD_volume_x_specified_density</x:v>
      </x:c>
      <x:c r="M418" s="7" t="str">
        <x:v>Plano de conjunto / detalle funcional: TT10_C05_PC_13</x:v>
      </x:c>
      <x:c r="N418" s="7" t="str">
        <x:v>C05E_TT10_PE_PIN.SLDPRT</x:v>
      </x:c>
    </x:row>
    <x:row r="419" ht="34" customHeight="1">
      <x:c r="B419" s="7" t="n">
        <x:v>413</x:v>
      </x:c>
      <x:c r="C419" s="7" t="str">
        <x:v>TT10_PE_PLACA_F</x:v>
      </x:c>
      <x:c r="D419" s="7" t="str">
        <x:v>Placa de bastidor160x160x12; D70;4D9 y4aliviosD42 abiertos en esquinas para tuercas existentes</x:v>
      </x:c>
      <x:c r="E419" s="7" t="n">
        <x:v>2</x:v>
      </x:c>
      <x:c r="F419" s="7" t="str">
        <x:v>ASTM A36</x:v>
      </x:c>
      <x:c r="G419" s="7" t="str">
        <x:v>Fabricación</x:v>
      </x:c>
      <x:c r="H419" s="9" t="n">
        <x:v>0.00018930082703066438</x:v>
      </x:c>
      <x:c r="I419" s="7" t="n">
        <x:v>7849.999999999999</x:v>
      </x:c>
      <x:c r="J419" s="14" t="n">
        <x:f>H419*I419</x:f>
        <x:v>1.4860114921907153</x:v>
      </x:c>
      <x:c r="K419" s="14" t="n">
        <x:f>IF(ISNUMBER(J419),E419*J419,"n/d")</x:f>
        <x:v>2.9720229843814305</x:v>
      </x:c>
      <x:c r="L419" s="7" t="str">
        <x:v>CAD_volume_x_specified_density</x:v>
      </x:c>
      <x:c r="M419" s="7" t="str">
        <x:v>Plano de conjunto / detalle funcional: TT10_C05_PC_12</x:v>
      </x:c>
      <x:c r="N419" s="7" t="str">
        <x:v>C05E_TT10_PE_PLACA_F.SLDPRT</x:v>
      </x:c>
    </x:row>
    <x:row r="420" ht="34" customHeight="1">
      <x:c r="B420" s="7" t="n">
        <x:v>414</x:v>
      </x:c>
      <x:c r="C420" s="7" t="str">
        <x:v>TT10_PE_PLACA_R</x:v>
      </x:c>
      <x:c r="D420" s="7" t="str">
        <x:v>Travesaño160x80x12; 2M10-6H pasantes en X±45; frentes soldados a largueros</x:v>
      </x:c>
      <x:c r="E420" s="7" t="n">
        <x:v>2</x:v>
      </x:c>
      <x:c r="F420" s="7" t="str">
        <x:v>ASTM A36</x:v>
      </x:c>
      <x:c r="G420" s="7" t="str">
        <x:v>Fabricación</x:v>
      </x:c>
      <x:c r="H420" s="9" t="n">
        <x:v>0.00015171504440784613</x:v>
      </x:c>
      <x:c r="I420" s="7" t="n">
        <x:v>7849.999999999999</x:v>
      </x:c>
      <x:c r="J420" s="14" t="n">
        <x:f>H420*I420</x:f>
        <x:v>1.190963098601592</x:v>
      </x:c>
      <x:c r="K420" s="14" t="n">
        <x:f>IF(ISNUMBER(J420),E420*J420,"n/d")</x:f>
        <x:v>2.381926197203184</x:v>
      </x:c>
      <x:c r="L420" s="7" t="str">
        <x:v>CAD_volume_x_specified_density</x:v>
      </x:c>
      <x:c r="M420" s="7" t="str">
        <x:v>Plano de conjunto / detalle funcional: TT10_C05_PC_12</x:v>
      </x:c>
      <x:c r="N420" s="7" t="str">
        <x:v>C05E_TT10_PE_PLACA_R.SLDPRT</x:v>
      </x:c>
    </x:row>
    <x:row r="421" ht="34" customHeight="1">
      <x:c r="B421" s="7" t="n">
        <x:v>415</x:v>
      </x:c>
      <x:c r="C421" s="7" t="str">
        <x:v>TT10_PE_RETEN</x:v>
      </x:c>
      <x:c r="D421" s="7" t="str">
        <x:v>Placa cautiva160x160x15: amplía paso aD68,4D22 original; añade4D9 en X±45 Z±30</x:v>
      </x:c>
      <x:c r="E421" s="7" t="n">
        <x:v>2</x:v>
      </x:c>
      <x:c r="F421" s="7" t="str">
        <x:v>ASTM A36</x:v>
      </x:c>
      <x:c r="G421" s="7" t="str">
        <x:v>Fabricación</x:v>
      </x:c>
      <x:c r="H421" s="9" t="n">
        <x:v>0.00030289978564757947</x:v>
      </x:c>
      <x:c r="I421" s="7" t="n">
        <x:v>7850</x:v>
      </x:c>
      <x:c r="J421" s="14" t="n">
        <x:f>H421*I421</x:f>
        <x:v>2.377763317333499</x:v>
      </x:c>
      <x:c r="K421" s="14" t="n">
        <x:f>IF(ISNUMBER(J421),E421*J421,"n/d")</x:f>
        <x:v>4.755526634666998</x:v>
      </x:c>
      <x:c r="L421" s="7" t="str">
        <x:v>CAD_volume_x_specified_density</x:v>
      </x:c>
      <x:c r="M421" s="7" t="str">
        <x:v>Plano de conjunto / detalle funcional: TT10_C05_PC_12</x:v>
      </x:c>
      <x:c r="N421" s="7" t="str">
        <x:v>C05E_TT10_PE_RETEN.SLDPRT</x:v>
      </x:c>
    </x:row>
    <x:row r="422" ht="34" customHeight="1">
      <x:c r="B422" s="7" t="n">
        <x:v>416</x:v>
      </x:c>
      <x:c r="C422" s="7" t="str">
        <x:v>TT10_PE_WA0</x:v>
      </x:c>
      <x:c r="D422" s="7" t="str">
        <x:v>Arandela D16/d8.4/t1.6</x:v>
      </x:c>
      <x:c r="E422" s="7" t="n">
        <x:v>2</x:v>
      </x:c>
      <x:c r="F422" s="7" t="str">
        <x:v>Arandela endurecida 300 HV / ISO 7089</x:v>
      </x:c>
      <x:c r="G422" s="7" t="str">
        <x:v>Comercial</x:v>
      </x:c>
      <x:c r="H422" s="9" t="n">
        <x:v>2.3303077667267645e-7</x:v>
      </x:c>
      <x:c r="I422" s="7" t="n">
        <x:v>7850</x:v>
      </x:c>
      <x:c r="J422" s="14" t="n">
        <x:f>H422*I422</x:f>
        <x:v>0.0018292915968805101</x:v>
      </x:c>
      <x:c r="K422" s="14" t="n">
        <x:f>IF(ISNUMBER(J422),E422*J422,"n/d")</x:f>
        <x:v>0.0036585831937610202</x:v>
      </x:c>
      <x:c r="L422" s="7" t="str">
        <x:v>CAD_volume_x_specified_density</x:v>
      </x:c>
      <x:c r="M422" s="7" t="str">
        <x:v>BOM y montaje TT10_C05_PC_01; sin plano individual</x:v>
      </x:c>
      <x:c r="N422" s="7" t="str">
        <x:v>C05E_TT10_PE_WA0.SLDPRT</x:v>
      </x:c>
    </x:row>
    <x:row r="423" ht="34" customHeight="1">
      <x:c r="B423" s="7" t="n">
        <x:v>417</x:v>
      </x:c>
      <x:c r="C423" s="7" t="str">
        <x:v>TT10_PE_WA1</x:v>
      </x:c>
      <x:c r="D423" s="7" t="str">
        <x:v>Arandela D16/d8.4/t1.6</x:v>
      </x:c>
      <x:c r="E423" s="7" t="n">
        <x:v>2</x:v>
      </x:c>
      <x:c r="F423" s="7" t="str">
        <x:v>Arandela endurecida 300 HV / ISO 7089</x:v>
      </x:c>
      <x:c r="G423" s="7" t="str">
        <x:v>Comercial</x:v>
      </x:c>
      <x:c r="H423" s="9" t="n">
        <x:v>2.3303077667267645e-7</x:v>
      </x:c>
      <x:c r="I423" s="7" t="n">
        <x:v>7850</x:v>
      </x:c>
      <x:c r="J423" s="14" t="n">
        <x:f>H423*I423</x:f>
        <x:v>0.0018292915968805101</x:v>
      </x:c>
      <x:c r="K423" s="14" t="n">
        <x:f>IF(ISNUMBER(J423),E423*J423,"n/d")</x:f>
        <x:v>0.0036585831937610202</x:v>
      </x:c>
      <x:c r="L423" s="7" t="str">
        <x:v>CAD_volume_x_specified_density</x:v>
      </x:c>
      <x:c r="M423" s="7" t="str">
        <x:v>BOM y montaje TT10_C05_PC_01; sin plano individual</x:v>
      </x:c>
      <x:c r="N423" s="7" t="str">
        <x:v>C05E_TT10_PE_WA1.SLDPRT</x:v>
      </x:c>
    </x:row>
    <x:row r="424" ht="34" customHeight="1">
      <x:c r="B424" s="7" t="n">
        <x:v>418</x:v>
      </x:c>
      <x:c r="C424" s="7" t="str">
        <x:v>TT10_PE_WA2</x:v>
      </x:c>
      <x:c r="D424" s="7" t="str">
        <x:v>Arandela D16/d8.4/t1.6</x:v>
      </x:c>
      <x:c r="E424" s="7" t="n">
        <x:v>2</x:v>
      </x:c>
      <x:c r="F424" s="7" t="str">
        <x:v>Arandela endurecida 300 HV / ISO 7089</x:v>
      </x:c>
      <x:c r="G424" s="7" t="str">
        <x:v>Comercial</x:v>
      </x:c>
      <x:c r="H424" s="9" t="n">
        <x:v>2.3303077667267645e-7</x:v>
      </x:c>
      <x:c r="I424" s="7" t="n">
        <x:v>7850</x:v>
      </x:c>
      <x:c r="J424" s="14" t="n">
        <x:f>H424*I424</x:f>
        <x:v>0.0018292915968805101</x:v>
      </x:c>
      <x:c r="K424" s="14" t="n">
        <x:f>IF(ISNUMBER(J424),E424*J424,"n/d")</x:f>
        <x:v>0.0036585831937610202</x:v>
      </x:c>
      <x:c r="L424" s="7" t="str">
        <x:v>CAD_volume_x_specified_density</x:v>
      </x:c>
      <x:c r="M424" s="7" t="str">
        <x:v>BOM y montaje TT10_C05_PC_01; sin plano individual</x:v>
      </x:c>
      <x:c r="N424" s="7" t="str">
        <x:v>C05E_TT10_PE_WA2.SLDPRT</x:v>
      </x:c>
    </x:row>
    <x:row r="425" ht="34" customHeight="1">
      <x:c r="B425" s="7" t="n">
        <x:v>419</x:v>
      </x:c>
      <x:c r="C425" s="7" t="str">
        <x:v>TT10_PE_WA3</x:v>
      </x:c>
      <x:c r="D425" s="7" t="str">
        <x:v>Arandela D16/d8.4/t1.6</x:v>
      </x:c>
      <x:c r="E425" s="7" t="n">
        <x:v>2</x:v>
      </x:c>
      <x:c r="F425" s="7" t="str">
        <x:v>Arandela endurecida 300 HV / ISO 7089</x:v>
      </x:c>
      <x:c r="G425" s="7" t="str">
        <x:v>Comercial</x:v>
      </x:c>
      <x:c r="H425" s="9" t="n">
        <x:v>2.3303077667267645e-7</x:v>
      </x:c>
      <x:c r="I425" s="7" t="n">
        <x:v>7850</x:v>
      </x:c>
      <x:c r="J425" s="14" t="n">
        <x:f>H425*I425</x:f>
        <x:v>0.0018292915968805101</x:v>
      </x:c>
      <x:c r="K425" s="14" t="n">
        <x:f>IF(ISNUMBER(J425),E425*J425,"n/d")</x:f>
        <x:v>0.0036585831937610202</x:v>
      </x:c>
      <x:c r="L425" s="7" t="str">
        <x:v>CAD_volume_x_specified_density</x:v>
      </x:c>
      <x:c r="M425" s="7" t="str">
        <x:v>BOM y montaje TT10_C05_PC_01; sin plano individual</x:v>
      </x:c>
      <x:c r="N425" s="7" t="str">
        <x:v>C05E_TT10_PE_WA3.SLDPRT</x:v>
      </x:c>
    </x:row>
    <x:row r="426" ht="34" customHeight="1">
      <x:c r="B426" s="7" t="n">
        <x:v>420</x:v>
      </x:c>
      <x:c r="C426" s="7" t="str">
        <x:v>TT10_PE_WEF</x:v>
      </x:c>
      <x:c r="D426" s="7" t="str">
        <x:v>Arandela D12/d6.4/t1.6</x:v>
      </x:c>
      <x:c r="E426" s="7" t="n">
        <x:v>2</x:v>
      </x:c>
      <x:c r="F426" s="7" t="str">
        <x:v>Arandela endurecida 300 HV / ISO 7089</x:v>
      </x:c>
      <x:c r="G426" s="7" t="str">
        <x:v>Comercial</x:v>
      </x:c>
      <x:c r="H426" s="9" t="n">
        <x:v>1.2948388281035694e-7</x:v>
      </x:c>
      <x:c r="I426" s="7" t="n">
        <x:v>7850</x:v>
      </x:c>
      <x:c r="J426" s="14" t="n">
        <x:f>H426*I426</x:f>
        <x:v>0.001016448480061302</x:v>
      </x:c>
      <x:c r="K426" s="14" t="n">
        <x:f>IF(ISNUMBER(J426),E426*J426,"n/d")</x:f>
        <x:v>0.002032896960122604</x:v>
      </x:c>
      <x:c r="L426" s="7" t="str">
        <x:v>CAD_volume_x_specified_density</x:v>
      </x:c>
      <x:c r="M426" s="7" t="str">
        <x:v>BOM y montaje TT10_C05_PC_01; sin plano individual</x:v>
      </x:c>
      <x:c r="N426" s="7" t="str">
        <x:v>C05E_TT10_PE_WEF.SLDPRT</x:v>
      </x:c>
    </x:row>
    <x:row r="427" ht="34" customHeight="1">
      <x:c r="B427" s="7" t="n">
        <x:v>421</x:v>
      </x:c>
      <x:c r="C427" s="7" t="str">
        <x:v>TT10_PE_WER</x:v>
      </x:c>
      <x:c r="D427" s="7" t="str">
        <x:v>Arandela D20/d8.4/t2</x:v>
      </x:c>
      <x:c r="E427" s="7" t="n">
        <x:v>2</x:v>
      </x:c>
      <x:c r="F427" s="7" t="str">
        <x:v>Arandela endurecida 300 HV / ISO 7089</x:v>
      </x:c>
      <x:c r="G427" s="7" t="str">
        <x:v>Comercial</x:v>
      </x:c>
      <x:c r="H427" s="9" t="n">
        <x:v>5.174831418993108e-7</x:v>
      </x:c>
      <x:c r="I427" s="7" t="n">
        <x:v>7850</x:v>
      </x:c>
      <x:c r="J427" s="14" t="n">
        <x:f>H427*I427</x:f>
        <x:v>0.00406224266390959</x:v>
      </x:c>
      <x:c r="K427" s="14" t="n">
        <x:f>IF(ISNUMBER(J427),E427*J427,"n/d")</x:f>
        <x:v>0.00812448532781918</x:v>
      </x:c>
      <x:c r="L427" s="7" t="str">
        <x:v>CAD_volume_x_specified_density</x:v>
      </x:c>
      <x:c r="M427" s="7" t="str">
        <x:v>BOM y montaje TT10_C05_PC_01; sin plano individual</x:v>
      </x:c>
      <x:c r="N427" s="7" t="str">
        <x:v>C05E_TT10_PE_WER.SLDPRT</x:v>
      </x:c>
    </x:row>
    <x:row r="428" ht="34" customHeight="1">
      <x:c r="B428" s="7" t="n">
        <x:v>422</x:v>
      </x:c>
      <x:c r="C428" s="7" t="str">
        <x:v>TT10_PE_WF0</x:v>
      </x:c>
      <x:c r="D428" s="7" t="str">
        <x:v>Arandela D20/d10.5/t2</x:v>
      </x:c>
      <x:c r="E428" s="7" t="n">
        <x:v>2</x:v>
      </x:c>
      <x:c r="F428" s="7" t="str">
        <x:v>Arandela endurecida 300 HV / ISO 7089</x:v>
      </x:c>
      <x:c r="G428" s="7" t="str">
        <x:v>Comercial</x:v>
      </x:c>
      <x:c r="H428" s="9" t="n">
        <x:v>4.551382356888213e-7</x:v>
      </x:c>
      <x:c r="I428" s="7" t="n">
        <x:v>7850</x:v>
      </x:c>
      <x:c r="J428" s="14" t="n">
        <x:f>H428*I428</x:f>
        <x:v>0.003572835150157247</x:v>
      </x:c>
      <x:c r="K428" s="14" t="n">
        <x:f>IF(ISNUMBER(J428),E428*J428,"n/d")</x:f>
        <x:v>0.007145670300314494</x:v>
      </x:c>
      <x:c r="L428" s="7" t="str">
        <x:v>CAD_volume_x_specified_density</x:v>
      </x:c>
      <x:c r="M428" s="7" t="str">
        <x:v>BOM y montaje TT10_C05_PC_01; sin plano individual</x:v>
      </x:c>
      <x:c r="N428" s="7" t="str">
        <x:v>C05E_TT10_PE_WF0.SLDPRT</x:v>
      </x:c>
    </x:row>
    <x:row r="429" ht="34" customHeight="1">
      <x:c r="B429" s="7" t="n">
        <x:v>423</x:v>
      </x:c>
      <x:c r="C429" s="7" t="str">
        <x:v>TT10_PE_WF1</x:v>
      </x:c>
      <x:c r="D429" s="7" t="str">
        <x:v>Arandela D20/d10.5/t2</x:v>
      </x:c>
      <x:c r="E429" s="7" t="n">
        <x:v>2</x:v>
      </x:c>
      <x:c r="F429" s="7" t="str">
        <x:v>Arandela endurecida 300 HV / ISO 7089</x:v>
      </x:c>
      <x:c r="G429" s="7" t="str">
        <x:v>Comercial</x:v>
      </x:c>
      <x:c r="H429" s="9" t="n">
        <x:v>4.551382356888213e-7</x:v>
      </x:c>
      <x:c r="I429" s="7" t="n">
        <x:v>7850</x:v>
      </x:c>
      <x:c r="J429" s="14" t="n">
        <x:f>H429*I429</x:f>
        <x:v>0.003572835150157247</x:v>
      </x:c>
      <x:c r="K429" s="14" t="n">
        <x:f>IF(ISNUMBER(J429),E429*J429,"n/d")</x:f>
        <x:v>0.007145670300314494</x:v>
      </x:c>
      <x:c r="L429" s="7" t="str">
        <x:v>CAD_volume_x_specified_density</x:v>
      </x:c>
      <x:c r="M429" s="7" t="str">
        <x:v>BOM y montaje TT10_C05_PC_01; sin plano individual</x:v>
      </x:c>
      <x:c r="N429" s="7" t="str">
        <x:v>C05E_TT10_PE_WF1.SLDPRT</x:v>
      </x:c>
    </x:row>
    <x:row r="430" ht="34" customHeight="1">
      <x:c r="B430" s="7" t="n">
        <x:v>424</x:v>
      </x:c>
      <x:c r="C430" s="7" t="str">
        <x:v>TT10_PE_WN0</x:v>
      </x:c>
      <x:c r="D430" s="7" t="str">
        <x:v>Arandela D16/d8.4/t1.6</x:v>
      </x:c>
      <x:c r="E430" s="7" t="n">
        <x:v>2</x:v>
      </x:c>
      <x:c r="F430" s="7" t="str">
        <x:v>Arandela endurecida 300 HV / ISO 7089</x:v>
      </x:c>
      <x:c r="G430" s="7" t="str">
        <x:v>Comercial</x:v>
      </x:c>
      <x:c r="H430" s="9" t="n">
        <x:v>2.3303077667267645e-7</x:v>
      </x:c>
      <x:c r="I430" s="7" t="n">
        <x:v>7850</x:v>
      </x:c>
      <x:c r="J430" s="14" t="n">
        <x:f>H430*I430</x:f>
        <x:v>0.0018292915968805101</x:v>
      </x:c>
      <x:c r="K430" s="14" t="n">
        <x:f>IF(ISNUMBER(J430),E430*J430,"n/d")</x:f>
        <x:v>0.0036585831937610202</x:v>
      </x:c>
      <x:c r="L430" s="7" t="str">
        <x:v>CAD_volume_x_specified_density</x:v>
      </x:c>
      <x:c r="M430" s="7" t="str">
        <x:v>BOM y montaje TT10_C05_PC_01; sin plano individual</x:v>
      </x:c>
      <x:c r="N430" s="7" t="str">
        <x:v>C05E_TT10_PE_WN0.SLDPRT</x:v>
      </x:c>
    </x:row>
    <x:row r="431" ht="34" customHeight="1">
      <x:c r="B431" s="7" t="n">
        <x:v>425</x:v>
      </x:c>
      <x:c r="C431" s="7" t="str">
        <x:v>TT10_PE_WN1</x:v>
      </x:c>
      <x:c r="D431" s="7" t="str">
        <x:v>Arandela D16/d8.4/t1.6</x:v>
      </x:c>
      <x:c r="E431" s="7" t="n">
        <x:v>2</x:v>
      </x:c>
      <x:c r="F431" s="7" t="str">
        <x:v>Arandela endurecida 300 HV / ISO 7089</x:v>
      </x:c>
      <x:c r="G431" s="7" t="str">
        <x:v>Comercial</x:v>
      </x:c>
      <x:c r="H431" s="9" t="n">
        <x:v>2.3303077667267645e-7</x:v>
      </x:c>
      <x:c r="I431" s="7" t="n">
        <x:v>7850</x:v>
      </x:c>
      <x:c r="J431" s="14" t="n">
        <x:f>H431*I431</x:f>
        <x:v>0.0018292915968805101</x:v>
      </x:c>
      <x:c r="K431" s="14" t="n">
        <x:f>IF(ISNUMBER(J431),E431*J431,"n/d")</x:f>
        <x:v>0.0036585831937610202</x:v>
      </x:c>
      <x:c r="L431" s="7" t="str">
        <x:v>CAD_volume_x_specified_density</x:v>
      </x:c>
      <x:c r="M431" s="7" t="str">
        <x:v>BOM y montaje TT10_C05_PC_01; sin plano individual</x:v>
      </x:c>
      <x:c r="N431" s="7" t="str">
        <x:v>C05E_TT10_PE_WN1.SLDPRT</x:v>
      </x:c>
    </x:row>
    <x:row r="432" ht="34" customHeight="1">
      <x:c r="B432" s="7" t="n">
        <x:v>426</x:v>
      </x:c>
      <x:c r="C432" s="7" t="str">
        <x:v>TT10_PE_WN2</x:v>
      </x:c>
      <x:c r="D432" s="7" t="str">
        <x:v>Arandela D16/d8.4/t1.6</x:v>
      </x:c>
      <x:c r="E432" s="7" t="n">
        <x:v>2</x:v>
      </x:c>
      <x:c r="F432" s="7" t="str">
        <x:v>Arandela endurecida 300 HV / ISO 7089</x:v>
      </x:c>
      <x:c r="G432" s="7" t="str">
        <x:v>Comercial</x:v>
      </x:c>
      <x:c r="H432" s="9" t="n">
        <x:v>2.3303077667267645e-7</x:v>
      </x:c>
      <x:c r="I432" s="7" t="n">
        <x:v>7850</x:v>
      </x:c>
      <x:c r="J432" s="14" t="n">
        <x:f>H432*I432</x:f>
        <x:v>0.0018292915968805101</x:v>
      </x:c>
      <x:c r="K432" s="14" t="n">
        <x:f>IF(ISNUMBER(J432),E432*J432,"n/d")</x:f>
        <x:v>0.0036585831937610202</x:v>
      </x:c>
      <x:c r="L432" s="7" t="str">
        <x:v>CAD_volume_x_specified_density</x:v>
      </x:c>
      <x:c r="M432" s="7" t="str">
        <x:v>BOM y montaje TT10_C05_PC_01; sin plano individual</x:v>
      </x:c>
      <x:c r="N432" s="7" t="str">
        <x:v>C05E_TT10_PE_WN2.SLDPRT</x:v>
      </x:c>
    </x:row>
    <x:row r="433" ht="34" customHeight="1">
      <x:c r="B433" s="7" t="n">
        <x:v>427</x:v>
      </x:c>
      <x:c r="C433" s="7" t="str">
        <x:v>TT10_PE_WN3</x:v>
      </x:c>
      <x:c r="D433" s="7" t="str">
        <x:v>Arandela D16/d8.4/t1.6</x:v>
      </x:c>
      <x:c r="E433" s="7" t="n">
        <x:v>2</x:v>
      </x:c>
      <x:c r="F433" s="7" t="str">
        <x:v>Arandela endurecida 300 HV / ISO 7089</x:v>
      </x:c>
      <x:c r="G433" s="7" t="str">
        <x:v>Comercial</x:v>
      </x:c>
      <x:c r="H433" s="9" t="n">
        <x:v>2.3303077667267645e-7</x:v>
      </x:c>
      <x:c r="I433" s="7" t="n">
        <x:v>7850</x:v>
      </x:c>
      <x:c r="J433" s="14" t="n">
        <x:f>H433*I433</x:f>
        <x:v>0.0018292915968805101</x:v>
      </x:c>
      <x:c r="K433" s="14" t="n">
        <x:f>IF(ISNUMBER(J433),E433*J433,"n/d")</x:f>
        <x:v>0.0036585831937610202</x:v>
      </x:c>
      <x:c r="L433" s="7" t="str">
        <x:v>CAD_volume_x_specified_density</x:v>
      </x:c>
      <x:c r="M433" s="7" t="str">
        <x:v>BOM y montaje TT10_C05_PC_01; sin plano individual</x:v>
      </x:c>
      <x:c r="N433" s="7" t="str">
        <x:v>C05E_TT10_PE_WN3.SLDPRT</x:v>
      </x:c>
    </x:row>
    <x:row r="434" ht="34" customHeight="1">
      <x:c r="B434" s="7" t="n">
        <x:v>428</x:v>
      </x:c>
      <x:c r="C434" s="7" t="str">
        <x:v>TT10_PE_WR0</x:v>
      </x:c>
      <x:c r="D434" s="7" t="str">
        <x:v>Arandela D20/d10.5/t2</x:v>
      </x:c>
      <x:c r="E434" s="7" t="n">
        <x:v>2</x:v>
      </x:c>
      <x:c r="F434" s="7" t="str">
        <x:v>Arandela endurecida 300 HV / ISO 7089</x:v>
      </x:c>
      <x:c r="G434" s="7" t="str">
        <x:v>Comercial</x:v>
      </x:c>
      <x:c r="H434" s="9" t="n">
        <x:v>4.551382356888213e-7</x:v>
      </x:c>
      <x:c r="I434" s="7" t="n">
        <x:v>7850</x:v>
      </x:c>
      <x:c r="J434" s="14" t="n">
        <x:f>H434*I434</x:f>
        <x:v>0.003572835150157247</x:v>
      </x:c>
      <x:c r="K434" s="14" t="n">
        <x:f>IF(ISNUMBER(J434),E434*J434,"n/d")</x:f>
        <x:v>0.007145670300314494</x:v>
      </x:c>
      <x:c r="L434" s="7" t="str">
        <x:v>CAD_volume_x_specified_density</x:v>
      </x:c>
      <x:c r="M434" s="7" t="str">
        <x:v>BOM y montaje TT10_C05_PC_01; sin plano individual</x:v>
      </x:c>
      <x:c r="N434" s="7" t="str">
        <x:v>C05E_TT10_PE_WR0.SLDPRT</x:v>
      </x:c>
    </x:row>
    <x:row r="435" ht="34" customHeight="1">
      <x:c r="B435" s="7" t="n">
        <x:v>429</x:v>
      </x:c>
      <x:c r="C435" s="7" t="str">
        <x:v>TT10_PE_WR1</x:v>
      </x:c>
      <x:c r="D435" s="7" t="str">
        <x:v>Arandela D20/d10.5/t2</x:v>
      </x:c>
      <x:c r="E435" s="7" t="n">
        <x:v>2</x:v>
      </x:c>
      <x:c r="F435" s="7" t="str">
        <x:v>Arandela endurecida 300 HV / ISO 7089</x:v>
      </x:c>
      <x:c r="G435" s="7" t="str">
        <x:v>Comercial</x:v>
      </x:c>
      <x:c r="H435" s="9" t="n">
        <x:v>4.551382356888213e-7</x:v>
      </x:c>
      <x:c r="I435" s="7" t="n">
        <x:v>7850</x:v>
      </x:c>
      <x:c r="J435" s="14" t="n">
        <x:f>H435*I435</x:f>
        <x:v>0.003572835150157247</x:v>
      </x:c>
      <x:c r="K435" s="14" t="n">
        <x:f>IF(ISNUMBER(J435),E435*J435,"n/d")</x:f>
        <x:v>0.007145670300314494</x:v>
      </x:c>
      <x:c r="L435" s="7" t="str">
        <x:v>CAD_volume_x_specified_density</x:v>
      </x:c>
      <x:c r="M435" s="7" t="str">
        <x:v>BOM y montaje TT10_C05_PC_01; sin plano individual</x:v>
      </x:c>
      <x:c r="N435" s="7" t="str">
        <x:v>C05E_TT10_PE_WR1.SLDPRT</x:v>
      </x:c>
    </x:row>
    <x:row r="436" ht="34" customHeight="1">
      <x:c r="B436" s="7" t="n">
        <x:v>430</x:v>
      </x:c>
      <x:c r="C436" s="7" t="str">
        <x:v>TT10_PUENTE_N</x:v>
      </x:c>
      <x:c r="D436" s="7" t="str">
        <x:v>Placa de puente de guÃa 525x125x25</x:v>
      </x:c>
      <x:c r="E436" s="7" t="n">
        <x:v>1</x:v>
      </x:c>
      <x:c r="F436" s="7" t="str">
        <x:v>ASTM A36</x:v>
      </x:c>
      <x:c r="G436" s="7" t="str">
        <x:v>Fabricación</x:v>
      </x:c>
      <x:c r="H436" s="9" t="n">
        <x:v>0.0016406250000000002</x:v>
      </x:c>
      <x:c r="I436" s="7" t="n">
        <x:v>7850</x:v>
      </x:c>
      <x:c r="J436" s="14" t="n">
        <x:f>H436*I436</x:f>
        <x:v>12.878906250000002</x:v>
      </x:c>
      <x:c r="K436" s="14" t="n">
        <x:f>IF(ISNUMBER(J436),E436*J436,"n/d")</x:f>
        <x:v>12.878906250000002</x:v>
      </x:c>
      <x:c r="L436" s="7" t="str">
        <x:v>CAD_volume_x_specified_density</x:v>
      </x:c>
      <x:c r="M436" s="7" t="str">
        <x:v>Plano de conjunto / detalle funcional: TT10_C05_PC_03</x:v>
      </x:c>
      <x:c r="N436" s="7" t="str">
        <x:v>C05E_TT10_PUENTE_N.SLDPRT</x:v>
      </x:c>
    </x:row>
    <x:row r="437" ht="34" customHeight="1">
      <x:c r="B437" s="7" t="n">
        <x:v>431</x:v>
      </x:c>
      <x:c r="C437" s="7" t="str">
        <x:v>TT10_PUENTE_P</x:v>
      </x:c>
      <x:c r="D437" s="7" t="str">
        <x:v>Placa de puente de guÃa 525x125x25</x:v>
      </x:c>
      <x:c r="E437" s="7" t="n">
        <x:v>1</x:v>
      </x:c>
      <x:c r="F437" s="7" t="str">
        <x:v>ASTM A36</x:v>
      </x:c>
      <x:c r="G437" s="7" t="str">
        <x:v>Fabricación</x:v>
      </x:c>
      <x:c r="H437" s="9" t="n">
        <x:v>0.0016406250000000002</x:v>
      </x:c>
      <x:c r="I437" s="7" t="n">
        <x:v>7850</x:v>
      </x:c>
      <x:c r="J437" s="14" t="n">
        <x:f>H437*I437</x:f>
        <x:v>12.878906250000002</x:v>
      </x:c>
      <x:c r="K437" s="14" t="n">
        <x:f>IF(ISNUMBER(J437),E437*J437,"n/d")</x:f>
        <x:v>12.878906250000002</x:v>
      </x:c>
      <x:c r="L437" s="7" t="str">
        <x:v>CAD_volume_x_specified_density</x:v>
      </x:c>
      <x:c r="M437" s="7" t="str">
        <x:v>Plano de conjunto / detalle funcional: TT10_C05_PC_03</x:v>
      </x:c>
      <x:c r="N437" s="7" t="str">
        <x:v>C05E_TT10_PUENTE_P.SLDPRT</x:v>
      </x:c>
    </x:row>
    <x:row r="438" ht="34" customHeight="1">
      <x:c r="B438" s="7" t="n">
        <x:v>432</x:v>
      </x:c>
      <x:c r="C438" s="7" t="str">
        <x:v>TT10_R6M_BRAZO_SENSOR_N_INSERTADO</x:v>
      </x:c>
      <x:c r="D438" s="7" t="str">
        <x:v>Brazo fijo de detector; unión soldada a pie sobre larguero</x:v>
      </x:c>
      <x:c r="E438" s="7" t="n">
        <x:v>1</x:v>
      </x:c>
      <x:c r="F438" s="7" t="str">
        <x:v>ASTM A36</x:v>
      </x:c>
      <x:c r="G438" s="7" t="str">
        <x:v>Fabricación</x:v>
      </x:c>
      <x:c r="H438" s="9" t="n">
        <x:v>0.00006054000000000003</x:v>
      </x:c>
      <x:c r="I438" s="7" t="n">
        <x:v>7850</x:v>
      </x:c>
      <x:c r="J438" s="14" t="n">
        <x:f>H438*I438</x:f>
        <x:v>0.4752390000000002</x:v>
      </x:c>
      <x:c r="K438" s="14" t="n">
        <x:f>IF(ISNUMBER(J438),E438*J438,"n/d")</x:f>
        <x:v>0.4752390000000002</x:v>
      </x:c>
      <x:c r="L438" s="7" t="str">
        <x:v>CAD_volume_x_specified_density</x:v>
      </x:c>
      <x:c r="M438" s="7" t="str">
        <x:v>Plano de conjunto / detalle funcional: TT10_C05_PC_15</x:v>
      </x:c>
      <x:c r="N438" s="7" t="str">
        <x:v>C05E_TT10_R6M_BRAZO_SENSOR_N_INSERTADO.SLDPRT</x:v>
      </x:c>
    </x:row>
    <x:row r="439" ht="34" customHeight="1">
      <x:c r="B439" s="7" t="n">
        <x:v>433</x:v>
      </x:c>
      <x:c r="C439" s="7" t="str">
        <x:v>TT10_R6M_BRAZO_SENSOR_N_RETIRADO</x:v>
      </x:c>
      <x:c r="D439" s="7" t="str">
        <x:v>Brazo fijo de detector; unión soldada a pie sobre larguero</x:v>
      </x:c>
      <x:c r="E439" s="7" t="n">
        <x:v>1</x:v>
      </x:c>
      <x:c r="F439" s="7" t="str">
        <x:v>ASTM A36</x:v>
      </x:c>
      <x:c r="G439" s="7" t="str">
        <x:v>Fabricación</x:v>
      </x:c>
      <x:c r="H439" s="9" t="n">
        <x:v>0.000010139999999999942</x:v>
      </x:c>
      <x:c r="I439" s="7" t="n">
        <x:v>7850</x:v>
      </x:c>
      <x:c r="J439" s="14" t="n">
        <x:f>H439*I439</x:f>
        <x:v>0.07959899999999955</x:v>
      </x:c>
      <x:c r="K439" s="14" t="n">
        <x:f>IF(ISNUMBER(J439),E439*J439,"n/d")</x:f>
        <x:v>0.07959899999999955</x:v>
      </x:c>
      <x:c r="L439" s="7" t="str">
        <x:v>CAD_volume_x_specified_density</x:v>
      </x:c>
      <x:c r="M439" s="7" t="str">
        <x:v>Plano de conjunto / detalle funcional: TT10_C05_PC_15</x:v>
      </x:c>
      <x:c r="N439" s="7" t="str">
        <x:v>C05E_TT10_R6M_BRAZO_SENSOR_N_RETIRADO.SLDPRT</x:v>
      </x:c>
    </x:row>
    <x:row r="440" ht="34" customHeight="1">
      <x:c r="B440" s="7" t="n">
        <x:v>434</x:v>
      </x:c>
      <x:c r="C440" s="7" t="str">
        <x:v>TT10_R6M_BRAZO_SENSOR_P_INSERTADO</x:v>
      </x:c>
      <x:c r="D440" s="7" t="str">
        <x:v>Brazo fijo de detector; unión soldada a pie sobre larguero</x:v>
      </x:c>
      <x:c r="E440" s="7" t="n">
        <x:v>1</x:v>
      </x:c>
      <x:c r="F440" s="7" t="str">
        <x:v>ASTM A36</x:v>
      </x:c>
      <x:c r="G440" s="7" t="str">
        <x:v>Fabricación</x:v>
      </x:c>
      <x:c r="H440" s="9" t="n">
        <x:v>0.00006054000000000013</x:v>
      </x:c>
      <x:c r="I440" s="7" t="n">
        <x:v>7850</x:v>
      </x:c>
      <x:c r="J440" s="14" t="n">
        <x:f>H440*I440</x:f>
        <x:v>0.475239000000001</x:v>
      </x:c>
      <x:c r="K440" s="14" t="n">
        <x:f>IF(ISNUMBER(J440),E440*J440,"n/d")</x:f>
        <x:v>0.475239000000001</x:v>
      </x:c>
      <x:c r="L440" s="7" t="str">
        <x:v>CAD_volume_x_specified_density</x:v>
      </x:c>
      <x:c r="M440" s="7" t="str">
        <x:v>Plano de conjunto / detalle funcional: TT10_C05_PC_15</x:v>
      </x:c>
      <x:c r="N440" s="7" t="str">
        <x:v>C05E_TT10_R6M_BRAZO_SENSOR_P_INSERTADO.SLDPRT</x:v>
      </x:c>
    </x:row>
    <x:row r="441" ht="34" customHeight="1">
      <x:c r="B441" s="7" t="n">
        <x:v>435</x:v>
      </x:c>
      <x:c r="C441" s="7" t="str">
        <x:v>TT10_R6M_BRAZO_SENSOR_P_RETIRADO</x:v>
      </x:c>
      <x:c r="D441" s="7" t="str">
        <x:v>Brazo fijo de detector; unión soldada a pie sobre larguero</x:v>
      </x:c>
      <x:c r="E441" s="7" t="n">
        <x:v>1</x:v>
      </x:c>
      <x:c r="F441" s="7" t="str">
        <x:v>ASTM A36</x:v>
      </x:c>
      <x:c r="G441" s="7" t="str">
        <x:v>Fabricación</x:v>
      </x:c>
      <x:c r="H441" s="9" t="n">
        <x:v>0.000010140000000000047</x:v>
      </x:c>
      <x:c r="I441" s="7" t="n">
        <x:v>7850</x:v>
      </x:c>
      <x:c r="J441" s="14" t="n">
        <x:f>H441*I441</x:f>
        <x:v>0.07959900000000036</x:v>
      </x:c>
      <x:c r="K441" s="14" t="n">
        <x:f>IF(ISNUMBER(J441),E441*J441,"n/d")</x:f>
        <x:v>0.07959900000000036</x:v>
      </x:c>
      <x:c r="L441" s="7" t="str">
        <x:v>CAD_volume_x_specified_density</x:v>
      </x:c>
      <x:c r="M441" s="7" t="str">
        <x:v>Plano de conjunto / detalle funcional: TT10_C05_PC_15</x:v>
      </x:c>
      <x:c r="N441" s="7" t="str">
        <x:v>C05E_TT10_R6M_BRAZO_SENSOR_P_RETIRADO.SLDPRT</x:v>
      </x:c>
    </x:row>
    <x:row r="442" ht="34" customHeight="1">
      <x:c r="B442" s="7" t="n">
        <x:v>436</x:v>
      </x:c>
      <x:c r="C442" s="7" t="str">
        <x:v>TT10_R6M_CHAVETA_FRENO_TIMON</x:v>
      </x:c>
      <x:c r="D442" s="7" t="str">
        <x:v>ChavetaDIN6885/1 8x7x25 C45E</x:v>
      </x:c>
      <x:c r="E442" s="7" t="n">
        <x:v>1</x:v>
      </x:c>
      <x:c r="F442" s="7" t="str">
        <x:v>AISI 4140 bonificado</x:v>
      </x:c>
      <x:c r="G442" s="7" t="str">
        <x:v>Comercial</x:v>
      </x:c>
      <x:c r="H442" s="9" t="n">
        <x:v>0.0000014</x:v>
      </x:c>
      <x:c r="I442" s="7" t="n">
        <x:v>7850</x:v>
      </x:c>
      <x:c r="J442" s="14" t="n">
        <x:f>H442*I442</x:f>
        <x:v>0.01099</x:v>
      </x:c>
      <x:c r="K442" s="14" t="n">
        <x:f>IF(ISNUMBER(J442),E442*J442,"n/d")</x:f>
        <x:v>0.01099</x:v>
      </x:c>
      <x:c r="L442" s="7" t="str">
        <x:v>CAD_volume_x_specified_density</x:v>
      </x:c>
      <x:c r="M442" s="7" t="str">
        <x:v>BOM y montaje TT10_C05_PC_01; sin plano individual</x:v>
      </x:c>
      <x:c r="N442" s="7" t="str">
        <x:v>C05E_TT10_R6M_CHAVETA_FRENO_TIMON.SLDPRT</x:v>
      </x:c>
    </x:row>
    <x:row r="443" ht="34" customHeight="1">
      <x:c r="B443" s="7" t="n">
        <x:v>437</x:v>
      </x:c>
      <x:c r="C443" s="7" t="str">
        <x:v>TT10_R6M_CUBO_FRENO_TIMON</x:v>
      </x:c>
      <x:c r="D443" s="7" t="str">
        <x:v>Cubo comercial simplificado: Ø30H7,8JS9;L25; verificar suministro con referencia mayr</x:v>
      </x:c>
      <x:c r="E443" s="7" t="n">
        <x:v>1</x:v>
      </x:c>
      <x:c r="F443" s="7" t="str">
        <x:v>AISI 4140 bonificado</x:v>
      </x:c>
      <x:c r="G443" s="7" t="str">
        <x:v>Comercial</x:v>
      </x:c>
      <x:c r="H443" s="9" t="n">
        <x:v>0.00003474722489497284</x:v>
      </x:c>
      <x:c r="I443" s="7" t="n">
        <x:v>7850</x:v>
      </x:c>
      <x:c r="J443" s="14" t="n">
        <x:f>H443*I443</x:f>
        <x:v>0.2727657154255368</x:v>
      </x:c>
      <x:c r="K443" s="14" t="n">
        <x:f>IF(ISNUMBER(J443),E443*J443,"n/d")</x:f>
        <x:v>0.2727657154255368</x:v>
      </x:c>
      <x:c r="L443" s="7" t="str">
        <x:v>CAD_volume_x_specified_density</x:v>
      </x:c>
      <x:c r="M443" s="7" t="str">
        <x:v>BOM y montaje TT10_C05_PC_01; sin plano individual</x:v>
      </x:c>
      <x:c r="N443" s="7" t="str">
        <x:v>C05E_TT10_R6M_CUBO_FRENO_TIMON.SLDPRT</x:v>
      </x:c>
    </x:row>
    <x:row r="444" ht="34" customHeight="1">
      <x:c r="B444" s="7" t="n">
        <x:v>438</x:v>
      </x:c>
      <x:c r="C444" s="7" t="str">
        <x:v>TT10_R6M_IE5338_N_INSERTADO</x:v>
      </x:c>
      <x:c r="D444" s="7" t="str">
        <x:v>ifmIE5338,M8x1L40,SN3mm;N INSERTADO</x:v>
      </x:c>
      <x:c r="E444" s="7" t="n">
        <x:v>1</x:v>
      </x:c>
      <x:c r="F444" s="7" t="str">
        <x:v>Conjunto comercial ifm</x:v>
      </x:c>
      <x:c r="G444" s="7" t="str">
        <x:v>Comercial</x:v>
      </x:c>
      <x:c r="H444" s="9" t="n">
        <x:v>0.0000020106192982974722</x:v>
      </x:c>
      <x:c r="I444" s="7"/>
      <x:c r="J444" s="14" t="str">
        <x:v>n/d</x:v>
      </x:c>
      <x:c r="K444" s="14" t="str">
        <x:f>IF(ISNUMBER(J444),E444*J444,"n/d")</x:f>
        <x:v>n/d</x:v>
      </x:c>
      <x:c r="L444" s="7" t="str">
        <x:v>IE5338</x:v>
      </x:c>
      <x:c r="M444" s="7" t="str">
        <x:v>BOM y montaje TT10_C05_PC_01; sin plano individual</x:v>
      </x:c>
      <x:c r="N444" s="7" t="str">
        <x:v>C05E_TT10_R6M_IE5338_N_INSERTADO.SLDPRT</x:v>
      </x:c>
    </x:row>
    <x:row r="445" ht="34" customHeight="1">
      <x:c r="B445" s="7" t="n">
        <x:v>439</x:v>
      </x:c>
      <x:c r="C445" s="7" t="str">
        <x:v>TT10_R6M_IE5338_N_RETIRADO</x:v>
      </x:c>
      <x:c r="D445" s="7" t="str">
        <x:v>ifmIE5338,M8x1L40,SN3mm;N RETIRADO</x:v>
      </x:c>
      <x:c r="E445" s="7" t="n">
        <x:v>1</x:v>
      </x:c>
      <x:c r="F445" s="7" t="str">
        <x:v>Conjunto comercial ifm</x:v>
      </x:c>
      <x:c r="G445" s="7" t="str">
        <x:v>Comercial</x:v>
      </x:c>
      <x:c r="H445" s="9" t="n">
        <x:v>0.0000020106192982974722</x:v>
      </x:c>
      <x:c r="I445" s="7"/>
      <x:c r="J445" s="14" t="str">
        <x:v>n/d</x:v>
      </x:c>
      <x:c r="K445" s="14" t="str">
        <x:f>IF(ISNUMBER(J445),E445*J445,"n/d")</x:f>
        <x:v>n/d</x:v>
      </x:c>
      <x:c r="L445" s="7" t="str">
        <x:v>IE5338</x:v>
      </x:c>
      <x:c r="M445" s="7" t="str">
        <x:v>BOM y montaje TT10_C05_PC_01; sin plano individual</x:v>
      </x:c>
      <x:c r="N445" s="7" t="str">
        <x:v>C05E_TT10_R6M_IE5338_N_RETIRADO.SLDPRT</x:v>
      </x:c>
    </x:row>
    <x:row r="446" ht="34" customHeight="1">
      <x:c r="B446" s="7" t="n">
        <x:v>440</x:v>
      </x:c>
      <x:c r="C446" s="7" t="str">
        <x:v>TT10_R6M_IE5338_P_INSERTADO</x:v>
      </x:c>
      <x:c r="D446" s="7" t="str">
        <x:v>ifmIE5338,M8x1L40,SN3mm;P INSERTADO</x:v>
      </x:c>
      <x:c r="E446" s="7" t="n">
        <x:v>1</x:v>
      </x:c>
      <x:c r="F446" s="7" t="str">
        <x:v>Conjunto comercial ifm</x:v>
      </x:c>
      <x:c r="G446" s="7" t="str">
        <x:v>Comercial</x:v>
      </x:c>
      <x:c r="H446" s="9" t="n">
        <x:v>0.0000020106192982974667</x:v>
      </x:c>
      <x:c r="I446" s="7"/>
      <x:c r="J446" s="14" t="str">
        <x:v>n/d</x:v>
      </x:c>
      <x:c r="K446" s="14" t="str">
        <x:f>IF(ISNUMBER(J446),E446*J446,"n/d")</x:f>
        <x:v>n/d</x:v>
      </x:c>
      <x:c r="L446" s="7" t="str">
        <x:v>IE5338</x:v>
      </x:c>
      <x:c r="M446" s="7" t="str">
        <x:v>BOM y montaje TT10_C05_PC_01; sin plano individual</x:v>
      </x:c>
      <x:c r="N446" s="7" t="str">
        <x:v>C05E_TT10_R6M_IE5338_P_INSERTADO.SLDPRT</x:v>
      </x:c>
    </x:row>
    <x:row r="447" ht="34" customHeight="1">
      <x:c r="B447" s="7" t="n">
        <x:v>441</x:v>
      </x:c>
      <x:c r="C447" s="7" t="str">
        <x:v>TT10_R6M_IE5338_P_RETIRADO</x:v>
      </x:c>
      <x:c r="D447" s="7" t="str">
        <x:v>ifmIE5338,M8x1L40,SN3mm;P RETIRADO</x:v>
      </x:c>
      <x:c r="E447" s="7" t="n">
        <x:v>1</x:v>
      </x:c>
      <x:c r="F447" s="7" t="str">
        <x:v>Conjunto comercial ifm</x:v>
      </x:c>
      <x:c r="G447" s="7" t="str">
        <x:v>Comercial</x:v>
      </x:c>
      <x:c r="H447" s="9" t="n">
        <x:v>0.0000020106192982974667</x:v>
      </x:c>
      <x:c r="I447" s="7"/>
      <x:c r="J447" s="14" t="str">
        <x:v>n/d</x:v>
      </x:c>
      <x:c r="K447" s="14" t="str">
        <x:f>IF(ISNUMBER(J447),E447*J447,"n/d")</x:f>
        <x:v>n/d</x:v>
      </x:c>
      <x:c r="L447" s="7" t="str">
        <x:v>IE5338</x:v>
      </x:c>
      <x:c r="M447" s="7" t="str">
        <x:v>BOM y montaje TT10_C05_PC_01; sin plano individual</x:v>
      </x:c>
      <x:c r="N447" s="7" t="str">
        <x:v>C05E_TT10_R6M_IE5338_P_RETIRADO.SLDPRT</x:v>
      </x:c>
    </x:row>
    <x:row r="448" ht="34" customHeight="1">
      <x:c r="B448" s="7" t="n">
        <x:v>442</x:v>
      </x:c>
      <x:c r="C448" s="7" t="str">
        <x:v>TT10_R6M_MAYR_32</x:v>
      </x:c>
      <x:c r="D448" s="7" t="str">
        <x:v>mayr32/891.101.0/24/30/6885/1 JS9;64Nm; rotor metálico; liberación manual</x:v>
      </x:c>
      <x:c r="E448" s="7" t="n">
        <x:v>1</x:v>
      </x:c>
      <x:c r="F448" s="7" t="str">
        <x:v>Conjunto comercial mayr</x:v>
      </x:c>
      <x:c r="G448" s="7" t="str">
        <x:v>Comercial</x:v>
      </x:c>
      <x:c r="H448" s="9" t="n">
        <x:v>0.0009240814494531952</x:v>
      </x:c>
      <x:c r="I448" s="7"/>
      <x:c r="J448" s="14" t="n">
        <x:v>4.5</x:v>
      </x:c>
      <x:c r="K448" s="14" t="n">
        <x:f>IF(ISNUMBER(J448),E448*J448,"n/d")</x:f>
        <x:v>4.5</x:v>
      </x:c>
      <x:c r="L448" s="7" t="str">
        <x:v>32/891.101.0/24/30/6885/1 JS9</x:v>
      </x:c>
      <x:c r="M448" s="7" t="str">
        <x:v>BOM y montaje TT10_C05_PC_01; sin plano individual</x:v>
      </x:c>
      <x:c r="N448" s="7" t="str">
        <x:v>C05E_TT10_R6M_MAYR_32.SLDPRT</x:v>
      </x:c>
    </x:row>
    <x:row r="449" ht="34" customHeight="1">
      <x:c r="B449" s="7" t="n">
        <x:v>443</x:v>
      </x:c>
      <x:c r="C449" s="7" t="str">
        <x:v>TT10_R6M_PEDESTAL_FRENO</x:v>
      </x:c>
      <x:c r="D449" s="7" t="str">
        <x:v>Travesaño108x40x10 entre caras interiores del poste existente; soldadura a3,40mm por extremo</x:v>
      </x:c>
      <x:c r="E449" s="7" t="n">
        <x:v>1</x:v>
      </x:c>
      <x:c r="F449" s="7" t="str">
        <x:v>ASTM A36</x:v>
      </x:c>
      <x:c r="G449" s="7" t="str">
        <x:v>Fabricación</x:v>
      </x:c>
      <x:c r="H449" s="9" t="n">
        <x:v>0.00004320000000000012</x:v>
      </x:c>
      <x:c r="I449" s="7" t="n">
        <x:v>7850.000000000001</x:v>
      </x:c>
      <x:c r="J449" s="14" t="n">
        <x:f>H449*I449</x:f>
        <x:v>0.339120000000001</x:v>
      </x:c>
      <x:c r="K449" s="14" t="n">
        <x:f>IF(ISNUMBER(J449),E449*J449,"n/d")</x:f>
        <x:v>0.339120000000001</x:v>
      </x:c>
      <x:c r="L449" s="7" t="str">
        <x:v>CAD_volume_x_specified_density</x:v>
      </x:c>
      <x:c r="M449" s="7" t="str">
        <x:v>Plano de conjunto / detalle funcional: TT10_C05_PC_17</x:v>
      </x:c>
      <x:c r="N449" s="7" t="str">
        <x:v>C05E_TT10_R6M_PEDESTAL_FRENO.SLDPRT</x:v>
      </x:c>
    </x:row>
    <x:row r="450" ht="34" customHeight="1">
      <x:c r="B450" s="7" t="n">
        <x:v>444</x:v>
      </x:c>
      <x:c r="C450" s="7" t="str">
        <x:v>TT10_R6M_PIE_SENSORES_N</x:v>
      </x:c>
      <x:c r="D450" s="7" t="str">
        <x:v>Pie12 sobre cara superior del larguero; soldadura a3,20mm por ambas caras</x:v>
      </x:c>
      <x:c r="E450" s="7" t="n">
        <x:v>1</x:v>
      </x:c>
      <x:c r="F450" s="7" t="str">
        <x:v>ASTM A36</x:v>
      </x:c>
      <x:c r="G450" s="7" t="str">
        <x:v>Fabricación</x:v>
      </x:c>
      <x:c r="H450" s="9" t="n">
        <x:v>0.00003000000000000005</x:v>
      </x:c>
      <x:c r="I450" s="7" t="n">
        <x:v>7850</x:v>
      </x:c>
      <x:c r="J450" s="14" t="n">
        <x:f>H450*I450</x:f>
        <x:v>0.2355000000000004</x:v>
      </x:c>
      <x:c r="K450" s="14" t="n">
        <x:f>IF(ISNUMBER(J450),E450*J450,"n/d")</x:f>
        <x:v>0.2355000000000004</x:v>
      </x:c>
      <x:c r="L450" s="7" t="str">
        <x:v>CAD_volume_x_specified_density</x:v>
      </x:c>
      <x:c r="M450" s="7" t="str">
        <x:v>Plano de conjunto / detalle funcional: TT10_C05_PC_15</x:v>
      </x:c>
      <x:c r="N450" s="7" t="str">
        <x:v>C05E_TT10_R6M_PIE_SENSORES_N.SLDPRT</x:v>
      </x:c>
    </x:row>
    <x:row r="451" ht="34" customHeight="1">
      <x:c r="B451" s="7" t="n">
        <x:v>445</x:v>
      </x:c>
      <x:c r="C451" s="7" t="str">
        <x:v>TT10_R6M_PIE_SENSORES_P</x:v>
      </x:c>
      <x:c r="D451" s="7" t="str">
        <x:v>Pie12 sobre cara superior del larguero; soldadura a3,20mm por ambas caras</x:v>
      </x:c>
      <x:c r="E451" s="7" t="n">
        <x:v>1</x:v>
      </x:c>
      <x:c r="F451" s="7" t="str">
        <x:v>ASTM A36</x:v>
      </x:c>
      <x:c r="G451" s="7" t="str">
        <x:v>Fabricación</x:v>
      </x:c>
      <x:c r="H451" s="9" t="n">
        <x:v>0.000030000000000000055</x:v>
      </x:c>
      <x:c r="I451" s="7" t="n">
        <x:v>7850</x:v>
      </x:c>
      <x:c r="J451" s="14" t="n">
        <x:f>H451*I451</x:f>
        <x:v>0.23550000000000043</x:v>
      </x:c>
      <x:c r="K451" s="14" t="n">
        <x:f>IF(ISNUMBER(J451),E451*J451,"n/d")</x:f>
        <x:v>0.23550000000000043</x:v>
      </x:c>
      <x:c r="L451" s="7" t="str">
        <x:v>CAD_volume_x_specified_density</x:v>
      </x:c>
      <x:c r="M451" s="7" t="str">
        <x:v>Plano de conjunto / detalle funcional: TT10_C05_PC_15</x:v>
      </x:c>
      <x:c r="N451" s="7" t="str">
        <x:v>C05E_TT10_R6M_PIE_SENSORES_P.SLDPRT</x:v>
      </x:c>
    </x:row>
    <x:row r="452" ht="34" customHeight="1">
      <x:c r="B452" s="7" t="n">
        <x:v>446</x:v>
      </x:c>
      <x:c r="C452" s="7" t="str">
        <x:v>TT10_R6M_PLACA_FRENO_TIMON</x:v>
      </x:c>
      <x:c r="D452" s="7" t="str">
        <x:v>Placa12, caraX1127; centrado y3M6PCD132; sujeción a pedestal por cartelas</x:v>
      </x:c>
      <x:c r="E452" s="7" t="n">
        <x:v>1</x:v>
      </x:c>
      <x:c r="F452" s="7" t="str">
        <x:v>ASTM A36</x:v>
      </x:c>
      <x:c r="G452" s="7" t="str">
        <x:v>Fabricación</x:v>
      </x:c>
      <x:c r="H452" s="9" t="n">
        <x:v>0.00024131940135992437</x:v>
      </x:c>
      <x:c r="I452" s="7" t="n">
        <x:v>7850</x:v>
      </x:c>
      <x:c r="J452" s="14" t="n">
        <x:f>H452*I452</x:f>
        <x:v>1.8943573006754062</x:v>
      </x:c>
      <x:c r="K452" s="14" t="n">
        <x:f>IF(ISNUMBER(J452),E452*J452,"n/d")</x:f>
        <x:v>1.8943573006754062</x:v>
      </x:c>
      <x:c r="L452" s="7" t="str">
        <x:v>CAD_volume_x_specified_density</x:v>
      </x:c>
      <x:c r="M452" s="7" t="str">
        <x:v>Plano de conjunto / detalle funcional: TT10_C05_PC_17</x:v>
      </x:c>
      <x:c r="N452" s="7" t="str">
        <x:v>C05E_TT10_R6M_PLACA_FRENO_TIMON.SLDPRT</x:v>
      </x:c>
    </x:row>
    <x:row r="453" ht="34" customHeight="1">
      <x:c r="B453" s="7" t="n">
        <x:v>447</x:v>
      </x:c>
      <x:c r="C453" s="7" t="str">
        <x:v>TT10_R6M_SOP_SENSOR_N_INSERTADO</x:v>
      </x:c>
      <x:c r="D453" s="7" t="str">
        <x:v>Escuadra6;taladroØ8.5 para sensorM8;frente de detección a1mm del blanco</x:v>
      </x:c>
      <x:c r="E453" s="7" t="n">
        <x:v>1</x:v>
      </x:c>
      <x:c r="F453" s="7" t="str">
        <x:v>ASTM A36</x:v>
      </x:c>
      <x:c r="G453" s="7" t="str">
        <x:v>Fabricación</x:v>
      </x:c>
      <x:c r="H453" s="9" t="n">
        <x:v>0.000014059529896167107</x:v>
      </x:c>
      <x:c r="I453" s="7" t="n">
        <x:v>7850</x:v>
      </x:c>
      <x:c r="J453" s="14" t="n">
        <x:f>H453*I453</x:f>
        <x:v>0.11036730968491179</x:v>
      </x:c>
      <x:c r="K453" s="14" t="n">
        <x:f>IF(ISNUMBER(J453),E453*J453,"n/d")</x:f>
        <x:v>0.11036730968491179</x:v>
      </x:c>
      <x:c r="L453" s="7" t="str">
        <x:v>CAD_volume_x_specified_density</x:v>
      </x:c>
      <x:c r="M453" s="7" t="str">
        <x:v>Plano de conjunto / detalle funcional: TT10_C05_PC_15</x:v>
      </x:c>
      <x:c r="N453" s="7" t="str">
        <x:v>C05E_TT10_R6M_SOP_SENSOR_N_INSERTADO.SLDPRT</x:v>
      </x:c>
    </x:row>
    <x:row r="454" ht="34" customHeight="1">
      <x:c r="B454" s="7" t="n">
        <x:v>448</x:v>
      </x:c>
      <x:c r="C454" s="7" t="str">
        <x:v>TT10_R6M_SOP_SENSOR_N_RETIRADO</x:v>
      </x:c>
      <x:c r="D454" s="7" t="str">
        <x:v>Escuadra6;taladroØ8.5 para sensorM8;frente de detección a1mm del blanco</x:v>
      </x:c>
      <x:c r="E454" s="7" t="n">
        <x:v>1</x:v>
      </x:c>
      <x:c r="F454" s="7" t="str">
        <x:v>ASTM A36</x:v>
      </x:c>
      <x:c r="G454" s="7" t="str">
        <x:v>Fabricación</x:v>
      </x:c>
      <x:c r="H454" s="9" t="n">
        <x:v>0.000014059529896167266</x:v>
      </x:c>
      <x:c r="I454" s="7" t="n">
        <x:v>7850</x:v>
      </x:c>
      <x:c r="J454" s="14" t="n">
        <x:f>H454*I454</x:f>
        <x:v>0.11036730968491304</x:v>
      </x:c>
      <x:c r="K454" s="14" t="n">
        <x:f>IF(ISNUMBER(J454),E454*J454,"n/d")</x:f>
        <x:v>0.11036730968491304</x:v>
      </x:c>
      <x:c r="L454" s="7" t="str">
        <x:v>CAD_volume_x_specified_density</x:v>
      </x:c>
      <x:c r="M454" s="7" t="str">
        <x:v>Plano de conjunto / detalle funcional: TT10_C05_PC_15</x:v>
      </x:c>
      <x:c r="N454" s="7" t="str">
        <x:v>C05E_TT10_R6M_SOP_SENSOR_N_RETIRADO.SLDPRT</x:v>
      </x:c>
    </x:row>
    <x:row r="455" ht="34" customHeight="1">
      <x:c r="B455" s="7" t="n">
        <x:v>449</x:v>
      </x:c>
      <x:c r="C455" s="7" t="str">
        <x:v>TT10_R6M_SOP_SENSOR_P_INSERTADO</x:v>
      </x:c>
      <x:c r="D455" s="7" t="str">
        <x:v>Escuadra6;taladroØ8.5 para sensorM8;frente de detección a1mm del blanco</x:v>
      </x:c>
      <x:c r="E455" s="7" t="n">
        <x:v>1</x:v>
      </x:c>
      <x:c r="F455" s="7" t="str">
        <x:v>ASTM A36</x:v>
      </x:c>
      <x:c r="G455" s="7" t="str">
        <x:v>Fabricación</x:v>
      </x:c>
      <x:c r="H455" s="9" t="n">
        <x:v>0.000014059529896167266</x:v>
      </x:c>
      <x:c r="I455" s="7" t="n">
        <x:v>7850</x:v>
      </x:c>
      <x:c r="J455" s="14" t="n">
        <x:f>H455*I455</x:f>
        <x:v>0.11036730968491304</x:v>
      </x:c>
      <x:c r="K455" s="14" t="n">
        <x:f>IF(ISNUMBER(J455),E455*J455,"n/d")</x:f>
        <x:v>0.11036730968491304</x:v>
      </x:c>
      <x:c r="L455" s="7" t="str">
        <x:v>CAD_volume_x_specified_density</x:v>
      </x:c>
      <x:c r="M455" s="7" t="str">
        <x:v>Plano de conjunto / detalle funcional: TT10_C05_PC_15</x:v>
      </x:c>
      <x:c r="N455" s="7" t="str">
        <x:v>C05E_TT10_R6M_SOP_SENSOR_P_INSERTADO.SLDPRT</x:v>
      </x:c>
    </x:row>
    <x:row r="456" ht="34" customHeight="1">
      <x:c r="B456" s="7" t="n">
        <x:v>450</x:v>
      </x:c>
      <x:c r="C456" s="7" t="str">
        <x:v>TT10_R6M_SOP_SENSOR_P_RETIRADO</x:v>
      </x:c>
      <x:c r="D456" s="7" t="str">
        <x:v>Escuadra6;taladroØ8.5 para sensorM8;frente de detección a1mm del blanco</x:v>
      </x:c>
      <x:c r="E456" s="7" t="n">
        <x:v>1</x:v>
      </x:c>
      <x:c r="F456" s="7" t="str">
        <x:v>ASTM A36</x:v>
      </x:c>
      <x:c r="G456" s="7" t="str">
        <x:v>Fabricación</x:v>
      </x:c>
      <x:c r="H456" s="9" t="n">
        <x:v>0.000014059529896167266</x:v>
      </x:c>
      <x:c r="I456" s="7" t="n">
        <x:v>7850</x:v>
      </x:c>
      <x:c r="J456" s="14" t="n">
        <x:f>H456*I456</x:f>
        <x:v>0.11036730968491304</x:v>
      </x:c>
      <x:c r="K456" s="14" t="n">
        <x:f>IF(ISNUMBER(J456),E456*J456,"n/d")</x:f>
        <x:v>0.11036730968491304</x:v>
      </x:c>
      <x:c r="L456" s="7" t="str">
        <x:v>CAD_volume_x_specified_density</x:v>
      </x:c>
      <x:c r="M456" s="7" t="str">
        <x:v>Plano de conjunto / detalle funcional: TT10_C05_PC_15</x:v>
      </x:c>
      <x:c r="N456" s="7" t="str">
        <x:v>C05E_TT10_R6M_SOP_SENSOR_P_RETIRADO.SLDPRT</x:v>
      </x:c>
    </x:row>
    <x:row r="457" ht="34" customHeight="1">
      <x:c r="B457" s="7" t="n">
        <x:v>451</x:v>
      </x:c>
      <x:c r="C457" s="7" t="str">
        <x:v>TT10_SEN_B6_P0</x:v>
      </x:c>
      <x:c r="D457" s="7" t="str">
        <x:v>Tornillo ISO4762 M6x16 8.8, cabeza D10 H6, hexágono5; rosca nominal</x:v>
      </x:c>
      <x:c r="E457" s="7" t="n">
        <x:v>4</x:v>
      </x:c>
      <x:c r="F457" s="7" t="str">
        <x:v>Clase 8.8 / ISO 898-1</x:v>
      </x:c>
      <x:c r="G457" s="7" t="str">
        <x:v>Comercial</x:v>
      </x:c>
      <x:c r="H457" s="9" t="n">
        <x:v>8.586763348715663e-7</x:v>
      </x:c>
      <x:c r="I457" s="7" t="n">
        <x:v>7850</x:v>
      </x:c>
      <x:c r="J457" s="14" t="n">
        <x:f>H457*I457</x:f>
        <x:v>0.006740609228741795</x:v>
      </x:c>
      <x:c r="K457" s="14" t="n">
        <x:f>IF(ISNUMBER(J457),E457*J457,"n/d")</x:f>
        <x:v>0.02696243691496718</x:v>
      </x:c>
      <x:c r="L457" s="7" t="str">
        <x:v>CAD_volume_x_specified_density</x:v>
      </x:c>
      <x:c r="M457" s="7" t="str">
        <x:v>BOM y montaje TT10_C05_PC_01; sin plano individual</x:v>
      </x:c>
      <x:c r="N457" s="7" t="str">
        <x:v>C05E_TT10_SEN_B6_P0.SLDPRT</x:v>
      </x:c>
    </x:row>
    <x:row r="458" ht="34" customHeight="1">
      <x:c r="B458" s="7" t="n">
        <x:v>452</x:v>
      </x:c>
      <x:c r="C458" s="7" t="str">
        <x:v>TT10_SEN_P_IN</x:v>
      </x:c>
      <x:c r="D458" s="7" t="str">
        <x:v>IFM IE5338 M8x1 L40, Sn3, NO PNP/NPN, 10-30VDC; incluye dos contratuercas</x:v>
      </x:c>
      <x:c r="E458" s="7" t="n">
        <x:v>4</x:v>
      </x:c>
      <x:c r="F458" s="7" t="str">
        <x:v>Conjunto comercial IFM; latón y polímeros</x:v>
      </x:c>
      <x:c r="G458" s="7" t="str">
        <x:v>Comercial</x:v>
      </x:c>
      <x:c r="H458" s="9" t="n">
        <x:v>0.000002779361784554536</x:v>
      </x:c>
      <x:c r="I458" s="7"/>
      <x:c r="J458" s="14" t="n">
        <x:v>0.0165</x:v>
      </x:c>
      <x:c r="K458" s="14" t="n">
        <x:f>IF(ISNUMBER(J458),E458*J458,"n/d")</x:f>
        <x:v>0.066</x:v>
      </x:c>
      <x:c r="L458" s="7" t="str">
        <x:v>IE5338</x:v>
      </x:c>
      <x:c r="M458" s="7" t="str">
        <x:v>BOM y montaje TT10_C05_PC_01; sin plano individual</x:v>
      </x:c>
      <x:c r="N458" s="7" t="str">
        <x:v>C05E_TT10_SEN_P_IN.SLDPRT</x:v>
      </x:c>
    </x:row>
    <x:row r="459" ht="34" customHeight="1">
      <x:c r="B459" s="7" t="n">
        <x:v>453</x:v>
      </x:c>
      <x:c r="C459" s="7" t="str">
        <x:v>TT10_SEN_SOP_P</x:v>
      </x:c>
      <x:c r="D459" s="7" t="str">
        <x:v>Soporte soldado desmontable: carril6x40x229 y pie4x40x16.5; dos M6x16; dos D8.5</x:v>
      </x:c>
      <x:c r="E459" s="7" t="n">
        <x:v>2</x:v>
      </x:c>
      <x:c r="F459" s="7" t="str">
        <x:v>ASTM A36</x:v>
      </x:c>
      <x:c r="G459" s="7" t="str">
        <x:v>Fabricación</x:v>
      </x:c>
      <x:c r="H459" s="9" t="n">
        <x:v>0.00005664536424035372</x:v>
      </x:c>
      <x:c r="I459" s="7" t="n">
        <x:v>7850</x:v>
      </x:c>
      <x:c r="J459" s="14" t="n">
        <x:f>H459*I459</x:f>
        <x:v>0.44466610928677675</x:v>
      </x:c>
      <x:c r="K459" s="14" t="n">
        <x:f>IF(ISNUMBER(J459),E459*J459,"n/d")</x:f>
        <x:v>0.8893322185735535</x:v>
      </x:c>
      <x:c r="L459" s="7" t="str">
        <x:v>CAD_volume_x_specified_density</x:v>
      </x:c>
      <x:c r="M459" s="7" t="str">
        <x:v>Plano de conjunto / detalle funcional: TT10_C05_PC_15</x:v>
      </x:c>
      <x:c r="N459" s="7" t="str">
        <x:v>C05E_TT10_SEN_SOP_P.SLDPRT</x:v>
      </x:c>
    </x:row>
    <x:row r="460" ht="34" customHeight="1">
      <x:c r="B460" s="7" t="n">
        <x:v>454</x:v>
      </x:c>
      <x:c r="C460" s="7" t="str">
        <x:v>TT10_TIR_N1</x:v>
      </x:c>
      <x:c r="D460" s="7" t="str">
        <x:v>Tirante M20 propuesto, L380; rosca simplificada</x:v>
      </x:c>
      <x:c r="E460" s="7" t="n">
        <x:v>1</x:v>
      </x:c>
      <x:c r="F460" s="7" t="str">
        <x:v>ASTM A36</x:v>
      </x:c>
      <x:c r="G460" s="7" t="str">
        <x:v>Comercial</x:v>
      </x:c>
      <x:c r="H460" s="9" t="n">
        <x:v>0.00011938052083641215</x:v>
      </x:c>
      <x:c r="I460" s="7" t="n">
        <x:v>7850</x:v>
      </x:c>
      <x:c r="J460" s="14" t="n">
        <x:f>H460*I460</x:f>
        <x:v>0.9371370885658354</x:v>
      </x:c>
      <x:c r="K460" s="14" t="n">
        <x:f>IF(ISNUMBER(J460),E460*J460,"n/d")</x:f>
        <x:v>0.9371370885658354</x:v>
      </x:c>
      <x:c r="L460" s="7" t="str">
        <x:v>CAD_volume_x_specified_density</x:v>
      </x:c>
      <x:c r="M460" s="7" t="str">
        <x:v>BOM y montaje TT10_C05_PC_01; sin plano individual</x:v>
      </x:c>
      <x:c r="N460" s="7" t="str">
        <x:v>C05E_TT10_TIR_N1.SLDPRT</x:v>
      </x:c>
    </x:row>
    <x:row r="461" ht="34" customHeight="1">
      <x:c r="B461" s="7" t="n">
        <x:v>455</x:v>
      </x:c>
      <x:c r="C461" s="7" t="str">
        <x:v>TT10_TIR_N2</x:v>
      </x:c>
      <x:c r="D461" s="7" t="str">
        <x:v>Tirante M20 propuesto, L380; rosca simplificada</x:v>
      </x:c>
      <x:c r="E461" s="7" t="n">
        <x:v>1</x:v>
      </x:c>
      <x:c r="F461" s="7" t="str">
        <x:v>ASTM A36</x:v>
      </x:c>
      <x:c r="G461" s="7" t="str">
        <x:v>Comercial</x:v>
      </x:c>
      <x:c r="H461" s="9" t="n">
        <x:v>0.00011938052083641215</x:v>
      </x:c>
      <x:c r="I461" s="7" t="n">
        <x:v>7850</x:v>
      </x:c>
      <x:c r="J461" s="14" t="n">
        <x:f>H461*I461</x:f>
        <x:v>0.9371370885658354</x:v>
      </x:c>
      <x:c r="K461" s="14" t="n">
        <x:f>IF(ISNUMBER(J461),E461*J461,"n/d")</x:f>
        <x:v>0.9371370885658354</x:v>
      </x:c>
      <x:c r="L461" s="7" t="str">
        <x:v>CAD_volume_x_specified_density</x:v>
      </x:c>
      <x:c r="M461" s="7" t="str">
        <x:v>BOM y montaje TT10_C05_PC_01; sin plano individual</x:v>
      </x:c>
      <x:c r="N461" s="7" t="str">
        <x:v>C05E_TT10_TIR_N2.SLDPRT</x:v>
      </x:c>
    </x:row>
    <x:row r="462" ht="34" customHeight="1">
      <x:c r="B462" s="7" t="n">
        <x:v>456</x:v>
      </x:c>
      <x:c r="C462" s="7" t="str">
        <x:v>TT10_TIR_N3</x:v>
      </x:c>
      <x:c r="D462" s="7" t="str">
        <x:v>Tirante M20 propuesto, L380; rosca simplificada</x:v>
      </x:c>
      <x:c r="E462" s="7" t="n">
        <x:v>1</x:v>
      </x:c>
      <x:c r="F462" s="7" t="str">
        <x:v>ASTM A36</x:v>
      </x:c>
      <x:c r="G462" s="7" t="str">
        <x:v>Comercial</x:v>
      </x:c>
      <x:c r="H462" s="9" t="n">
        <x:v>0.00011938052083641215</x:v>
      </x:c>
      <x:c r="I462" s="7" t="n">
        <x:v>7850</x:v>
      </x:c>
      <x:c r="J462" s="14" t="n">
        <x:f>H462*I462</x:f>
        <x:v>0.9371370885658354</x:v>
      </x:c>
      <x:c r="K462" s="14" t="n">
        <x:f>IF(ISNUMBER(J462),E462*J462,"n/d")</x:f>
        <x:v>0.9371370885658354</x:v>
      </x:c>
      <x:c r="L462" s="7" t="str">
        <x:v>CAD_volume_x_specified_density</x:v>
      </x:c>
      <x:c r="M462" s="7" t="str">
        <x:v>BOM y montaje TT10_C05_PC_01; sin plano individual</x:v>
      </x:c>
      <x:c r="N462" s="7" t="str">
        <x:v>C05E_TT10_TIR_N3.SLDPRT</x:v>
      </x:c>
    </x:row>
    <x:row r="463" ht="34" customHeight="1">
      <x:c r="B463" s="7" t="n">
        <x:v>457</x:v>
      </x:c>
      <x:c r="C463" s="7" t="str">
        <x:v>TT10_TIR_N4</x:v>
      </x:c>
      <x:c r="D463" s="7" t="str">
        <x:v>Tirante M20 propuesto, L380; rosca simplificada</x:v>
      </x:c>
      <x:c r="E463" s="7" t="n">
        <x:v>1</x:v>
      </x:c>
      <x:c r="F463" s="7" t="str">
        <x:v>ASTM A36</x:v>
      </x:c>
      <x:c r="G463" s="7" t="str">
        <x:v>Comercial</x:v>
      </x:c>
      <x:c r="H463" s="9" t="n">
        <x:v>0.00011938052083641215</x:v>
      </x:c>
      <x:c r="I463" s="7" t="n">
        <x:v>7850</x:v>
      </x:c>
      <x:c r="J463" s="14" t="n">
        <x:f>H463*I463</x:f>
        <x:v>0.9371370885658354</x:v>
      </x:c>
      <x:c r="K463" s="14" t="n">
        <x:f>IF(ISNUMBER(J463),E463*J463,"n/d")</x:f>
        <x:v>0.9371370885658354</x:v>
      </x:c>
      <x:c r="L463" s="7" t="str">
        <x:v>CAD_volume_x_specified_density</x:v>
      </x:c>
      <x:c r="M463" s="7" t="str">
        <x:v>BOM y montaje TT10_C05_PC_01; sin plano individual</x:v>
      </x:c>
      <x:c r="N463" s="7" t="str">
        <x:v>C05E_TT10_TIR_N4.SLDPRT</x:v>
      </x:c>
    </x:row>
    <x:row r="464" ht="34" customHeight="1">
      <x:c r="B464" s="7" t="n">
        <x:v>458</x:v>
      </x:c>
      <x:c r="C464" s="7" t="str">
        <x:v>TT10_TIR_P1</x:v>
      </x:c>
      <x:c r="D464" s="7" t="str">
        <x:v>Tirante M20 propuesto, L380; rosca simplificada</x:v>
      </x:c>
      <x:c r="E464" s="7" t="n">
        <x:v>1</x:v>
      </x:c>
      <x:c r="F464" s="7" t="str">
        <x:v>ASTM A36</x:v>
      </x:c>
      <x:c r="G464" s="7" t="str">
        <x:v>Fabricación</x:v>
      </x:c>
      <x:c r="H464" s="9" t="n">
        <x:v>0.00011938052083641217</x:v>
      </x:c>
      <x:c r="I464" s="7" t="n">
        <x:v>7849.999999999999</x:v>
      </x:c>
      <x:c r="J464" s="14" t="n">
        <x:f>H464*I464</x:f>
        <x:v>0.9371370885658354</x:v>
      </x:c>
      <x:c r="K464" s="14" t="n">
        <x:f>IF(ISNUMBER(J464),E464*J464,"n/d")</x:f>
        <x:v>0.9371370885658354</x:v>
      </x:c>
      <x:c r="L464" s="7" t="str">
        <x:v>CAD_volume_x_specified_density</x:v>
      </x:c>
      <x:c r="M464" s="7" t="str">
        <x:v>Plano de conjunto / detalle funcional: TT10_C05_PC_02</x:v>
      </x:c>
      <x:c r="N464" s="7" t="str">
        <x:v>C05E_TT10_TIR_P1.SLDPRT</x:v>
      </x:c>
    </x:row>
    <x:row r="465" ht="34" customHeight="1">
      <x:c r="B465" s="7" t="n">
        <x:v>459</x:v>
      </x:c>
      <x:c r="C465" s="7" t="str">
        <x:v>TT10_TIR_P2</x:v>
      </x:c>
      <x:c r="D465" s="7" t="str">
        <x:v>Tirante M20 propuesto, L380; rosca simplificada</x:v>
      </x:c>
      <x:c r="E465" s="7" t="n">
        <x:v>1</x:v>
      </x:c>
      <x:c r="F465" s="7" t="str">
        <x:v>ASTM A36</x:v>
      </x:c>
      <x:c r="G465" s="7" t="str">
        <x:v>Fabricación</x:v>
      </x:c>
      <x:c r="H465" s="9" t="n">
        <x:v>0.00011938052083641217</x:v>
      </x:c>
      <x:c r="I465" s="7" t="n">
        <x:v>7849.999999999999</x:v>
      </x:c>
      <x:c r="J465" s="14" t="n">
        <x:f>H465*I465</x:f>
        <x:v>0.9371370885658354</x:v>
      </x:c>
      <x:c r="K465" s="14" t="n">
        <x:f>IF(ISNUMBER(J465),E465*J465,"n/d")</x:f>
        <x:v>0.9371370885658354</x:v>
      </x:c>
      <x:c r="L465" s="7" t="str">
        <x:v>CAD_volume_x_specified_density</x:v>
      </x:c>
      <x:c r="M465" s="7" t="str">
        <x:v>Plano de conjunto / detalle funcional: TT10_C05_PC_02</x:v>
      </x:c>
      <x:c r="N465" s="7" t="str">
        <x:v>C05E_TT10_TIR_P2.SLDPRT</x:v>
      </x:c>
    </x:row>
    <x:row r="466" ht="34" customHeight="1">
      <x:c r="B466" s="7" t="n">
        <x:v>460</x:v>
      </x:c>
      <x:c r="C466" s="7" t="str">
        <x:v>TT10_TIR_P3</x:v>
      </x:c>
      <x:c r="D466" s="7" t="str">
        <x:v>Tirante M20 propuesto, L380; rosca simplificada</x:v>
      </x:c>
      <x:c r="E466" s="7" t="n">
        <x:v>1</x:v>
      </x:c>
      <x:c r="F466" s="7" t="str">
        <x:v>ASTM A36</x:v>
      </x:c>
      <x:c r="G466" s="7" t="str">
        <x:v>Fabricación</x:v>
      </x:c>
      <x:c r="H466" s="9" t="n">
        <x:v>0.00011938052083641215</x:v>
      </x:c>
      <x:c r="I466" s="7" t="n">
        <x:v>7850</x:v>
      </x:c>
      <x:c r="J466" s="14" t="n">
        <x:f>H466*I466</x:f>
        <x:v>0.9371370885658354</x:v>
      </x:c>
      <x:c r="K466" s="14" t="n">
        <x:f>IF(ISNUMBER(J466),E466*J466,"n/d")</x:f>
        <x:v>0.9371370885658354</x:v>
      </x:c>
      <x:c r="L466" s="7" t="str">
        <x:v>CAD_volume_x_specified_density</x:v>
      </x:c>
      <x:c r="M466" s="7" t="str">
        <x:v>Plano de conjunto / detalle funcional: TT10_C05_PC_02</x:v>
      </x:c>
      <x:c r="N466" s="7" t="str">
        <x:v>C05E_TT10_TIR_P3.SLDPRT</x:v>
      </x:c>
    </x:row>
    <x:row r="467" ht="34" customHeight="1">
      <x:c r="B467" s="7" t="n">
        <x:v>461</x:v>
      </x:c>
      <x:c r="C467" s="7" t="str">
        <x:v>TT10_TIR_P4</x:v>
      </x:c>
      <x:c r="D467" s="7" t="str">
        <x:v>Tirante M20 propuesto, L380; rosca simplificada</x:v>
      </x:c>
      <x:c r="E467" s="7" t="n">
        <x:v>1</x:v>
      </x:c>
      <x:c r="F467" s="7" t="str">
        <x:v>ASTM A36</x:v>
      </x:c>
      <x:c r="G467" s="7" t="str">
        <x:v>Fabricación</x:v>
      </x:c>
      <x:c r="H467" s="9" t="n">
        <x:v>0.00011938052083641217</x:v>
      </x:c>
      <x:c r="I467" s="7" t="n">
        <x:v>7849.999999999999</x:v>
      </x:c>
      <x:c r="J467" s="14" t="n">
        <x:f>H467*I467</x:f>
        <x:v>0.9371370885658354</x:v>
      </x:c>
      <x:c r="K467" s="14" t="n">
        <x:f>IF(ISNUMBER(J467),E467*J467,"n/d")</x:f>
        <x:v>0.9371370885658354</x:v>
      </x:c>
      <x:c r="L467" s="7" t="str">
        <x:v>CAD_volume_x_specified_density</x:v>
      </x:c>
      <x:c r="M467" s="7" t="str">
        <x:v>Plano de conjunto / detalle funcional: TT10_C05_PC_02</x:v>
      </x:c>
      <x:c r="N467" s="7" t="str">
        <x:v>C05E_TT10_TIR_P4.SLDPRT</x:v>
      </x:c>
    </x:row>
    <x:row r="468" ht="34" customHeight="1">
      <x:c r="B468" s="7" t="n">
        <x:v>462</x:v>
      </x:c>
      <x:c r="C468" s="7" t="str">
        <x:v>TT10_TM_ARANDELA16</x:v>
      </x:c>
      <x:c r="D468" s="7" t="str">
        <x:v>Arandela de retención D44/d17/t4</x:v>
      </x:c>
      <x:c r="E468" s="7" t="n">
        <x:v>1</x:v>
      </x:c>
      <x:c r="F468" s="7" t="str">
        <x:v>Arandela endurecida 300 HV / ISO 7089</x:v>
      </x:c>
      <x:c r="G468" s="7" t="str">
        <x:v>Comercial</x:v>
      </x:c>
      <x:c r="H468" s="9" t="n">
        <x:v>0.000005174203100462601</x:v>
      </x:c>
      <x:c r="I468" s="7" t="n">
        <x:v>7850</x:v>
      </x:c>
      <x:c r="J468" s="14" t="n">
        <x:f>H468*I468</x:f>
        <x:v>0.04061749433863142</x:v>
      </x:c>
      <x:c r="K468" s="14" t="n">
        <x:f>IF(ISNUMBER(J468),E468*J468,"n/d")</x:f>
        <x:v>0.04061749433863142</x:v>
      </x:c>
      <x:c r="L468" s="7" t="str">
        <x:v>CAD_volume_x_specified_density</x:v>
      </x:c>
      <x:c r="M468" s="7" t="str">
        <x:v>BOM y montaje TT10_C05_PC_01; sin plano individual</x:v>
      </x:c>
      <x:c r="N468" s="7" t="str">
        <x:v>C05E_TT10_TM_ARANDELA16.SLDPRT</x:v>
      </x:c>
    </x:row>
    <x:row r="469" ht="34" customHeight="1">
      <x:c r="B469" s="7" t="n">
        <x:v>463</x:v>
      </x:c>
      <x:c r="C469" s="7" t="str">
        <x:v>TT10_TM_B12_0</x:v>
      </x:c>
      <x:c r="D469" s="7" t="str">
        <x:v>Tornillo M12x40 8.8, s18, rosca nominal; enganche20.5mm en placa</x:v>
      </x:c>
      <x:c r="E469" s="7" t="n">
        <x:v>1</x:v>
      </x:c>
      <x:c r="F469" s="7" t="str">
        <x:v>Clase 8.8 / ISO 898-1</x:v>
      </x:c>
      <x:c r="G469" s="7" t="str">
        <x:v>Comercial</x:v>
      </x:c>
      <x:c r="H469" s="9" t="n">
        <x:v>0.0000066283351523655084</x:v>
      </x:c>
      <x:c r="I469" s="7" t="n">
        <x:v>7850</x:v>
      </x:c>
      <x:c r="J469" s="14" t="n">
        <x:f>H469*I469</x:f>
        <x:v>0.05203243094606924</x:v>
      </x:c>
      <x:c r="K469" s="14" t="n">
        <x:f>IF(ISNUMBER(J469),E469*J469,"n/d")</x:f>
        <x:v>0.05203243094606924</x:v>
      </x:c>
      <x:c r="L469" s="7" t="str">
        <x:v>CAD_volume_x_specified_density</x:v>
      </x:c>
      <x:c r="M469" s="7" t="str">
        <x:v>BOM y montaje TT10_C05_PC_01; sin plano individual</x:v>
      </x:c>
      <x:c r="N469" s="7" t="str">
        <x:v>C05E_TT10_TM_B12_0.SLDPRT</x:v>
      </x:c>
    </x:row>
    <x:row r="470" ht="34" customHeight="1">
      <x:c r="B470" s="7" t="n">
        <x:v>464</x:v>
      </x:c>
      <x:c r="C470" s="7" t="str">
        <x:v>TT10_TM_B12_1</x:v>
      </x:c>
      <x:c r="D470" s="7" t="str">
        <x:v>Tornillo M12x40 8.8, s18, rosca nominal; enganche20.5mm en placa</x:v>
      </x:c>
      <x:c r="E470" s="7" t="n">
        <x:v>1</x:v>
      </x:c>
      <x:c r="F470" s="7" t="str">
        <x:v>Clase 8.8 / ISO 898-1</x:v>
      </x:c>
      <x:c r="G470" s="7" t="str">
        <x:v>Comercial</x:v>
      </x:c>
      <x:c r="H470" s="9" t="n">
        <x:v>0.00000662833515236551</x:v>
      </x:c>
      <x:c r="I470" s="7" t="n">
        <x:v>7850</x:v>
      </x:c>
      <x:c r="J470" s="14" t="n">
        <x:f>H470*I470</x:f>
        <x:v>0.052032430946069255</x:v>
      </x:c>
      <x:c r="K470" s="14" t="n">
        <x:f>IF(ISNUMBER(J470),E470*J470,"n/d")</x:f>
        <x:v>0.052032430946069255</x:v>
      </x:c>
      <x:c r="L470" s="7" t="str">
        <x:v>CAD_volume_x_specified_density</x:v>
      </x:c>
      <x:c r="M470" s="7" t="str">
        <x:v>BOM y montaje TT10_C05_PC_01; sin plano individual</x:v>
      </x:c>
      <x:c r="N470" s="7" t="str">
        <x:v>C05E_TT10_TM_B12_1.SLDPRT</x:v>
      </x:c>
    </x:row>
    <x:row r="471" ht="34" customHeight="1">
      <x:c r="B471" s="7" t="n">
        <x:v>465</x:v>
      </x:c>
      <x:c r="C471" s="7" t="str">
        <x:v>TT10_TM_B12_2</x:v>
      </x:c>
      <x:c r="D471" s="7" t="str">
        <x:v>Tornillo M12x40 8.8, s18, rosca nominal; enganche20.5mm en placa</x:v>
      </x:c>
      <x:c r="E471" s="7" t="n">
        <x:v>1</x:v>
      </x:c>
      <x:c r="F471" s="7" t="str">
        <x:v>Clase 8.8 / ISO 898-1</x:v>
      </x:c>
      <x:c r="G471" s="7" t="str">
        <x:v>Comercial</x:v>
      </x:c>
      <x:c r="H471" s="9" t="n">
        <x:v>0.00000662833515236551</x:v>
      </x:c>
      <x:c r="I471" s="7" t="n">
        <x:v>7850</x:v>
      </x:c>
      <x:c r="J471" s="14" t="n">
        <x:f>H471*I471</x:f>
        <x:v>0.052032430946069255</x:v>
      </x:c>
      <x:c r="K471" s="14" t="n">
        <x:f>IF(ISNUMBER(J471),E471*J471,"n/d")</x:f>
        <x:v>0.052032430946069255</x:v>
      </x:c>
      <x:c r="L471" s="7" t="str">
        <x:v>CAD_volume_x_specified_density</x:v>
      </x:c>
      <x:c r="M471" s="7" t="str">
        <x:v>BOM y montaje TT10_C05_PC_01; sin plano individual</x:v>
      </x:c>
      <x:c r="N471" s="7" t="str">
        <x:v>C05E_TT10_TM_B12_2.SLDPRT</x:v>
      </x:c>
    </x:row>
    <x:row r="472" ht="34" customHeight="1">
      <x:c r="B472" s="7" t="n">
        <x:v>466</x:v>
      </x:c>
      <x:c r="C472" s="7" t="str">
        <x:v>TT10_TM_B12_3</x:v>
      </x:c>
      <x:c r="D472" s="7" t="str">
        <x:v>Tornillo M12x40 8.8, s18, rosca nominal; enganche20.5mm en placa</x:v>
      </x:c>
      <x:c r="E472" s="7" t="n">
        <x:v>1</x:v>
      </x:c>
      <x:c r="F472" s="7" t="str">
        <x:v>Clase 8.8 / ISO 898-1</x:v>
      </x:c>
      <x:c r="G472" s="7" t="str">
        <x:v>Comercial</x:v>
      </x:c>
      <x:c r="H472" s="9" t="n">
        <x:v>0.000006628335152365513</x:v>
      </x:c>
      <x:c r="I472" s="7" t="n">
        <x:v>7850</x:v>
      </x:c>
      <x:c r="J472" s="14" t="n">
        <x:f>H472*I472</x:f>
        <x:v>0.052032430946069276</x:v>
      </x:c>
      <x:c r="K472" s="14" t="n">
        <x:f>IF(ISNUMBER(J472),E472*J472,"n/d")</x:f>
        <x:v>0.052032430946069276</x:v>
      </x:c>
      <x:c r="L472" s="7" t="str">
        <x:v>CAD_volume_x_specified_density</x:v>
      </x:c>
      <x:c r="M472" s="7" t="str">
        <x:v>BOM y montaje TT10_C05_PC_01; sin plano individual</x:v>
      </x:c>
      <x:c r="N472" s="7" t="str">
        <x:v>C05E_TT10_TM_B12_3.SLDPRT</x:v>
      </x:c>
    </x:row>
    <x:row r="473" ht="34" customHeight="1">
      <x:c r="B473" s="7" t="n">
        <x:v>467</x:v>
      </x:c>
      <x:c r="C473" s="7" t="str">
        <x:v>TT10_TM_CHAVETA</x:v>
      </x:c>
      <x:c r="D473" s="7" t="str">
        <x:v>Chaveta paralela8x7x40, extremos R4, formaA; acero C45E</x:v>
      </x:c>
      <x:c r="E473" s="7" t="n">
        <x:v>1</x:v>
      </x:c>
      <x:c r="F473" s="7" t="str">
        <x:v>AISI 4140 bonificado</x:v>
      </x:c>
      <x:c r="G473" s="7" t="str">
        <x:v>Comercial</x:v>
      </x:c>
      <x:c r="H473" s="9" t="n">
        <x:v>0.000002143858377202059</x:v>
      </x:c>
      <x:c r="I473" s="7" t="n">
        <x:v>7850</x:v>
      </x:c>
      <x:c r="J473" s="14" t="n">
        <x:f>H473*I473</x:f>
        <x:v>0.016829288261036163</x:v>
      </x:c>
      <x:c r="K473" s="14" t="n">
        <x:f>IF(ISNUMBER(J473),E473*J473,"n/d")</x:f>
        <x:v>0.016829288261036163</x:v>
      </x:c>
      <x:c r="L473" s="7" t="str">
        <x:v>CAD_volume_x_specified_density</x:v>
      </x:c>
      <x:c r="M473" s="7" t="str">
        <x:v>BOM y montaje TT10_C05_PC_01; sin plano individual</x:v>
      </x:c>
      <x:c r="N473" s="7" t="str">
        <x:v>C05E_TT10_TM_CHAVETA.SLDPRT</x:v>
      </x:c>
    </x:row>
    <x:row r="474" ht="34" customHeight="1">
      <x:c r="B474" s="7" t="n">
        <x:v>468</x:v>
      </x:c>
      <x:c r="C474" s="7" t="str">
        <x:v>TT10_TM_CUBO</x:v>
      </x:c>
      <x:c r="D474" s="7" t="str">
        <x:v>Cubo D80/D30 H7 L45; chavetero8 JS9, profundidad3.3 sobre radio nominal</x:v>
      </x:c>
      <x:c r="E474" s="7" t="n">
        <x:v>1</x:v>
      </x:c>
      <x:c r="F474" s="7" t="str">
        <x:v>AISI 4140 bonificado</x:v>
      </x:c>
      <x:c r="G474" s="7" t="str">
        <x:v>Fabricación</x:v>
      </x:c>
      <x:c r="H474" s="9" t="n">
        <x:v>0.00019308922057672547</x:v>
      </x:c>
      <x:c r="I474" s="7" t="n">
        <x:v>7850</x:v>
      </x:c>
      <x:c r="J474" s="14" t="n">
        <x:f>H474*I474</x:f>
        <x:v>1.515750381527295</x:v>
      </x:c>
      <x:c r="K474" s="14" t="n">
        <x:f>IF(ISNUMBER(J474),E474*J474,"n/d")</x:f>
        <x:v>1.515750381527295</x:v>
      </x:c>
      <x:c r="L474" s="7" t="str">
        <x:v>CAD_volume_x_specified_density</x:v>
      </x:c>
      <x:c r="M474" s="7" t="str">
        <x:v>Plano de conjunto / detalle funcional: TT10_C05_PC_17</x:v>
      </x:c>
      <x:c r="N474" s="7" t="str">
        <x:v>C05E_TT10_TM_CUBO.SLDPRT</x:v>
      </x:c>
    </x:row>
    <x:row r="475" ht="34" customHeight="1">
      <x:c r="B475" s="7" t="n">
        <x:v>469</x:v>
      </x:c>
      <x:c r="C475" s="7" t="str">
        <x:v>TT10_TM_EJE_PUNO</x:v>
      </x:c>
      <x:c r="D475" s="7" t="str">
        <x:v>Perno escalonado: M8, hombro14, pistaD10 h9 L87.3 y cabeza16; pistaRa≤0.8</x:v>
      </x:c>
      <x:c r="E475" s="7" t="n">
        <x:v>1</x:v>
      </x:c>
      <x:c r="F475" s="7" t="str">
        <x:v>Clase 10.9 / ISO 898-1</x:v>
      </x:c>
      <x:c r="G475" s="7" t="str">
        <x:v>Comercial</x:v>
      </x:c>
      <x:c r="H475" s="9" t="n">
        <x:v>0.000010125667281784666</x:v>
      </x:c>
      <x:c r="I475" s="7" t="n">
        <x:v>7850</x:v>
      </x:c>
      <x:c r="J475" s="14" t="n">
        <x:f>H475*I475</x:f>
        <x:v>0.07948648816200964</x:v>
      </x:c>
      <x:c r="K475" s="14" t="n">
        <x:f>IF(ISNUMBER(J475),E475*J475,"n/d")</x:f>
        <x:v>0.07948648816200964</x:v>
      </x:c>
      <x:c r="L475" s="7" t="str">
        <x:v>CAD_volume_x_specified_density</x:v>
      </x:c>
      <x:c r="M475" s="7" t="str">
        <x:v>BOM y montaje TT10_C05_PC_01; sin plano individual</x:v>
      </x:c>
      <x:c r="N475" s="7" t="str">
        <x:v>C05E_TT10_TM_EJE_PUNO.SLDPRT</x:v>
      </x:c>
    </x:row>
    <x:row r="476" ht="34" customHeight="1">
      <x:c r="B476" s="7" t="n">
        <x:v>470</x:v>
      </x:c>
      <x:c r="C476" s="7" t="str">
        <x:v>TT10_TM_PUNO</x:v>
      </x:c>
      <x:c r="D476" s="7" t="str">
        <x:v>Empuñadura giratoria POM D32/d10.4 L85</x:v>
      </x:c>
      <x:c r="E476" s="7" t="n">
        <x:v>1</x:v>
      </x:c>
      <x:c r="F476" s="7" t="str">
        <x:v>POM-C; ficha de proveedor requerida</x:v>
      </x:c>
      <x:c r="G476" s="7" t="str">
        <x:v>Fabricación</x:v>
      </x:c>
      <x:c r="H476" s="9" t="n">
        <x:v>0.00006114041958710233</x:v>
      </x:c>
      <x:c r="I476" s="7" t="n">
        <x:v>1410</x:v>
      </x:c>
      <x:c r="J476" s="14" t="n">
        <x:f>H476*I476</x:f>
        <x:v>0.08620799161781428</x:v>
      </x:c>
      <x:c r="K476" s="14" t="n">
        <x:f>IF(ISNUMBER(J476),E476*J476,"n/d")</x:f>
        <x:v>0.08620799161781428</x:v>
      </x:c>
      <x:c r="L476" s="7" t="str">
        <x:v>CAD_volume_x_specified_density</x:v>
      </x:c>
      <x:c r="M476" s="7" t="str">
        <x:v>Plano de conjunto / detalle funcional: TT10_C05_PC_17</x:v>
      </x:c>
      <x:c r="N476" s="7" t="str">
        <x:v>C05E_TT10_TM_PUNO.SLDPRT</x:v>
      </x:c>
    </x:row>
    <x:row r="477" ht="34" customHeight="1">
      <x:c r="B477" s="7" t="n">
        <x:v>471</x:v>
      </x:c>
      <x:c r="C477" s="7" t="str">
        <x:v>TT10_TM_PUNO_N8</x:v>
      </x:c>
      <x:c r="D477" s="7" t="str">
        <x:v>Tuerca autoblocante metálica M8 h8 s13; geometría nominal</x:v>
      </x:c>
      <x:c r="E477" s="7" t="n">
        <x:v>1</x:v>
      </x:c>
      <x:c r="F477" s="7" t="str">
        <x:v>Tuerca clase 8 / ISO 898-2</x:v>
      </x:c>
      <x:c r="G477" s="7" t="str">
        <x:v>Comercial</x:v>
      </x:c>
      <x:c r="H477" s="9" t="n">
        <x:v>7.6874248625718e-7</x:v>
      </x:c>
      <x:c r="I477" s="7" t="n">
        <x:v>7850</x:v>
      </x:c>
      <x:c r="J477" s="14" t="n">
        <x:f>H477*I477</x:f>
        <x:v>0.006034628517118863</x:v>
      </x:c>
      <x:c r="K477" s="14" t="n">
        <x:f>IF(ISNUMBER(J477),E477*J477,"n/d")</x:f>
        <x:v>0.006034628517118863</x:v>
      </x:c>
      <x:c r="L477" s="7" t="str">
        <x:v>CAD_volume_x_specified_density</x:v>
      </x:c>
      <x:c r="M477" s="7" t="str">
        <x:v>BOM y montaje TT10_C05_PC_01; sin plano individual</x:v>
      </x:c>
      <x:c r="N477" s="7" t="str">
        <x:v>C05E_TT10_TM_PUNO_N8.SLDPRT</x:v>
      </x:c>
    </x:row>
    <x:row r="478" ht="34" customHeight="1">
      <x:c r="B478" s="7" t="n">
        <x:v>472</x:v>
      </x:c>
      <x:c r="C478" s="7" t="str">
        <x:v>TT10_TM_PUNO_W0</x:v>
      </x:c>
      <x:c r="D478" s="7" t="str">
        <x:v>Arandela lisa D20/d10.5/t1 para empuñadura</x:v>
      </x:c>
      <x:c r="E478" s="7" t="n">
        <x:v>1</x:v>
      </x:c>
      <x:c r="F478" s="7" t="str">
        <x:v>Arandela endurecida 300 HV / ISO 7089</x:v>
      </x:c>
      <x:c r="G478" s="7" t="str">
        <x:v>Comercial</x:v>
      </x:c>
      <x:c r="H478" s="9" t="n">
        <x:v>2.2756911784433932e-7</x:v>
      </x:c>
      <x:c r="I478" s="7" t="n">
        <x:v>7900</x:v>
      </x:c>
      <x:c r="J478" s="14" t="n">
        <x:f>H478*I478</x:f>
        <x:v>0.0017977960309702805</x:v>
      </x:c>
      <x:c r="K478" s="14" t="n">
        <x:f>IF(ISNUMBER(J478),E478*J478,"n/d")</x:f>
        <x:v>0.0017977960309702805</x:v>
      </x:c>
      <x:c r="L478" s="7" t="str">
        <x:v>CAD_volume_x_specified_density</x:v>
      </x:c>
      <x:c r="M478" s="7" t="str">
        <x:v>BOM y montaje TT10_C05_PC_01; sin plano individual</x:v>
      </x:c>
      <x:c r="N478" s="7" t="str">
        <x:v>C05E_TT10_TM_PUNO_W0.SLDPRT</x:v>
      </x:c>
    </x:row>
    <x:row r="479" ht="34" customHeight="1">
      <x:c r="B479" s="7" t="n">
        <x:v>473</x:v>
      </x:c>
      <x:c r="C479" s="7" t="str">
        <x:v>TT10_TM_PUNO_W1</x:v>
      </x:c>
      <x:c r="D479" s="7" t="str">
        <x:v>Arandela lisa D20/d10.5/t1 para empuñadura</x:v>
      </x:c>
      <x:c r="E479" s="7" t="n">
        <x:v>1</x:v>
      </x:c>
      <x:c r="F479" s="7" t="str">
        <x:v>Arandela endurecida 300 HV / ISO 7089</x:v>
      </x:c>
      <x:c r="G479" s="7" t="str">
        <x:v>Comercial</x:v>
      </x:c>
      <x:c r="H479" s="9" t="n">
        <x:v>2.275691178443911e-7</x:v>
      </x:c>
      <x:c r="I479" s="7" t="n">
        <x:v>7900</x:v>
      </x:c>
      <x:c r="J479" s="14" t="n">
        <x:f>H479*I479</x:f>
        <x:v>0.0017977960309706897</x:v>
      </x:c>
      <x:c r="K479" s="14" t="n">
        <x:f>IF(ISNUMBER(J479),E479*J479,"n/d")</x:f>
        <x:v>0.0017977960309706897</x:v>
      </x:c>
      <x:c r="L479" s="7" t="str">
        <x:v>CAD_volume_x_specified_density</x:v>
      </x:c>
      <x:c r="M479" s="7" t="str">
        <x:v>BOM y montaje TT10_C05_PC_01; sin plano individual</x:v>
      </x:c>
      <x:c r="N479" s="7" t="str">
        <x:v>C05E_TT10_TM_PUNO_W1.SLDPRT</x:v>
      </x:c>
    </x:row>
    <x:row r="480" ht="34" customHeight="1">
      <x:c r="B480" s="7" t="n">
        <x:v>474</x:v>
      </x:c>
      <x:c r="C480" s="7" t="str">
        <x:v>TT10_TM_PUNO_W8</x:v>
      </x:c>
      <x:c r="D480" s="7" t="str">
        <x:v>Arandela M8 D16/d8.4/t1.6</x:v>
      </x:c>
      <x:c r="E480" s="7" t="n">
        <x:v>1</x:v>
      </x:c>
      <x:c r="F480" s="7" t="str">
        <x:v>Arandela endurecida 300 HV / ISO 7089</x:v>
      </x:c>
      <x:c r="G480" s="7" t="str">
        <x:v>Comercial</x:v>
      </x:c>
      <x:c r="H480" s="9" t="n">
        <x:v>2.3303077667266653e-7</x:v>
      </x:c>
      <x:c r="I480" s="7" t="n">
        <x:v>7850</x:v>
      </x:c>
      <x:c r="J480" s="14" t="n">
        <x:f>H480*I480</x:f>
        <x:v>0.0018292915968804323</x:v>
      </x:c>
      <x:c r="K480" s="14" t="n">
        <x:f>IF(ISNUMBER(J480),E480*J480,"n/d")</x:f>
        <x:v>0.0018292915968804323</x:v>
      </x:c>
      <x:c r="L480" s="7" t="str">
        <x:v>CAD_volume_x_specified_density</x:v>
      </x:c>
      <x:c r="M480" s="7" t="str">
        <x:v>BOM y montaje TT10_C05_PC_01; sin plano individual</x:v>
      </x:c>
      <x:c r="N480" s="7" t="str">
        <x:v>C05E_TT10_TM_PUNO_W8.SLDPRT</x:v>
      </x:c>
    </x:row>
    <x:row r="481" ht="34" customHeight="1">
      <x:c r="B481" s="7" t="n">
        <x:v>475</x:v>
      </x:c>
      <x:c r="C481" s="7" t="str">
        <x:v>TT10_TM_SY30_0</x:v>
      </x:c>
      <x:c r="D481" s="7" t="str">
        <x:v>SKF SY30TF, d30, H42.9, base152x40, pasos117.5; interfaces nominales</x:v>
      </x:c>
      <x:c r="E481" s="7" t="n">
        <x:v>3</x:v>
      </x:c>
      <x:c r="F481" s="7" t="str">
        <x:v>Conjunto comprado; acero/ fundición según OEM</x:v>
      </x:c>
      <x:c r="G481" s="7" t="str">
        <x:v>Comercial</x:v>
      </x:c>
      <x:c r="H481" s="9" t="n">
        <x:v>0.00019551869434106088</x:v>
      </x:c>
      <x:c r="I481" s="7"/>
      <x:c r="J481" s="14" t="n">
        <x:v>1.1</x:v>
      </x:c>
      <x:c r="K481" s="14" t="n">
        <x:f>IF(ISNUMBER(J481),E481*J481,"n/d")</x:f>
        <x:v>3.3000000000000003</x:v>
      </x:c>
      <x:c r="L481" s="7" t="str">
        <x:v>SY 30 TF</x:v>
      </x:c>
      <x:c r="M481" s="7" t="str">
        <x:v>BOM y montaje TT10_C05_PC_01; sin plano individual</x:v>
      </x:c>
      <x:c r="N481" s="7" t="str">
        <x:v>C05E_TT10_TM_SY30_0.SLDPRT</x:v>
      </x:c>
    </x:row>
    <x:row r="482" ht="34" customHeight="1">
      <x:c r="B482" s="7" t="n">
        <x:v>476</x:v>
      </x:c>
      <x:c r="C482" s="7" t="str">
        <x:v>TT10_TM_SY30_1</x:v>
      </x:c>
      <x:c r="D482" s="7" t="str">
        <x:v>SKF SY30TF, d30, H42.9, base152x40, pasos117.5; interfaces nominales</x:v>
      </x:c>
      <x:c r="E482" s="7" t="n">
        <x:v>1</x:v>
      </x:c>
      <x:c r="F482" s="7" t="str">
        <x:v>Conjunto comprado; acero/ fundición según OEM</x:v>
      </x:c>
      <x:c r="G482" s="7" t="str">
        <x:v>Comercial</x:v>
      </x:c>
      <x:c r="H482" s="9" t="n">
        <x:v>0.00019551869434106164</x:v>
      </x:c>
      <x:c r="I482" s="7"/>
      <x:c r="J482" s="14" t="n">
        <x:v>1.1</x:v>
      </x:c>
      <x:c r="K482" s="14" t="n">
        <x:f>IF(ISNUMBER(J482),E482*J482,"n/d")</x:f>
        <x:v>1.1</x:v>
      </x:c>
      <x:c r="L482" s="7" t="str">
        <x:v>SY 30 TF</x:v>
      </x:c>
      <x:c r="M482" s="7" t="str">
        <x:v>BOM y montaje TT10_C05_PC_01; sin plano individual</x:v>
      </x:c>
      <x:c r="N482" s="7" t="str">
        <x:v>C05E_TT10_TM_SY30_1.SLDPRT</x:v>
      </x:c>
    </x:row>
    <x:row r="483" ht="34" customHeight="1">
      <x:c r="B483" s="7" t="n">
        <x:v>477</x:v>
      </x:c>
      <x:c r="C483" s="7" t="str">
        <x:v>TT10_TM_TORNILLO16</x:v>
      </x:c>
      <x:c r="D483" s="7" t="str">
        <x:v>Tornillo M16x35 clase8.8, s24; retiene axialmente rueda y cubo</x:v>
      </x:c>
      <x:c r="E483" s="7" t="n">
        <x:v>1</x:v>
      </x:c>
      <x:c r="F483" s="7" t="str">
        <x:v>Clase 8.8 / ISO 898-1</x:v>
      </x:c>
      <x:c r="G483" s="7" t="str">
        <x:v>Comercial</x:v>
      </x:c>
      <x:c r="H483" s="9" t="n">
        <x:v>0.000012025473869839299</x:v>
      </x:c>
      <x:c r="I483" s="7" t="n">
        <x:v>7850</x:v>
      </x:c>
      <x:c r="J483" s="14" t="n">
        <x:f>H483*I483</x:f>
        <x:v>0.0943999698782385</x:v>
      </x:c>
      <x:c r="K483" s="14" t="n">
        <x:f>IF(ISNUMBER(J483),E483*J483,"n/d")</x:f>
        <x:v>0.0943999698782385</x:v>
      </x:c>
      <x:c r="L483" s="7" t="str">
        <x:v>CAD_volume_x_specified_density</x:v>
      </x:c>
      <x:c r="M483" s="7" t="str">
        <x:v>BOM y montaje TT10_C05_PC_01; sin plano individual</x:v>
      </x:c>
      <x:c r="N483" s="7" t="str">
        <x:v>C05E_TT10_TM_TORNILLO16.SLDPRT</x:v>
      </x:c>
    </x:row>
    <x:row r="484" ht="34" customHeight="1">
      <x:c r="B484" s="7" t="n">
        <x:v>478</x:v>
      </x:c>
      <x:c r="C484" s="7" t="str">
        <x:v>TT10_TM_VOLANTE</x:v>
      </x:c>
      <x:c r="D484" s="7" t="str">
        <x:v>Volante D500 t12, cuatro radios; D8.5 para empuñadura; soldado al cubo</x:v>
      </x:c>
      <x:c r="E484" s="7" t="n">
        <x:v>1</x:v>
      </x:c>
      <x:c r="F484" s="7" t="str">
        <x:v>ASTM A36</x:v>
      </x:c>
      <x:c r="G484" s="7" t="str">
        <x:v>Fabricación</x:v>
      </x:c>
      <x:c r="H484" s="9" t="n">
        <x:v>0.0008774357605864674</x:v>
      </x:c>
      <x:c r="I484" s="7" t="n">
        <x:v>7850</x:v>
      </x:c>
      <x:c r="J484" s="14" t="n">
        <x:f>H484*I484</x:f>
        <x:v>6.887870720603769</x:v>
      </x:c>
      <x:c r="K484" s="14" t="n">
        <x:f>IF(ISNUMBER(J484),E484*J484,"n/d")</x:f>
        <x:v>6.887870720603769</x:v>
      </x:c>
      <x:c r="L484" s="7" t="str">
        <x:v>CAD_volume_x_specified_density</x:v>
      </x:c>
      <x:c r="M484" s="7" t="str">
        <x:v>Plano de conjunto / detalle funcional: TT10_C05_PC_17</x:v>
      </x:c>
      <x:c r="N484" s="7" t="str">
        <x:v>C05E_TT10_TM_VOLANTE.SLDPRT</x:v>
      </x:c>
    </x:row>
    <x:row r="485" ht="34" customHeight="1">
      <x:c r="B485" s="7" t="n">
        <x:v>479</x:v>
      </x:c>
      <x:c r="C485" s="7" t="str">
        <x:v>TT10_TM_W12_0</x:v>
      </x:c>
      <x:c r="D485" s="7" t="str">
        <x:v>Arandela M12 D24/d13/t2.5</x:v>
      </x:c>
      <x:c r="E485" s="7" t="n">
        <x:v>1</x:v>
      </x:c>
      <x:c r="F485" s="7" t="str">
        <x:v>Arandela endurecida 300 HV / ISO 7089</x:v>
      </x:c>
      <x:c r="G485" s="7" t="str">
        <x:v>Comercial</x:v>
      </x:c>
      <x:c r="H485" s="9" t="n">
        <x:v>7.991426312569048e-7</x:v>
      </x:c>
      <x:c r="I485" s="7" t="n">
        <x:v>7850</x:v>
      </x:c>
      <x:c r="J485" s="14" t="n">
        <x:f>H485*I485</x:f>
        <x:v>0.006273269655366703</x:v>
      </x:c>
      <x:c r="K485" s="14" t="n">
        <x:f>IF(ISNUMBER(J485),E485*J485,"n/d")</x:f>
        <x:v>0.006273269655366703</x:v>
      </x:c>
      <x:c r="L485" s="7" t="str">
        <x:v>CAD_volume_x_specified_density</x:v>
      </x:c>
      <x:c r="M485" s="7" t="str">
        <x:v>BOM y montaje TT10_C05_PC_01; sin plano individual</x:v>
      </x:c>
      <x:c r="N485" s="7" t="str">
        <x:v>C05E_TT10_TM_W12_0.SLDPRT</x:v>
      </x:c>
    </x:row>
    <x:row r="486" ht="34" customHeight="1">
      <x:c r="B486" s="7" t="n">
        <x:v>480</x:v>
      </x:c>
      <x:c r="C486" s="7" t="str">
        <x:v>TT10_TM_W12_1</x:v>
      </x:c>
      <x:c r="D486" s="7" t="str">
        <x:v>Arandela M12 D24/d13/t2.5</x:v>
      </x:c>
      <x:c r="E486" s="7" t="n">
        <x:v>1</x:v>
      </x:c>
      <x:c r="F486" s="7" t="str">
        <x:v>Arandela endurecida 300 HV / ISO 7089</x:v>
      </x:c>
      <x:c r="G486" s="7" t="str">
        <x:v>Comercial</x:v>
      </x:c>
      <x:c r="H486" s="9" t="n">
        <x:v>7.991426312569048e-7</x:v>
      </x:c>
      <x:c r="I486" s="7" t="n">
        <x:v>7850</x:v>
      </x:c>
      <x:c r="J486" s="14" t="n">
        <x:f>H486*I486</x:f>
        <x:v>0.006273269655366703</x:v>
      </x:c>
      <x:c r="K486" s="14" t="n">
        <x:f>IF(ISNUMBER(J486),E486*J486,"n/d")</x:f>
        <x:v>0.006273269655366703</x:v>
      </x:c>
      <x:c r="L486" s="7" t="str">
        <x:v>CAD_volume_x_specified_density</x:v>
      </x:c>
      <x:c r="M486" s="7" t="str">
        <x:v>BOM y montaje TT10_C05_PC_01; sin plano individual</x:v>
      </x:c>
      <x:c r="N486" s="7" t="str">
        <x:v>C05E_TT10_TM_W12_1.SLDPRT</x:v>
      </x:c>
    </x:row>
    <x:row r="487" ht="34" customHeight="1">
      <x:c r="B487" s="7" t="n">
        <x:v>481</x:v>
      </x:c>
      <x:c r="C487" s="7" t="str">
        <x:v>TT10_TM_W12_2</x:v>
      </x:c>
      <x:c r="D487" s="7" t="str">
        <x:v>Arandela M12 D24/d13/t2.5</x:v>
      </x:c>
      <x:c r="E487" s="7" t="n">
        <x:v>1</x:v>
      </x:c>
      <x:c r="F487" s="7" t="str">
        <x:v>Arandela endurecida 300 HV / ISO 7089</x:v>
      </x:c>
      <x:c r="G487" s="7" t="str">
        <x:v>Comercial</x:v>
      </x:c>
      <x:c r="H487" s="9" t="n">
        <x:v>7.991426312569048e-7</x:v>
      </x:c>
      <x:c r="I487" s="7" t="n">
        <x:v>7850</x:v>
      </x:c>
      <x:c r="J487" s="14" t="n">
        <x:f>H487*I487</x:f>
        <x:v>0.006273269655366703</x:v>
      </x:c>
      <x:c r="K487" s="14" t="n">
        <x:f>IF(ISNUMBER(J487),E487*J487,"n/d")</x:f>
        <x:v>0.006273269655366703</x:v>
      </x:c>
      <x:c r="L487" s="7" t="str">
        <x:v>CAD_volume_x_specified_density</x:v>
      </x:c>
      <x:c r="M487" s="7" t="str">
        <x:v>BOM y montaje TT10_C05_PC_01; sin plano individual</x:v>
      </x:c>
      <x:c r="N487" s="7" t="str">
        <x:v>C05E_TT10_TM_W12_2.SLDPRT</x:v>
      </x:c>
    </x:row>
    <x:row r="488" ht="34" customHeight="1">
      <x:c r="B488" s="7" t="n">
        <x:v>482</x:v>
      </x:c>
      <x:c r="C488" s="7" t="str">
        <x:v>TT10_TM_W12_3</x:v>
      </x:c>
      <x:c r="D488" s="7" t="str">
        <x:v>Arandela M12 D24/d13/t2.5</x:v>
      </x:c>
      <x:c r="E488" s="7" t="n">
        <x:v>1</x:v>
      </x:c>
      <x:c r="F488" s="7" t="str">
        <x:v>Arandela endurecida 300 HV / ISO 7089</x:v>
      </x:c>
      <x:c r="G488" s="7" t="str">
        <x:v>Comercial</x:v>
      </x:c>
      <x:c r="H488" s="9" t="n">
        <x:v>7.991426312569048e-7</x:v>
      </x:c>
      <x:c r="I488" s="7" t="n">
        <x:v>7850</x:v>
      </x:c>
      <x:c r="J488" s="14" t="n">
        <x:f>H488*I488</x:f>
        <x:v>0.006273269655366703</x:v>
      </x:c>
      <x:c r="K488" s="14" t="n">
        <x:f>IF(ISNUMBER(J488),E488*J488,"n/d")</x:f>
        <x:v>0.006273269655366703</x:v>
      </x:c>
      <x:c r="L488" s="7" t="str">
        <x:v>CAD_volume_x_specified_density</x:v>
      </x:c>
      <x:c r="M488" s="7" t="str">
        <x:v>BOM y montaje TT10_C05_PC_01; sin plano individual</x:v>
      </x:c>
      <x:c r="N488" s="7" t="str">
        <x:v>C05E_TT10_TM_W12_3.SLDPRT</x:v>
      </x:c>
    </x:row>
    <x:row r="489" ht="34" customHeight="1">
      <x:c r="B489" s="7" t="n">
        <x:v>483</x:v>
      </x:c>
      <x:c r="C489" s="7" t="str">
        <x:v>TT10_TNF_N1</x:v>
      </x:c>
      <x:c r="D489" s="7" t="str">
        <x:v>SKF TNF48; reserva dimensional axial A2=380</x:v>
      </x:c>
      <x:c r="E489" s="7" t="n">
        <x:v>1</x:v>
      </x:c>
      <x:c r="F489" s="7" t="str">
        <x:v>Conjunto comprado; acero/ fundición según OEM</x:v>
      </x:c>
      <x:c r="G489" s="7" t="str">
        <x:v>Comercial</x:v>
      </x:c>
      <x:c r="H489" s="9" t="n">
        <x:v>0.0007464367596261585</x:v>
      </x:c>
      <x:c r="I489" s="7"/>
      <x:c r="J489" s="14" t="str">
        <x:v>n/d</x:v>
      </x:c>
      <x:c r="K489" s="14" t="str">
        <x:f>IF(ISNUMBER(J489),E489*J489,"n/d")</x:f>
        <x:v>n/d</x:v>
      </x:c>
      <x:c r="L489" s="7" t="str">
        <x:v>TNF 48</x:v>
      </x:c>
      <x:c r="M489" s="7" t="str">
        <x:v>BOM y montaje TT10_C05_PC_01; sin plano individual</x:v>
      </x:c>
      <x:c r="N489" s="7" t="str">
        <x:v>C05E_TT10_TNF_N1.SLDPRT</x:v>
      </x:c>
    </x:row>
    <x:row r="490" ht="34" customHeight="1">
      <x:c r="B490" s="7" t="n">
        <x:v>484</x:v>
      </x:c>
      <x:c r="C490" s="7" t="str">
        <x:v>TT10_TNF_N2</x:v>
      </x:c>
      <x:c r="D490" s="7" t="str">
        <x:v>SKF TNF48; reserva dimensional axial A2=380</x:v>
      </x:c>
      <x:c r="E490" s="7" t="n">
        <x:v>1</x:v>
      </x:c>
      <x:c r="F490" s="7" t="str">
        <x:v>Conjunto comprado; acero/ fundición según OEM</x:v>
      </x:c>
      <x:c r="G490" s="7" t="str">
        <x:v>Comercial</x:v>
      </x:c>
      <x:c r="H490" s="9" t="n">
        <x:v>0.0007464367596261585</x:v>
      </x:c>
      <x:c r="I490" s="7"/>
      <x:c r="J490" s="14" t="str">
        <x:v>n/d</x:v>
      </x:c>
      <x:c r="K490" s="14" t="str">
        <x:f>IF(ISNUMBER(J490),E490*J490,"n/d")</x:f>
        <x:v>n/d</x:v>
      </x:c>
      <x:c r="L490" s="7" t="str">
        <x:v>TNF 48</x:v>
      </x:c>
      <x:c r="M490" s="7" t="str">
        <x:v>BOM y montaje TT10_C05_PC_01; sin plano individual</x:v>
      </x:c>
      <x:c r="N490" s="7" t="str">
        <x:v>C05E_TT10_TNF_N2.SLDPRT</x:v>
      </x:c>
    </x:row>
    <x:row r="491" ht="34" customHeight="1">
      <x:c r="B491" s="7" t="n">
        <x:v>485</x:v>
      </x:c>
      <x:c r="C491" s="7" t="str">
        <x:v>TT10_TNF_P1</x:v>
      </x:c>
      <x:c r="D491" s="7" t="str">
        <x:v>SKF TNF48; reserva dimensional axial A2=380</x:v>
      </x:c>
      <x:c r="E491" s="7" t="n">
        <x:v>1</x:v>
      </x:c>
      <x:c r="F491" s="7" t="str">
        <x:v>Conjunto comprado; acero/ fundición según OEM</x:v>
      </x:c>
      <x:c r="G491" s="7" t="str">
        <x:v>Comercial</x:v>
      </x:c>
      <x:c r="H491" s="9" t="n">
        <x:v>0.0007464367596261657</x:v>
      </x:c>
      <x:c r="I491" s="7"/>
      <x:c r="J491" s="14" t="str">
        <x:v>n/d</x:v>
      </x:c>
      <x:c r="K491" s="14" t="str">
        <x:f>IF(ISNUMBER(J491),E491*J491,"n/d")</x:f>
        <x:v>n/d</x:v>
      </x:c>
      <x:c r="L491" s="7" t="str">
        <x:v>TNF 48</x:v>
      </x:c>
      <x:c r="M491" s="7" t="str">
        <x:v>BOM y montaje TT10_C05_PC_01; sin plano individual</x:v>
      </x:c>
      <x:c r="N491" s="7" t="str">
        <x:v>C05E_TT10_TNF_P1.SLDPRT</x:v>
      </x:c>
    </x:row>
    <x:row r="492" ht="34" customHeight="1">
      <x:c r="B492" s="7" t="n">
        <x:v>486</x:v>
      </x:c>
      <x:c r="C492" s="7" t="str">
        <x:v>TT10_TNF_P2</x:v>
      </x:c>
      <x:c r="D492" s="7" t="str">
        <x:v>SKF TNF48; reserva dimensional axial A2=380</x:v>
      </x:c>
      <x:c r="E492" s="7" t="n">
        <x:v>1</x:v>
      </x:c>
      <x:c r="F492" s="7" t="str">
        <x:v>Conjunto comprado; acero/ fundición según OEM</x:v>
      </x:c>
      <x:c r="G492" s="7" t="str">
        <x:v>Comercial</x:v>
      </x:c>
      <x:c r="H492" s="9" t="n">
        <x:v>0.0007464367596261657</x:v>
      </x:c>
      <x:c r="I492" s="7"/>
      <x:c r="J492" s="14" t="str">
        <x:v>n/d</x:v>
      </x:c>
      <x:c r="K492" s="14" t="str">
        <x:f>IF(ISNUMBER(J492),E492*J492,"n/d")</x:f>
        <x:v>n/d</x:v>
      </x:c>
      <x:c r="L492" s="7" t="str">
        <x:v>TNF 48</x:v>
      </x:c>
      <x:c r="M492" s="7" t="str">
        <x:v>BOM y montaje TT10_C05_PC_01; sin plano individual</x:v>
      </x:c>
      <x:c r="N492" s="7" t="str">
        <x:v>C05E_TT10_TNF_P2.SLDPRT</x:v>
      </x:c>
    </x:row>
    <x:row r="493" ht="34" customHeight="1">
      <x:c r="B493" s="7" t="n">
        <x:v>487</x:v>
      </x:c>
      <x:c r="C493" s="7" t="str">
        <x:v>TT10_TOPE70_N_INFD</x:v>
      </x:c>
      <x:c r="D493" s="7" t="str">
        <x:v>Cartela horizontal20: transmite componente transversal del tope70</x:v>
      </x:c>
      <x:c r="E493" s="7" t="n">
        <x:v>1</x:v>
      </x:c>
      <x:c r="F493" s="7" t="str">
        <x:v>ASTM A36</x:v>
      </x:c>
      <x:c r="G493" s="7" t="str">
        <x:v>Fabricación</x:v>
      </x:c>
      <x:c r="H493" s="9" t="n">
        <x:v>0.00019000000000000012</x:v>
      </x:c>
      <x:c r="I493" s="7" t="n">
        <x:v>7850</x:v>
      </x:c>
      <x:c r="J493" s="14" t="n">
        <x:f>H493*I493</x:f>
        <x:v>1.491500000000001</x:v>
      </x:c>
      <x:c r="K493" s="14" t="n">
        <x:f>IF(ISNUMBER(J493),E493*J493,"n/d")</x:f>
        <x:v>1.491500000000001</x:v>
      </x:c>
      <x:c r="L493" s="7" t="str">
        <x:v>CAD_volume_x_specified_density</x:v>
      </x:c>
      <x:c r="M493" s="7" t="str">
        <x:v>Plano de conjunto / detalle funcional: TT10_C05_PC_03</x:v>
      </x:c>
      <x:c r="N493" s="7" t="str">
        <x:v>C05E_TT10_TOPE70_N_INFD.SLDPRT</x:v>
      </x:c>
    </x:row>
    <x:row r="494" ht="34" customHeight="1">
      <x:c r="B494" s="7" t="n">
        <x:v>488</x:v>
      </x:c>
      <x:c r="C494" s="7" t="str">
        <x:v>TT10_TOPE70_N_INFI</x:v>
      </x:c>
      <x:c r="D494" s="7" t="str">
        <x:v>Cartela horizontal20: transmite componente transversal del tope70</x:v>
      </x:c>
      <x:c r="E494" s="7" t="n">
        <x:v>1</x:v>
      </x:c>
      <x:c r="F494" s="7" t="str">
        <x:v>ASTM A36</x:v>
      </x:c>
      <x:c r="G494" s="7" t="str">
        <x:v>Fabricación</x:v>
      </x:c>
      <x:c r="H494" s="9" t="n">
        <x:v>0.00028500000000000015</x:v>
      </x:c>
      <x:c r="I494" s="7" t="n">
        <x:v>7850</x:v>
      </x:c>
      <x:c r="J494" s="14" t="n">
        <x:f>H494*I494</x:f>
        <x:v>2.2372500000000013</x:v>
      </x:c>
      <x:c r="K494" s="14" t="n">
        <x:f>IF(ISNUMBER(J494),E494*J494,"n/d")</x:f>
        <x:v>2.2372500000000013</x:v>
      </x:c>
      <x:c r="L494" s="7" t="str">
        <x:v>CAD_volume_x_specified_density</x:v>
      </x:c>
      <x:c r="M494" s="7" t="str">
        <x:v>Plano de conjunto / detalle funcional: TT10_C05_PC_03</x:v>
      </x:c>
      <x:c r="N494" s="7" t="str">
        <x:v>C05E_TT10_TOPE70_N_INFI.SLDPRT</x:v>
      </x:c>
    </x:row>
    <x:row r="495" ht="34" customHeight="1">
      <x:c r="B495" s="7" t="n">
        <x:v>489</x:v>
      </x:c>
      <x:c r="C495" s="7" t="str">
        <x:v>TT10_TOPE70_N_SUPD</x:v>
      </x:c>
      <x:c r="D495" s="7" t="str">
        <x:v>Cartela horizontal20: transmite componente transversal del tope70</x:v>
      </x:c>
      <x:c r="E495" s="7" t="n">
        <x:v>1</x:v>
      </x:c>
      <x:c r="F495" s="7" t="str">
        <x:v>ASTM A36</x:v>
      </x:c>
      <x:c r="G495" s="7" t="str">
        <x:v>Fabricación</x:v>
      </x:c>
      <x:c r="H495" s="9" t="n">
        <x:v>0.00014249999999999972</x:v>
      </x:c>
      <x:c r="I495" s="7" t="n">
        <x:v>7849.999999999999</x:v>
      </x:c>
      <x:c r="J495" s="14" t="n">
        <x:f>H495*I495</x:f>
        <x:v>1.1186249999999978</x:v>
      </x:c>
      <x:c r="K495" s="14" t="n">
        <x:f>IF(ISNUMBER(J495),E495*J495,"n/d")</x:f>
        <x:v>1.1186249999999978</x:v>
      </x:c>
      <x:c r="L495" s="7" t="str">
        <x:v>CAD_volume_x_specified_density</x:v>
      </x:c>
      <x:c r="M495" s="7" t="str">
        <x:v>Plano de conjunto / detalle funcional: TT10_C05_PC_03</x:v>
      </x:c>
      <x:c r="N495" s="7" t="str">
        <x:v>C05E_TT10_TOPE70_N_SUPD.SLDPRT</x:v>
      </x:c>
    </x:row>
    <x:row r="496" ht="34" customHeight="1">
      <x:c r="B496" s="7" t="n">
        <x:v>490</x:v>
      </x:c>
      <x:c r="C496" s="7" t="str">
        <x:v>TT10_TOPE70_N_SUPI</x:v>
      </x:c>
      <x:c r="D496" s="7" t="str">
        <x:v>Cartela horizontal20: transmite componente transversal del tope70</x:v>
      </x:c>
      <x:c r="E496" s="7" t="n">
        <x:v>1</x:v>
      </x:c>
      <x:c r="F496" s="7" t="str">
        <x:v>ASTM A36</x:v>
      </x:c>
      <x:c r="G496" s="7" t="str">
        <x:v>Fabricación</x:v>
      </x:c>
      <x:c r="H496" s="9" t="n">
        <x:v>0.0002850000000000001</x:v>
      </x:c>
      <x:c r="I496" s="7" t="n">
        <x:v>7850</x:v>
      </x:c>
      <x:c r="J496" s="14" t="n">
        <x:f>H496*I496</x:f>
        <x:v>2.237250000000001</x:v>
      </x:c>
      <x:c r="K496" s="14" t="n">
        <x:f>IF(ISNUMBER(J496),E496*J496,"n/d")</x:f>
        <x:v>2.237250000000001</x:v>
      </x:c>
      <x:c r="L496" s="7" t="str">
        <x:v>CAD_volume_x_specified_density</x:v>
      </x:c>
      <x:c r="M496" s="7" t="str">
        <x:v>Plano de conjunto / detalle funcional: TT10_C05_PC_03</x:v>
      </x:c>
      <x:c r="N496" s="7" t="str">
        <x:v>C05E_TT10_TOPE70_N_SUPI.SLDPRT</x:v>
      </x:c>
    </x:row>
    <x:row r="497" ht="34" customHeight="1">
      <x:c r="B497" s="7" t="n">
        <x:v>491</x:v>
      </x:c>
      <x:c r="C497" s="7" t="str">
        <x:v>TT10_TOPE70_N_V1</x:v>
      </x:c>
      <x:c r="D497" s="7" t="str">
        <x:v>Cartela vertical20 de tope70; apoyo al bloque y cara de columna</x:v>
      </x:c>
      <x:c r="E497" s="7" t="n">
        <x:v>1</x:v>
      </x:c>
      <x:c r="F497" s="7" t="str">
        <x:v>ASTM A36</x:v>
      </x:c>
      <x:c r="G497" s="7" t="str">
        <x:v>Fabricación</x:v>
      </x:c>
      <x:c r="H497" s="9" t="n">
        <x:v>0.0005699999999999995</x:v>
      </x:c>
      <x:c r="I497" s="7" t="n">
        <x:v>7850</x:v>
      </x:c>
      <x:c r="J497" s="14" t="n">
        <x:f>H497*I497</x:f>
        <x:v>4.474499999999996</x:v>
      </x:c>
      <x:c r="K497" s="14" t="n">
        <x:f>IF(ISNUMBER(J497),E497*J497,"n/d")</x:f>
        <x:v>4.474499999999996</x:v>
      </x:c>
      <x:c r="L497" s="7" t="str">
        <x:v>CAD_volume_x_specified_density</x:v>
      </x:c>
      <x:c r="M497" s="7" t="str">
        <x:v>Plano de conjunto / detalle funcional: TT10_C05_PC_03</x:v>
      </x:c>
      <x:c r="N497" s="7" t="str">
        <x:v>C05E_TT10_TOPE70_N_V1.SLDPRT</x:v>
      </x:c>
    </x:row>
    <x:row r="498" ht="34" customHeight="1">
      <x:c r="B498" s="7" t="n">
        <x:v>492</x:v>
      </x:c>
      <x:c r="C498" s="7" t="str">
        <x:v>TT10_TOPE70_N_V2</x:v>
      </x:c>
      <x:c r="D498" s="7" t="str">
        <x:v>Cartela vertical20 de tope70; apoyo al bloque y cara de columna</x:v>
      </x:c>
      <x:c r="E498" s="7" t="n">
        <x:v>1</x:v>
      </x:c>
      <x:c r="F498" s="7" t="str">
        <x:v>ASTM A36</x:v>
      </x:c>
      <x:c r="G498" s="7" t="str">
        <x:v>Fabricación</x:v>
      </x:c>
      <x:c r="H498" s="9" t="n">
        <x:v>0.0005699999999999995</x:v>
      </x:c>
      <x:c r="I498" s="7" t="n">
        <x:v>7850</x:v>
      </x:c>
      <x:c r="J498" s="14" t="n">
        <x:f>H498*I498</x:f>
        <x:v>4.474499999999996</x:v>
      </x:c>
      <x:c r="K498" s="14" t="n">
        <x:f>IF(ISNUMBER(J498),E498*J498,"n/d")</x:f>
        <x:v>4.474499999999996</x:v>
      </x:c>
      <x:c r="L498" s="7" t="str">
        <x:v>CAD_volume_x_specified_density</x:v>
      </x:c>
      <x:c r="M498" s="7" t="str">
        <x:v>Plano de conjunto / detalle funcional: TT10_C05_PC_03</x:v>
      </x:c>
      <x:c r="N498" s="7" t="str">
        <x:v>C05E_TT10_TOPE70_N_V2.SLDPRT</x:v>
      </x:c>
    </x:row>
    <x:row r="499" ht="34" customHeight="1">
      <x:c r="B499" s="7" t="n">
        <x:v>493</x:v>
      </x:c>
      <x:c r="C499" s="7" t="str">
        <x:v>TT10_TOPE70_P_INFD</x:v>
      </x:c>
      <x:c r="D499" s="7" t="str">
        <x:v>Cartela horizontal20: transmite componente transversal del tope70</x:v>
      </x:c>
      <x:c r="E499" s="7" t="n">
        <x:v>1</x:v>
      </x:c>
      <x:c r="F499" s="7" t="str">
        <x:v>ASTM A36</x:v>
      </x:c>
      <x:c r="G499" s="7" t="str">
        <x:v>Fabricación</x:v>
      </x:c>
      <x:c r="H499" s="9" t="n">
        <x:v>0.00019000000000000012</x:v>
      </x:c>
      <x:c r="I499" s="7" t="n">
        <x:v>7850</x:v>
      </x:c>
      <x:c r="J499" s="14" t="n">
        <x:f>H499*I499</x:f>
        <x:v>1.491500000000001</x:v>
      </x:c>
      <x:c r="K499" s="14" t="n">
        <x:f>IF(ISNUMBER(J499),E499*J499,"n/d")</x:f>
        <x:v>1.491500000000001</x:v>
      </x:c>
      <x:c r="L499" s="7" t="str">
        <x:v>CAD_volume_x_specified_density</x:v>
      </x:c>
      <x:c r="M499" s="7" t="str">
        <x:v>Plano de conjunto / detalle funcional: TT10_C05_PC_03</x:v>
      </x:c>
      <x:c r="N499" s="7" t="str">
        <x:v>C05E_TT10_TOPE70_P_INFD.SLDPRT</x:v>
      </x:c>
    </x:row>
    <x:row r="500" ht="34" customHeight="1">
      <x:c r="B500" s="7" t="n">
        <x:v>494</x:v>
      </x:c>
      <x:c r="C500" s="7" t="str">
        <x:v>TT10_TOPE70_P_INFI</x:v>
      </x:c>
      <x:c r="D500" s="7" t="str">
        <x:v>Cartela horizontal20: transmite componente transversal del tope70</x:v>
      </x:c>
      <x:c r="E500" s="7" t="n">
        <x:v>1</x:v>
      </x:c>
      <x:c r="F500" s="7" t="str">
        <x:v>ASTM A36</x:v>
      </x:c>
      <x:c r="G500" s="7" t="str">
        <x:v>Fabricación</x:v>
      </x:c>
      <x:c r="H500" s="9" t="n">
        <x:v>0.00028500000000000015</x:v>
      </x:c>
      <x:c r="I500" s="7" t="n">
        <x:v>7850</x:v>
      </x:c>
      <x:c r="J500" s="14" t="n">
        <x:f>H500*I500</x:f>
        <x:v>2.2372500000000013</x:v>
      </x:c>
      <x:c r="K500" s="14" t="n">
        <x:f>IF(ISNUMBER(J500),E500*J500,"n/d")</x:f>
        <x:v>2.2372500000000013</x:v>
      </x:c>
      <x:c r="L500" s="7" t="str">
        <x:v>CAD_volume_x_specified_density</x:v>
      </x:c>
      <x:c r="M500" s="7" t="str">
        <x:v>Plano de conjunto / detalle funcional: TT10_C05_PC_03</x:v>
      </x:c>
      <x:c r="N500" s="7" t="str">
        <x:v>C05E_TT10_TOPE70_P_INFI.SLDPRT</x:v>
      </x:c>
    </x:row>
    <x:row r="501" ht="34" customHeight="1">
      <x:c r="B501" s="7" t="n">
        <x:v>495</x:v>
      </x:c>
      <x:c r="C501" s="7" t="str">
        <x:v>TT10_TOPE70_P_SUPD</x:v>
      </x:c>
      <x:c r="D501" s="7" t="str">
        <x:v>Cartela horizontal20: transmite componente transversal del tope70</x:v>
      </x:c>
      <x:c r="E501" s="7" t="n">
        <x:v>1</x:v>
      </x:c>
      <x:c r="F501" s="7" t="str">
        <x:v>ASTM A36</x:v>
      </x:c>
      <x:c r="G501" s="7" t="str">
        <x:v>Fabricación</x:v>
      </x:c>
      <x:c r="H501" s="9" t="n">
        <x:v>0.0001424999999999997</x:v>
      </x:c>
      <x:c r="I501" s="7" t="n">
        <x:v>7849.999999999999</x:v>
      </x:c>
      <x:c r="J501" s="14" t="n">
        <x:f>H501*I501</x:f>
        <x:v>1.1186249999999975</x:v>
      </x:c>
      <x:c r="K501" s="14" t="n">
        <x:f>IF(ISNUMBER(J501),E501*J501,"n/d")</x:f>
        <x:v>1.1186249999999975</x:v>
      </x:c>
      <x:c r="L501" s="7" t="str">
        <x:v>CAD_volume_x_specified_density</x:v>
      </x:c>
      <x:c r="M501" s="7" t="str">
        <x:v>Plano de conjunto / detalle funcional: TT10_C05_PC_03</x:v>
      </x:c>
      <x:c r="N501" s="7" t="str">
        <x:v>C05E_TT10_TOPE70_P_SUPD.SLDPRT</x:v>
      </x:c>
    </x:row>
    <x:row r="502" ht="34" customHeight="1">
      <x:c r="B502" s="7" t="n">
        <x:v>496</x:v>
      </x:c>
      <x:c r="C502" s="7" t="str">
        <x:v>TT10_TOPE70_P_SUPI</x:v>
      </x:c>
      <x:c r="D502" s="7" t="str">
        <x:v>Cartela horizontal20: transmite componente transversal del tope70</x:v>
      </x:c>
      <x:c r="E502" s="7" t="n">
        <x:v>1</x:v>
      </x:c>
      <x:c r="F502" s="7" t="str">
        <x:v>ASTM A36</x:v>
      </x:c>
      <x:c r="G502" s="7" t="str">
        <x:v>Fabricación</x:v>
      </x:c>
      <x:c r="H502" s="9" t="n">
        <x:v>0.00028500000000000015</x:v>
      </x:c>
      <x:c r="I502" s="7" t="n">
        <x:v>7850</x:v>
      </x:c>
      <x:c r="J502" s="14" t="n">
        <x:f>H502*I502</x:f>
        <x:v>2.2372500000000013</x:v>
      </x:c>
      <x:c r="K502" s="14" t="n">
        <x:f>IF(ISNUMBER(J502),E502*J502,"n/d")</x:f>
        <x:v>2.2372500000000013</x:v>
      </x:c>
      <x:c r="L502" s="7" t="str">
        <x:v>CAD_volume_x_specified_density</x:v>
      </x:c>
      <x:c r="M502" s="7" t="str">
        <x:v>Plano de conjunto / detalle funcional: TT10_C05_PC_03</x:v>
      </x:c>
      <x:c r="N502" s="7" t="str">
        <x:v>C05E_TT10_TOPE70_P_SUPI.SLDPRT</x:v>
      </x:c>
    </x:row>
    <x:row r="503" ht="34" customHeight="1">
      <x:c r="B503" s="7" t="n">
        <x:v>497</x:v>
      </x:c>
      <x:c r="C503" s="7" t="str">
        <x:v>TT10_TOPE70_P_V1</x:v>
      </x:c>
      <x:c r="D503" s="7" t="str">
        <x:v>Cartela vertical20 de tope70; apoyo al bloque y cara de columna</x:v>
      </x:c>
      <x:c r="E503" s="7" t="n">
        <x:v>1</x:v>
      </x:c>
      <x:c r="F503" s="7" t="str">
        <x:v>ASTM A36</x:v>
      </x:c>
      <x:c r="G503" s="7" t="str">
        <x:v>Fabricación</x:v>
      </x:c>
      <x:c r="H503" s="9" t="n">
        <x:v>0.0005699999999999994</x:v>
      </x:c>
      <x:c r="I503" s="7" t="n">
        <x:v>7850</x:v>
      </x:c>
      <x:c r="J503" s="14" t="n">
        <x:f>H503*I503</x:f>
        <x:v>4.4744999999999955</x:v>
      </x:c>
      <x:c r="K503" s="14" t="n">
        <x:f>IF(ISNUMBER(J503),E503*J503,"n/d")</x:f>
        <x:v>4.4744999999999955</x:v>
      </x:c>
      <x:c r="L503" s="7" t="str">
        <x:v>CAD_volume_x_specified_density</x:v>
      </x:c>
      <x:c r="M503" s="7" t="str">
        <x:v>Plano de conjunto / detalle funcional: TT10_C05_PC_03</x:v>
      </x:c>
      <x:c r="N503" s="7" t="str">
        <x:v>C05E_TT10_TOPE70_P_V1.SLDPRT</x:v>
      </x:c>
    </x:row>
    <x:row r="504" ht="34" customHeight="1">
      <x:c r="B504" s="7" t="n">
        <x:v>498</x:v>
      </x:c>
      <x:c r="C504" s="7" t="str">
        <x:v>TT10_TOPE70_P_V2</x:v>
      </x:c>
      <x:c r="D504" s="7" t="str">
        <x:v>Cartela vertical20 de tope70; apoyo al bloque y cara de columna</x:v>
      </x:c>
      <x:c r="E504" s="7" t="n">
        <x:v>1</x:v>
      </x:c>
      <x:c r="F504" s="7" t="str">
        <x:v>ASTM A36</x:v>
      </x:c>
      <x:c r="G504" s="7" t="str">
        <x:v>Fabricación</x:v>
      </x:c>
      <x:c r="H504" s="9" t="n">
        <x:v>0.0005699999999999995</x:v>
      </x:c>
      <x:c r="I504" s="7" t="n">
        <x:v>7850</x:v>
      </x:c>
      <x:c r="J504" s="14" t="n">
        <x:f>H504*I504</x:f>
        <x:v>4.474499999999996</x:v>
      </x:c>
      <x:c r="K504" s="14" t="n">
        <x:f>IF(ISNUMBER(J504),E504*J504,"n/d")</x:f>
        <x:v>4.474499999999996</x:v>
      </x:c>
      <x:c r="L504" s="7" t="str">
        <x:v>CAD_volume_x_specified_density</x:v>
      </x:c>
      <x:c r="M504" s="7" t="str">
        <x:v>Plano de conjunto / detalle funcional: TT10_C05_PC_03</x:v>
      </x:c>
      <x:c r="N504" s="7" t="str">
        <x:v>C05E_TT10_TOPE70_P_V2.SLDPRT</x:v>
      </x:c>
    </x:row>
    <x:row r="505" ht="34" customHeight="1">
      <x:c r="B505" s="7" t="n">
        <x:v>499</x:v>
      </x:c>
      <x:c r="C505" s="7" t="str">
        <x:v>TT10_W20_P1I</x:v>
      </x:c>
      <x:c r="D505" s="7" t="str">
        <x:v>Arandela D37 D21 t3</x:v>
      </x:c>
      <x:c r="E505" s="7" t="n">
        <x:v>16</x:v>
      </x:c>
      <x:c r="F505" s="7" t="str">
        <x:v>Arandela endurecida 300 HV / ISO 7089</x:v>
      </x:c>
      <x:c r="G505" s="7" t="str">
        <x:v>Comercial</x:v>
      </x:c>
      <x:c r="H505" s="9" t="n">
        <x:v>0.000002186548486898496</x:v>
      </x:c>
      <x:c r="I505" s="7"/>
      <x:c r="J505" s="14" t="str">
        <x:v>n/d</x:v>
      </x:c>
      <x:c r="K505" s="14" t="str">
        <x:f>IF(ISNUMBER(J505),E505*J505,"n/d")</x:f>
        <x:v>n/d</x:v>
      </x:c>
      <x:c r="L505" s="7" t="str">
        <x:v>OEM_mass_required</x:v>
      </x:c>
      <x:c r="M505" s="7" t="str">
        <x:v>BOM y montaje TT10_C05_PC_01; sin plano individual</x:v>
      </x:c>
      <x:c r="N505" s="7" t="str">
        <x:v>C05E_TT10_W20_P1I.SLDPRT</x:v>
      </x:c>
    </x:row>
    <x:row r="506" ht="34" customHeight="1">
      <x:c r="B506" s="7" t="n">
        <x:v>500</x:v>
      </x:c>
      <x:c r="C506" s="7" t="str">
        <x:v>TT10_W30_AP_P02227.5</x:v>
      </x:c>
      <x:c r="D506" s="7" t="str">
        <x:v>Arandela ISO7089 M30 300HV, D56 d31 t4</x:v>
      </x:c>
      <x:c r="E506" s="7" t="n">
        <x:v>32</x:v>
      </x:c>
      <x:c r="F506" s="7" t="str">
        <x:v>Arandela endurecida 300 HV / ISO 7089</x:v>
      </x:c>
      <x:c r="G506" s="7" t="str">
        <x:v>Comercial</x:v>
      </x:c>
      <x:c r="H506" s="9" t="n">
        <x:v>0.0000068329640215577994</x:v>
      </x:c>
      <x:c r="I506" s="7" t="n">
        <x:v>7850</x:v>
      </x:c>
      <x:c r="J506" s="14" t="n">
        <x:f>H506*I506</x:f>
        <x:v>0.053638767569228724</x:v>
      </x:c>
      <x:c r="K506" s="14" t="n">
        <x:f>IF(ISNUMBER(J506),E506*J506,"n/d")</x:f>
        <x:v>1.7164405622153192</x:v>
      </x:c>
      <x:c r="L506" s="7" t="str">
        <x:v>CAD_volume_x_specified_density</x:v>
      </x:c>
      <x:c r="M506" s="7" t="str">
        <x:v>BOM y montaje TT10_C05_PC_01; sin plano individual</x:v>
      </x:c>
      <x:c r="N506" s="7" t="str">
        <x:v>C05E_TT10_W30_AP_P02227.5.SLDPRT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6" hidden="0" customWidth="1"/>
    <x:col min="3" max="3" width="43" hidden="0" customWidth="1"/>
    <x:col min="4" max="4" width="44" hidden="0" customWidth="1"/>
    <x:col min="5" max="5" width="77" hidden="0" customWidth="1"/>
    <x:col min="6" max="6" width="18" hidden="0" customWidth="1"/>
    <x:col min="7" max="7" width="44" hidden="0" customWidth="1"/>
  </x:cols>
  <x:sheetData>
    <x:row r="2">
      <x:c r="B2" s="2" t="str">
        <x:v>Cambios verificados y estado de emisión</x:v>
      </x:c>
      <x:c r="C2" s="1"/>
      <x:c r="D2" s="1"/>
      <x:c r="E2" s="1"/>
      <x:c r="F2" s="1"/>
      <x:c r="G2" s="1"/>
    </x:row>
    <x:row r="3">
      <x:c r="B3" s="1" t="str">
        <x:v>Materiales y clasificación corregidos. Fabricación organizada en planos por conjuntos y detalles funcionales.</x:v>
      </x:c>
      <x:c r="C3" s="1"/>
      <x:c r="D3" s="1"/>
      <x:c r="E3" s="1"/>
      <x:c r="F3" s="1"/>
      <x:c r="G3" s="1"/>
    </x:row>
    <x:row r="4">
      <x:c r="B4" s="1" t="str">
        <x:v>26 planos; comprados y normalizados en BOM/montaje, sin planos individuales.</x:v>
      </x:c>
      <x:c r="C4" s="1"/>
      <x:c r="D4" s="1"/>
      <x:c r="E4" s="1"/>
      <x:c r="F4" s="1"/>
      <x:c r="G4" s="1"/>
    </x:row>
    <x:row r="5">
      <x:c r="B5" s="1"/>
      <x:c r="C5" s="1"/>
      <x:c r="D5" s="1"/>
      <x:c r="E5" s="1"/>
      <x:c r="F5" s="1"/>
      <x:c r="G5" s="1"/>
    </x:row>
    <x:row r="6" ht="30" customHeight="1">
      <x:c r="B6" s="18" t="str">
        <x:v>Código</x:v>
      </x:c>
      <x:c r="C6" s="18" t="str">
        <x:v>Material anterior</x:v>
      </x:c>
      <x:c r="D6" s="18" t="str">
        <x:v>Material C05</x:v>
      </x:c>
      <x:c r="E6" s="18" t="str">
        <x:v>Cambio geométrico</x:v>
      </x:c>
      <x:c r="F6" s="18" t="str">
        <x:v>Masa unitaria kg</x:v>
      </x:c>
      <x:c r="G6" s="18" t="str">
        <x:v>Estado</x:v>
      </x:c>
    </x:row>
    <x:row r="7" ht="34" customHeight="1">
      <x:c r="B7" s="7" t="str">
        <x:v>TT10_BUJE_PIN_N</x:v>
      </x:c>
      <x:c r="C7" s="7" t="str">
        <x:v>CuSn12; propiedades y ajuste de prensado por confirmar con proveedor</x:v>
      </x:c>
      <x:c r="D7" s="7" t="str">
        <x:v>CuSn12 / EN 1982</x:v>
      </x:c>
      <x:c r="E7" s="7" t="str">
        <x:v>Casquillo CuSn12 Ø69 s6 / Ø65.5 H9 final, L85, C0.5 interiores</x:v>
      </x:c>
      <x:c r="F7" s="7" t="n">
        <x:v>0.27610017935767134</x:v>
      </x:c>
      <x:c r="G7" s="7" t="str">
        <x:v>SLDDRW/PDF agrupado: TT10_C05_FAB_024</x:v>
      </x:c>
    </x:row>
    <x:row r="8" ht="34" customHeight="1">
      <x:c r="B8" s="7" t="str">
        <x:v>TT10_BUJE_PIN_P</x:v>
      </x:c>
      <x:c r="C8" s="7" t="str">
        <x:v>CuSn12; propiedades y ajuste de prensado por confirmar con proveedor</x:v>
      </x:c>
      <x:c r="D8" s="7" t="str">
        <x:v>CuSn12 / EN 1982</x:v>
      </x:c>
      <x:c r="E8" s="7" t="str">
        <x:v>Casquillo CuSn12 Ø69 s6 / Ø65.5 H9 final, L85, C0.5 interiores</x:v>
      </x:c>
      <x:c r="F8" s="7" t="n">
        <x:v>0.27610017935767134</x:v>
      </x:c>
      <x:c r="G8" s="7" t="str">
        <x:v>SLDDRW/PDF agrupado: TT10_C05_FAB_024</x:v>
      </x:c>
    </x:row>
    <x:row r="9" ht="34" customHeight="1">
      <x:c r="B9" s="7" t="str">
        <x:v>TT10_D_ARMARIO</x:v>
      </x:c>
      <x:c r="C9" s="7" t="str">
        <x:v>Acero estructural; grado sin definir</x:v>
      </x:c>
      <x:c r="D9" s="7" t="str">
        <x:v>Armario comercial; chapa y acabado según referencia de compra</x:v>
      </x:c>
      <x:c r="E9" s="7" t="str">
        <x:v>Geometría conservada</x:v>
      </x:c>
      <x:c r="F9" s="7" t="str">
        <x:v>n/d</x:v>
      </x:c>
      <x:c r="G9" s="7" t="str">
        <x:v>Conjunto / BOM; sin plano de fabricación</x:v>
      </x:c>
    </x:row>
    <x:row r="10" ht="34" customHeight="1">
      <x:c r="B10" s="7" t="str">
        <x:v>TT10_D_ARO_RESGUARDO_N</x:v>
      </x:c>
      <x:c r="C10" s="7" t="str">
        <x:v>Acero estructural; grado sin definir</x:v>
      </x:c>
      <x:c r="D10" s="7" t="str">
        <x:v>S275J0H / EN 10219-1</x:v>
      </x:c>
      <x:c r="E10" s="7" t="str">
        <x:v>Geometría conservada</x:v>
      </x:c>
      <x:c r="F10" s="7" t="n">
        <x:v>38.73780829294189</x:v>
      </x:c>
      <x:c r="G10" s="7" t="str">
        <x:v>SLDDRW/PDF agrupado: TT10_C05_FAB_005</x:v>
      </x:c>
    </x:row>
    <x:row r="11" ht="34" customHeight="1">
      <x:c r="B11" s="7" t="str">
        <x:v>TT10_D_ARO_RESGUARDO_P</x:v>
      </x:c>
      <x:c r="C11" s="7" t="str">
        <x:v>Acero estructural; grado sin definir</x:v>
      </x:c>
      <x:c r="D11" s="7" t="str">
        <x:v>S275J0H / EN 10219-1</x:v>
      </x:c>
      <x:c r="E11" s="7" t="str">
        <x:v>Geometría conservada</x:v>
      </x:c>
      <x:c r="F11" s="7" t="n">
        <x:v>38.737808292941864</x:v>
      </x:c>
      <x:c r="G11" s="7" t="str">
        <x:v>SLDDRW/PDF agrupado: TT10_C05_FAB_005</x:v>
      </x:c>
    </x:row>
    <x:row r="12" ht="34" customHeight="1">
      <x:c r="B12" s="7" t="str">
        <x:v>TT10_D_AUX_4_1</x:v>
      </x:c>
      <x:c r="C12" s="7" t="str">
        <x:v>Acero estructural; grado sin definir</x:v>
      </x:c>
      <x:c r="D12" s="7" t="str">
        <x:v>Equipo sustituido por PSN 142 i5; no comprar variante 4:1</x:v>
      </x:c>
      <x:c r="E12" s="7" t="str">
        <x:v>Geometría conservada</x:v>
      </x:c>
      <x:c r="F12" s="7" t="str">
        <x:v>n/d</x:v>
      </x:c>
      <x:c r="G12" s="7" t="str">
        <x:v>Conjunto / BOM; sin plano de fabricación</x:v>
      </x:c>
    </x:row>
    <x:row r="13" ht="34" customHeight="1">
      <x:c r="B13" s="7" t="str">
        <x:v>TT10_D_B16_0</x:v>
      </x:c>
      <x:c r="C13" s="7" t="str">
        <x:v>Acero estructural; grado sin definir</x:v>
      </x:c>
      <x:c r="D13" s="7" t="str">
        <x:v>Clase 10.9 / ISO 898-1</x:v>
      </x:c>
      <x:c r="E13" s="7" t="str">
        <x:v>Geometría conservada</x:v>
      </x:c>
      <x:c r="F13" s="7" t="n">
        <x:v>0.11807501211569282</x:v>
      </x:c>
      <x:c r="G13" s="7" t="str">
        <x:v>Conjunto / BOM; sin plano de fabricación</x:v>
      </x:c>
    </x:row>
    <x:row r="14" ht="34" customHeight="1">
      <x:c r="B14" s="7" t="str">
        <x:v>TT10_D_BASE_ARMARIO</x:v>
      </x:c>
      <x:c r="C14" s="7" t="str">
        <x:v>Acero estructural; grado sin definir</x:v>
      </x:c>
      <x:c r="D14" s="7" t="str">
        <x:v>ASTM A36</x:v>
      </x:c>
      <x:c r="E14" s="7" t="str">
        <x:v>Geometría conservada</x:v>
      </x:c>
      <x:c r="F14" s="7" t="n">
        <x:v>10.613199999999985</x:v>
      </x:c>
      <x:c r="G14" s="7" t="str">
        <x:v>SLDDRW/PDF agrupado: TT10_C05_FAB_005</x:v>
      </x:c>
    </x:row>
    <x:row r="15" ht="34" customHeight="1">
      <x:c r="B15" s="7" t="str">
        <x:v>TT10_D_BASE_BOTONERA</x:v>
      </x:c>
      <x:c r="C15" s="7" t="str">
        <x:v>Acero estructural; grado sin definir</x:v>
      </x:c>
      <x:c r="D15" s="7" t="str">
        <x:v>ASTM A36</x:v>
      </x:c>
      <x:c r="E15" s="7" t="str">
        <x:v>Geometría conservada</x:v>
      </x:c>
      <x:c r="F15" s="7" t="n">
        <x:v>5.08679999999999</x:v>
      </x:c>
      <x:c r="G15" s="7" t="str">
        <x:v>SLDDRW/PDF agrupado: TT10_C05_FAB_005</x:v>
      </x:c>
    </x:row>
    <x:row r="16" ht="34" customHeight="1">
      <x:c r="B16" s="7" t="str">
        <x:v>TT10_D_BASE_FRENO_N</x:v>
      </x:c>
      <x:c r="C16" s="7" t="str">
        <x:v>Acero estructural; grado sin definir</x:v>
      </x:c>
      <x:c r="D16" s="7" t="str">
        <x:v>ASTM A36</x:v>
      </x:c>
      <x:c r="E16" s="7" t="str">
        <x:v>Geometría conservada</x:v>
      </x:c>
      <x:c r="F16" s="7" t="n">
        <x:v>14.977800000000007</x:v>
      </x:c>
      <x:c r="G16" s="7" t="str">
        <x:v>SLDDRW/PDF agrupado: TT10_C05_FAB_001</x:v>
      </x:c>
    </x:row>
    <x:row r="17" ht="34" customHeight="1">
      <x:c r="B17" s="7" t="str">
        <x:v>TT10_D_BASE_FRENO_P</x:v>
      </x:c>
      <x:c r="C17" s="7" t="str">
        <x:v>Acero estructural; grado sin definir</x:v>
      </x:c>
      <x:c r="D17" s="7" t="str">
        <x:v>ASTM A36</x:v>
      </x:c>
      <x:c r="E17" s="7" t="str">
        <x:v>Geometría conservada</x:v>
      </x:c>
      <x:c r="F17" s="7" t="n">
        <x:v>14.977799999999982</x:v>
      </x:c>
      <x:c r="G17" s="7" t="str">
        <x:v>SLDDRW/PDF agrupado: TT10_C05_FAB_001</x:v>
      </x:c>
    </x:row>
    <x:row r="18" ht="34" customHeight="1">
      <x:c r="B18" s="7" t="str">
        <x:v>TT10_D_BASE_MOTOR</x:v>
      </x:c>
      <x:c r="C18" s="7" t="str">
        <x:v>Acero estructural; grado sin definir</x:v>
      </x:c>
      <x:c r="D18" s="7" t="str">
        <x:v>ASTM A36</x:v>
      </x:c>
      <x:c r="E18" s="7" t="str">
        <x:v>Geometría conservada</x:v>
      </x:c>
      <x:c r="F18" s="7" t="n">
        <x:v>42.389999999999986</x:v>
      </x:c>
      <x:c r="G18" s="7" t="str">
        <x:v>SLDDRW/PDF agrupado: TT10_C05_FAB_001</x:v>
      </x:c>
    </x:row>
    <x:row r="19" ht="34" customHeight="1">
      <x:c r="B19" s="7" t="str">
        <x:v>TT10_D_BASE_PRESENTE</x:v>
      </x:c>
      <x:c r="C19" s="7" t="str">
        <x:v>Acero estructural; grado sin definir</x:v>
      </x:c>
      <x:c r="D19" s="7" t="str">
        <x:v>ASTM A36</x:v>
      </x:c>
      <x:c r="E19" s="7" t="str">
        <x:v>Geometría conservada</x:v>
      </x:c>
      <x:c r="F19" s="7" t="n">
        <x:v>2.4491999999999954</x:v>
      </x:c>
      <x:c r="G19" s="7" t="str">
        <x:v>SLDDRW/PDF agrupado: TT10_C05_FAB_006</x:v>
      </x:c>
    </x:row>
    <x:row r="20" ht="34" customHeight="1">
      <x:c r="B20" s="7" t="str">
        <x:v>TT10_D_BASE_RECUP_N</x:v>
      </x:c>
      <x:c r="C20" s="7" t="str">
        <x:v>Acero estructural; grado sin definir</x:v>
      </x:c>
      <x:c r="D20" s="7" t="str">
        <x:v>ASTM A36</x:v>
      </x:c>
      <x:c r="E20" s="7" t="str">
        <x:v>Geometría conservada</x:v>
      </x:c>
      <x:c r="F20" s="7" t="n">
        <x:v>3.979949999999994</x:v>
      </x:c>
      <x:c r="G20" s="7" t="str">
        <x:v>SLDDRW/PDF agrupado: TT10_C05_FAB_006</x:v>
      </x:c>
    </x:row>
    <x:row r="21" ht="34" customHeight="1">
      <x:c r="B21" s="7" t="str">
        <x:v>TT10_D_BASE_RECUP_P</x:v>
      </x:c>
      <x:c r="C21" s="7" t="str">
        <x:v>Acero estructural; grado sin definir</x:v>
      </x:c>
      <x:c r="D21" s="7" t="str">
        <x:v>ASTM A36</x:v>
      </x:c>
      <x:c r="E21" s="7" t="str">
        <x:v>Geometría conservada</x:v>
      </x:c>
      <x:c r="F21" s="7" t="n">
        <x:v>3.979949999999994</x:v>
      </x:c>
      <x:c r="G21" s="7" t="str">
        <x:v>SLDDRW/PDF agrupado: TT10_C05_FAB_006</x:v>
      </x:c>
    </x:row>
    <x:row r="22" ht="34" customHeight="1">
      <x:c r="B22" s="7" t="str">
        <x:v>TT10_D_BLANCO_PIN</x:v>
      </x:c>
      <x:c r="C22" s="7" t="str">
        <x:v>Acero estructural; grado sin definir</x:v>
      </x:c>
      <x:c r="D22" s="7" t="str">
        <x:v>ASTM A36</x:v>
      </x:c>
      <x:c r="E22" s="7" t="str">
        <x:v>Geometría conservada</x:v>
      </x:c>
      <x:c r="F22" s="7" t="n">
        <x:v>0.07771499999999765</x:v>
      </x:c>
      <x:c r="G22" s="7" t="str">
        <x:v>SLDDRW/PDF agrupado: TT10_C05_FAB_025</x:v>
      </x:c>
    </x:row>
    <x:row r="23" ht="34" customHeight="1">
      <x:c r="B23" s="7" t="str">
        <x:v>TT10_D_BOTONERA</x:v>
      </x:c>
      <x:c r="C23" s="7" t="str">
        <x:v>Acero estructural; grado sin definir</x:v>
      </x:c>
      <x:c r="D23" s="7" t="str">
        <x:v>Dispositivo de mando comercial; materiales según referencia OEM</x:v>
      </x:c>
      <x:c r="E23" s="7" t="str">
        <x:v>Geometría conservada</x:v>
      </x:c>
      <x:c r="F23" s="7" t="str">
        <x:v>n/d</x:v>
      </x:c>
      <x:c r="G23" s="7" t="str">
        <x:v>Conjunto / BOM; sin plano de fabricación</x:v>
      </x:c>
    </x:row>
    <x:row r="24" ht="34" customHeight="1">
      <x:c r="B24" s="7" t="str">
        <x:v>TT10_D_BOTON_0</x:v>
      </x:c>
      <x:c r="C24" s="7" t="str">
        <x:v>Acero estructural; grado sin definir</x:v>
      </x:c>
      <x:c r="D24" s="7" t="str">
        <x:v>Dispositivo de mando comercial; materiales según referencia OEM</x:v>
      </x:c>
      <x:c r="E24" s="7" t="str">
        <x:v>Geometría conservada</x:v>
      </x:c>
      <x:c r="F24" s="7" t="str">
        <x:v>n/d</x:v>
      </x:c>
      <x:c r="G24" s="7" t="str">
        <x:v>Conjunto / BOM; sin plano de fabricación</x:v>
      </x:c>
    </x:row>
    <x:row r="25" ht="34" customHeight="1">
      <x:c r="B25" s="7" t="str">
        <x:v>TT10_D_BOTON_1</x:v>
      </x:c>
      <x:c r="C25" s="7" t="str">
        <x:v>Acero estructural; grado sin definir</x:v>
      </x:c>
      <x:c r="D25" s="7" t="str">
        <x:v>Dispositivo de mando comercial; materiales según referencia OEM</x:v>
      </x:c>
      <x:c r="E25" s="7" t="str">
        <x:v>Geometría conservada</x:v>
      </x:c>
      <x:c r="F25" s="7" t="str">
        <x:v>n/d</x:v>
      </x:c>
      <x:c r="G25" s="7" t="str">
        <x:v>Conjunto / BOM; sin plano de fabricación</x:v>
      </x:c>
    </x:row>
    <x:row r="26" ht="34" customHeight="1">
      <x:c r="B26" s="7" t="str">
        <x:v>TT10_D_BOTON_2</x:v>
      </x:c>
      <x:c r="C26" s="7" t="str">
        <x:v>Acero estructural; grado sin definir</x:v>
      </x:c>
      <x:c r="D26" s="7" t="str">
        <x:v>Dispositivo de mando comercial; materiales según referencia OEM</x:v>
      </x:c>
      <x:c r="E26" s="7" t="str">
        <x:v>Geometría conservada</x:v>
      </x:c>
      <x:c r="F26" s="7" t="str">
        <x:v>n/d</x:v>
      </x:c>
      <x:c r="G26" s="7" t="str">
        <x:v>Conjunto / BOM; sin plano de fabricación</x:v>
      </x:c>
    </x:row>
    <x:row r="27" ht="34" customHeight="1">
      <x:c r="B27" s="7" t="str">
        <x:v>TT10_D_CABLE_PESTILLO_FIN_N</x:v>
      </x:c>
      <x:c r="C27" s="7" t="str">
        <x:v>Acero estructural; grado sin definir</x:v>
      </x:c>
      <x:c r="D27" s="7" t="str">
        <x:v>Cable/conducción comercial; composición según ficha</x:v>
      </x:c>
      <x:c r="E27" s="7" t="str">
        <x:v>Geometría conservada</x:v>
      </x:c>
      <x:c r="F27" s="7" t="str">
        <x:v>n/d</x:v>
      </x:c>
      <x:c r="G27" s="7" t="str">
        <x:v>Conjunto / BOM; sin plano de fabricación</x:v>
      </x:c>
    </x:row>
    <x:row r="28" ht="34" customHeight="1">
      <x:c r="B28" s="7" t="str">
        <x:v>TT10_D_CABLE_PESTILLO_FIN_P</x:v>
      </x:c>
      <x:c r="C28" s="7" t="str">
        <x:v>Acero estructural; grado sin definir</x:v>
      </x:c>
      <x:c r="D28" s="7" t="str">
        <x:v>Cable/conducción comercial; composición según ficha</x:v>
      </x:c>
      <x:c r="E28" s="7" t="str">
        <x:v>Geometría conservada</x:v>
      </x:c>
      <x:c r="F28" s="7" t="str">
        <x:v>n/d</x:v>
      </x:c>
      <x:c r="G28" s="7" t="str">
        <x:v>Conjunto / BOM; sin plano de fabricación</x:v>
      </x:c>
    </x:row>
    <x:row r="29" ht="34" customHeight="1">
      <x:c r="B29" s="7" t="str">
        <x:v>TT10_D_CABLE_PESTILLO_N</x:v>
      </x:c>
      <x:c r="C29" s="7" t="str">
        <x:v>Acero estructural; grado sin definir</x:v>
      </x:c>
      <x:c r="D29" s="7" t="str">
        <x:v>Cable/conducción comercial; composición según ficha</x:v>
      </x:c>
      <x:c r="E29" s="7" t="str">
        <x:v>Geometría conservada</x:v>
      </x:c>
      <x:c r="F29" s="7" t="str">
        <x:v>n/d</x:v>
      </x:c>
      <x:c r="G29" s="7" t="str">
        <x:v>Conjunto / BOM; sin plano de fabricación</x:v>
      </x:c>
    </x:row>
    <x:row r="30" ht="34" customHeight="1">
      <x:c r="B30" s="7" t="str">
        <x:v>TT10_D_CABLE_PESTILLO_P</x:v>
      </x:c>
      <x:c r="C30" s="7" t="str">
        <x:v>Acero estructural; grado sin definir</x:v>
      </x:c>
      <x:c r="D30" s="7" t="str">
        <x:v>Cable/conducción comercial; composición según ficha</x:v>
      </x:c>
      <x:c r="E30" s="7" t="str">
        <x:v>Geometría conservada</x:v>
      </x:c>
      <x:c r="F30" s="7" t="str">
        <x:v>n/d</x:v>
      </x:c>
      <x:c r="G30" s="7" t="str">
        <x:v>Conjunto / BOM; sin plano de fabricación</x:v>
      </x:c>
    </x:row>
    <x:row r="31" ht="34" customHeight="1">
      <x:c r="B31" s="7" t="str">
        <x:v>TT10_D_CABLE_PESTILLO_SUP_N</x:v>
      </x:c>
      <x:c r="C31" s="7" t="str">
        <x:v>Acero estructural; grado sin definir</x:v>
      </x:c>
      <x:c r="D31" s="7" t="str">
        <x:v>Cable/conducción comercial; composición según ficha</x:v>
      </x:c>
      <x:c r="E31" s="7" t="str">
        <x:v>Geometría conservada</x:v>
      </x:c>
      <x:c r="F31" s="7" t="str">
        <x:v>n/d</x:v>
      </x:c>
      <x:c r="G31" s="7" t="str">
        <x:v>Conjunto / BOM; sin plano de fabricación</x:v>
      </x:c>
    </x:row>
    <x:row r="32" ht="34" customHeight="1">
      <x:c r="B32" s="7" t="str">
        <x:v>TT10_D_CABLE_PESTILLO_SUP_P</x:v>
      </x:c>
      <x:c r="C32" s="7" t="str">
        <x:v>Acero estructural; grado sin definir</x:v>
      </x:c>
      <x:c r="D32" s="7" t="str">
        <x:v>Cable/conducción comercial; composición según ficha</x:v>
      </x:c>
      <x:c r="E32" s="7" t="str">
        <x:v>Geometría conservada</x:v>
      </x:c>
      <x:c r="F32" s="7" t="str">
        <x:v>n/d</x:v>
      </x:c>
      <x:c r="G32" s="7" t="str">
        <x:v>Conjunto / BOM; sin plano de fabricación</x:v>
      </x:c>
    </x:row>
    <x:row r="33" ht="34" customHeight="1">
      <x:c r="B33" s="7" t="str">
        <x:v>TT10_D_CABLE_PRESENTE</x:v>
      </x:c>
      <x:c r="C33" s="7" t="str">
        <x:v>Acero estructural; grado sin definir</x:v>
      </x:c>
      <x:c r="D33" s="7" t="str">
        <x:v>Cable/conducción comercial; composición según ficha</x:v>
      </x:c>
      <x:c r="E33" s="7" t="str">
        <x:v>Geometría conservada</x:v>
      </x:c>
      <x:c r="F33" s="7" t="str">
        <x:v>n/d</x:v>
      </x:c>
      <x:c r="G33" s="7" t="str">
        <x:v>Conjunto / BOM; sin plano de fabricación</x:v>
      </x:c>
    </x:row>
    <x:row r="34" ht="34" customHeight="1">
      <x:c r="B34" s="7" t="str">
        <x:v>TT10_D_CARTELA_MOTOR_0</x:v>
      </x:c>
      <x:c r="C34" s="7" t="str">
        <x:v>Acero estructural; grado sin definir</x:v>
      </x:c>
      <x:c r="D34" s="7" t="str">
        <x:v>ASTM A36</x:v>
      </x:c>
      <x:c r="E34" s="7" t="str">
        <x:v>Geometría conservada</x:v>
      </x:c>
      <x:c r="F34" s="7" t="n">
        <x:v>4.159872000000008</x:v>
      </x:c>
      <x:c r="G34" s="7" t="str">
        <x:v>SLDDRW/PDF agrupado: TT10_C05_FAB_001</x:v>
      </x:c>
    </x:row>
    <x:row r="35" ht="34" customHeight="1">
      <x:c r="B35" s="7" t="str">
        <x:v>TT10_D_CARTELA_MOTOR_1</x:v>
      </x:c>
      <x:c r="C35" s="7" t="str">
        <x:v>Acero estructural; grado sin definir</x:v>
      </x:c>
      <x:c r="D35" s="7" t="str">
        <x:v>ASTM A36</x:v>
      </x:c>
      <x:c r="E35" s="7" t="str">
        <x:v>Geometría conservada</x:v>
      </x:c>
      <x:c r="F35" s="7" t="n">
        <x:v>4.159872000000007</x:v>
      </x:c>
      <x:c r="G35" s="7" t="str">
        <x:v>SLDDRW/PDF agrupado: TT10_C05_FAB_002</x:v>
      </x:c>
    </x:row>
    <x:row r="36" ht="34" customHeight="1">
      <x:c r="B36" s="7" t="str">
        <x:v>TT10_D_COLUMNA_MOTOR</x:v>
      </x:c>
      <x:c r="C36" s="7" t="str">
        <x:v>Acero estructural; grado sin definir</x:v>
      </x:c>
      <x:c r="D36" s="7" t="str">
        <x:v>S275J0H / EN 10219-1</x:v>
      </x:c>
      <x:c r="E36" s="7" t="str">
        <x:v>Geometría conservada</x:v>
      </x:c>
      <x:c r="F36" s="7" t="n">
        <x:v>110.96760000000134</x:v>
      </x:c>
      <x:c r="G36" s="7" t="str">
        <x:v>SLDDRW/PDF agrupado: TT10_C05_FAB_002</x:v>
      </x:c>
    </x:row>
    <x:row r="37" ht="34" customHeight="1">
      <x:c r="B37" s="7" t="str">
        <x:v>TT10_D_CUBO_N</x:v>
      </x:c>
      <x:c r="C37" s="7" t="str">
        <x:v>Acero estructural; grado sin definir</x:v>
      </x:c>
      <x:c r="D37" s="7" t="str">
        <x:v>AISI 4140 bonificado</x:v>
      </x:c>
      <x:c r="E37" s="7" t="str">
        <x:v>Geometría conservada</x:v>
      </x:c>
      <x:c r="F37" s="7" t="n">
        <x:v>76.96885704283103</x:v>
      </x:c>
      <x:c r="G37" s="7" t="str">
        <x:v>SLDDRW/PDF agrupado: TT10_C05_FAB_047</x:v>
      </x:c>
    </x:row>
    <x:row r="38" ht="34" customHeight="1">
      <x:c r="B38" s="7" t="str">
        <x:v>TT10_D_CUBO_P</x:v>
      </x:c>
      <x:c r="C38" s="7" t="str">
        <x:v>Acero estructural; grado sin definir</x:v>
      </x:c>
      <x:c r="D38" s="7" t="str">
        <x:v>AISI 4140 bonificado</x:v>
      </x:c>
      <x:c r="E38" s="7" t="str">
        <x:v>Geometría conservada</x:v>
      </x:c>
      <x:c r="F38" s="7" t="n">
        <x:v>76.9688570428311</x:v>
      </x:c>
      <x:c r="G38" s="7" t="str">
        <x:v>SLDDRW/PDF agrupado: TT10_C05_FAB_047</x:v>
      </x:c>
    </x:row>
    <x:row r="39" ht="34" customHeight="1">
      <x:c r="B39" s="7" t="str">
        <x:v>TT10_D_LIBERACION_FRENO_N</x:v>
      </x:c>
      <x:c r="C39" s="7" t="str">
        <x:v>Acero estructural; grado sin definir</x:v>
      </x:c>
      <x:c r="D39" s="7" t="str">
        <x:v>Mecanismo OEM Svendborg; incluido en pinza</x:v>
      </x:c>
      <x:c r="E39" s="7" t="str">
        <x:v>Geometría conservada</x:v>
      </x:c>
      <x:c r="F39" s="7" t="str">
        <x:v>n/d</x:v>
      </x:c>
      <x:c r="G39" s="7" t="str">
        <x:v>Conjunto / BOM; sin plano de fabricación</x:v>
      </x:c>
    </x:row>
    <x:row r="40" ht="34" customHeight="1">
      <x:c r="B40" s="7" t="str">
        <x:v>TT10_D_LIBERACION_FRENO_P</x:v>
      </x:c>
      <x:c r="C40" s="7" t="str">
        <x:v>Acero estructural; grado sin definir</x:v>
      </x:c>
      <x:c r="D40" s="7" t="str">
        <x:v>Mecanismo OEM Svendborg; incluido en pinza</x:v>
      </x:c>
      <x:c r="E40" s="7" t="str">
        <x:v>Geometría conservada</x:v>
      </x:c>
      <x:c r="F40" s="7" t="str">
        <x:v>n/d</x:v>
      </x:c>
      <x:c r="G40" s="7" t="str">
        <x:v>Conjunto / BOM; sin plano de fabricación</x:v>
      </x:c>
    </x:row>
    <x:row r="41" ht="34" customHeight="1">
      <x:c r="B41" s="7" t="str">
        <x:v>TT10_D_MANDO_PRESENTE</x:v>
      </x:c>
      <x:c r="C41" s="7" t="str">
        <x:v>Acero estructural; grado sin definir</x:v>
      </x:c>
      <x:c r="D41" s="7" t="str">
        <x:v>ASTM A36</x:v>
      </x:c>
      <x:c r="E41" s="7" t="str">
        <x:v>Geometría conservada</x:v>
      </x:c>
      <x:c r="F41" s="7" t="n">
        <x:v>0.431750000000006</x:v>
      </x:c>
      <x:c r="G41" s="7" t="str">
        <x:v>SLDDRW/PDF agrupado: TT10_C05_FAB_006</x:v>
      </x:c>
    </x:row>
    <x:row r="42" ht="34" customHeight="1">
      <x:c r="B42" s="7" t="str">
        <x:v>TT10_D_PALANCA_PESTILLO_N</x:v>
      </x:c>
      <x:c r="C42" s="7" t="str">
        <x:v>Acero estructural; grado sin definir</x:v>
      </x:c>
      <x:c r="D42" s="7" t="str">
        <x:v>AISI 4140 bonificado</x:v>
      </x:c>
      <x:c r="E42" s="7" t="str">
        <x:v>Geometría conservada</x:v>
      </x:c>
      <x:c r="F42" s="7" t="n">
        <x:v>0.4710000000000006</x:v>
      </x:c>
      <x:c r="G42" s="7" t="str">
        <x:v>SLDDRW/PDF agrupado: TT10_C05_FAB_027</x:v>
      </x:c>
    </x:row>
    <x:row r="43" ht="34" customHeight="1">
      <x:c r="B43" s="7" t="str">
        <x:v>TT10_D_PALANCA_PESTILLO_P</x:v>
      </x:c>
      <x:c r="C43" s="7" t="str">
        <x:v>Acero estructural; grado sin definir</x:v>
      </x:c>
      <x:c r="D43" s="7" t="str">
        <x:v>AISI 4140 bonificado</x:v>
      </x:c>
      <x:c r="E43" s="7" t="str">
        <x:v>Geometría conservada</x:v>
      </x:c>
      <x:c r="F43" s="7" t="n">
        <x:v>0.4710000000000006</x:v>
      </x:c>
      <x:c r="G43" s="7" t="str">
        <x:v>SLDDRW/PDF agrupado: TT10_C05_FAB_027</x:v>
      </x:c>
    </x:row>
    <x:row r="44" ht="34" customHeight="1">
      <x:c r="B44" s="7" t="str">
        <x:v>TT10_D_PALANCA_SELECTOR</x:v>
      </x:c>
      <x:c r="C44" s="7" t="str">
        <x:v>Acero estructural; grado sin definir</x:v>
      </x:c>
      <x:c r="D44" s="7" t="str">
        <x:v>ASTM A36</x:v>
      </x:c>
      <x:c r="E44" s="7" t="str">
        <x:v>Geometría conservada</x:v>
      </x:c>
      <x:c r="F44" s="7" t="n">
        <x:v>1.1304000000000058</x:v>
      </x:c>
      <x:c r="G44" s="7" t="str">
        <x:v>SLDDRW/PDF agrupado: TT10_C05_FAB_045</x:v>
      </x:c>
    </x:row>
    <x:row r="45" ht="34" customHeight="1">
      <x:c r="B45" s="7" t="str">
        <x:v>TT10_D_PASTILLA_N0</x:v>
      </x:c>
      <x:c r="C45" s="7" t="str">
        <x:v>Acero estructural; grado sin definir</x:v>
      </x:c>
      <x:c r="D45" s="7" t="str">
        <x:v>Material de fricción OEM Svendborg; según suministro</x:v>
      </x:c>
      <x:c r="E45" s="7" t="str">
        <x:v>Geometría conservada</x:v>
      </x:c>
      <x:c r="F45" s="7" t="str">
        <x:v>n/d</x:v>
      </x:c>
      <x:c r="G45" s="7" t="str">
        <x:v>Conjunto / BOM; sin plano de fabricación</x:v>
      </x:c>
    </x:row>
    <x:row r="46" ht="34" customHeight="1">
      <x:c r="B46" s="7" t="str">
        <x:v>TT10_D_PASTILLA_N1</x:v>
      </x:c>
      <x:c r="C46" s="7" t="str">
        <x:v>Acero estructural; grado sin definir</x:v>
      </x:c>
      <x:c r="D46" s="7" t="str">
        <x:v>Material de fricción OEM Svendborg; según suministro</x:v>
      </x:c>
      <x:c r="E46" s="7" t="str">
        <x:v>Geometría conservada</x:v>
      </x:c>
      <x:c r="F46" s="7" t="str">
        <x:v>n/d</x:v>
      </x:c>
      <x:c r="G46" s="7" t="str">
        <x:v>Conjunto / BOM; sin plano de fabricación</x:v>
      </x:c>
    </x:row>
    <x:row r="47" ht="34" customHeight="1">
      <x:c r="B47" s="7" t="str">
        <x:v>TT10_D_PASTILLA_P0</x:v>
      </x:c>
      <x:c r="C47" s="7" t="str">
        <x:v>Acero estructural; grado sin definir</x:v>
      </x:c>
      <x:c r="D47" s="7" t="str">
        <x:v>Material de fricción OEM Svendborg; según suministro</x:v>
      </x:c>
      <x:c r="E47" s="7" t="str">
        <x:v>Geometría conservada</x:v>
      </x:c>
      <x:c r="F47" s="7" t="str">
        <x:v>n/d</x:v>
      </x:c>
      <x:c r="G47" s="7" t="str">
        <x:v>Conjunto / BOM; sin plano de fabricación</x:v>
      </x:c>
    </x:row>
    <x:row r="48" ht="34" customHeight="1">
      <x:c r="B48" s="7" t="str">
        <x:v>TT10_D_PASTILLA_P1</x:v>
      </x:c>
      <x:c r="C48" s="7" t="str">
        <x:v>Acero estructural; grado sin definir</x:v>
      </x:c>
      <x:c r="D48" s="7" t="str">
        <x:v>Material de fricción OEM Svendborg; según suministro</x:v>
      </x:c>
      <x:c r="E48" s="7" t="str">
        <x:v>Geometría conservada</x:v>
      </x:c>
      <x:c r="F48" s="7" t="str">
        <x:v>n/d</x:v>
      </x:c>
      <x:c r="G48" s="7" t="str">
        <x:v>Conjunto / BOM; sin plano de fabricación</x:v>
      </x:c>
    </x:row>
    <x:row r="49" ht="34" customHeight="1">
      <x:c r="B49" s="7" t="str">
        <x:v>TT10_D_PEDESTAL_AUX</x:v>
      </x:c>
      <x:c r="C49" s="7" t="str">
        <x:v>Acero estructural; grado sin definir</x:v>
      </x:c>
      <x:c r="D49" s="7" t="str">
        <x:v>ASTM A36</x:v>
      </x:c>
      <x:c r="E49" s="7" t="str">
        <x:v>Geometría conservada</x:v>
      </x:c>
      <x:c r="F49" s="7" t="n">
        <x:v>95.1498500000001</x:v>
      </x:c>
      <x:c r="G49" s="7" t="str">
        <x:v>SLDDRW/PDF agrupado: TT10_C05_FAB_007</x:v>
      </x:c>
    </x:row>
    <x:row r="50" ht="34" customHeight="1">
      <x:c r="B50" s="7" t="str">
        <x:v>TT10_D_PEDESTAL_MOTOR</x:v>
      </x:c>
      <x:c r="C50" s="7" t="str">
        <x:v>Acero estructural; grado sin definir</x:v>
      </x:c>
      <x:c r="D50" s="7" t="str">
        <x:v>ASTM A36</x:v>
      </x:c>
      <x:c r="E50" s="7" t="str">
        <x:v>Geometría conservada</x:v>
      </x:c>
      <x:c r="F50" s="7" t="n">
        <x:v>223.79564999999968</x:v>
      </x:c>
      <x:c r="G50" s="7" t="str">
        <x:v>SLDDRW/PDF agrupado: TT10_C05_FAB_002</x:v>
      </x:c>
    </x:row>
    <x:row r="51" ht="34" customHeight="1">
      <x:c r="B51" s="7" t="str">
        <x:v>TT10_D_PLATAFORMA</x:v>
      </x:c>
      <x:c r="C51" s="7" t="str">
        <x:v>Acero estructural; grado sin definir</x:v>
      </x:c>
      <x:c r="D51" s="7" t="str">
        <x:v>ASTM A36</x:v>
      </x:c>
      <x:c r="E51" s="7" t="str">
        <x:v>Geometría conservada</x:v>
      </x:c>
      <x:c r="F51" s="7" t="n">
        <x:v>411.7939662161342</x:v>
      </x:c>
      <x:c r="G51" s="7" t="str">
        <x:v>SLDDRW/PDF agrupado: TT10_C05_FAB_007</x:v>
      </x:c>
    </x:row>
    <x:row r="52" ht="34" customHeight="1">
      <x:c r="B52" s="7" t="str">
        <x:v>TT10_D_POSTE_ARMARIO</x:v>
      </x:c>
      <x:c r="C52" s="7" t="str">
        <x:v>Acero estructural; grado sin definir</x:v>
      </x:c>
      <x:c r="D52" s="7" t="str">
        <x:v>ASTM A36</x:v>
      </x:c>
      <x:c r="E52" s="7" t="str">
        <x:v>Geometría conservada</x:v>
      </x:c>
      <x:c r="F52" s="7" t="n">
        <x:v>4.943537499999966</x:v>
      </x:c>
      <x:c r="G52" s="7" t="str">
        <x:v>SLDDRW/PDF agrupado: TT10_C05_FAB_007</x:v>
      </x:c>
    </x:row>
    <x:row r="53" ht="34" customHeight="1">
      <x:c r="B53" s="7" t="str">
        <x:v>TT10_D_POSTE_BOTONERA</x:v>
      </x:c>
      <x:c r="C53" s="7" t="str">
        <x:v>Acero estructural; grado sin definir</x:v>
      </x:c>
      <x:c r="D53" s="7" t="str">
        <x:v>ASTM A36</x:v>
      </x:c>
      <x:c r="E53" s="7" t="str">
        <x:v>Geometría conservada</x:v>
      </x:c>
      <x:c r="F53" s="7" t="n">
        <x:v>8.035888000000442</x:v>
      </x:c>
      <x:c r="G53" s="7" t="str">
        <x:v>SLDDRW/PDF agrupado: TT10_C05_FAB_007</x:v>
      </x:c>
    </x:row>
    <x:row r="54" ht="34" customHeight="1">
      <x:c r="B54" s="7" t="str">
        <x:v>TT10_D_POSTE_FRENO_N</x:v>
      </x:c>
      <x:c r="C54" s="7" t="str">
        <x:v>Acero estructural; grado sin definir</x:v>
      </x:c>
      <x:c r="D54" s="7" t="str">
        <x:v>ASTM A36</x:v>
      </x:c>
      <x:c r="E54" s="7" t="str">
        <x:v>Geometría conservada</x:v>
      </x:c>
      <x:c r="F54" s="7" t="n">
        <x:v>64.83974400000011</x:v>
      </x:c>
      <x:c r="G54" s="7" t="str">
        <x:v>SLDDRW/PDF agrupado: TT10_C05_FAB_002</x:v>
      </x:c>
    </x:row>
    <x:row r="55" ht="34" customHeight="1">
      <x:c r="B55" s="7" t="str">
        <x:v>TT10_D_POSTE_FRENO_P</x:v>
      </x:c>
      <x:c r="C55" s="7" t="str">
        <x:v>Acero estructural; grado sin definir</x:v>
      </x:c>
      <x:c r="D55" s="7" t="str">
        <x:v>ASTM A36</x:v>
      </x:c>
      <x:c r="E55" s="7" t="str">
        <x:v>Geometría conservada</x:v>
      </x:c>
      <x:c r="F55" s="7" t="n">
        <x:v>64.83974400000011</x:v>
      </x:c>
      <x:c r="G55" s="7" t="str">
        <x:v>SLDDRW/PDF agrupado: TT10_C05_FAB_003</x:v>
      </x:c>
    </x:row>
    <x:row r="56" ht="34" customHeight="1">
      <x:c r="B56" s="7" t="str">
        <x:v>TT10_D_POSTE_MANDO</x:v>
      </x:c>
      <x:c r="C56" s="7" t="str">
        <x:v>Acero estructural; grado sin definir</x:v>
      </x:c>
      <x:c r="D56" s="7" t="str">
        <x:v>ASTM A36</x:v>
      </x:c>
      <x:c r="E56" s="7" t="str">
        <x:v>Geometría conservada</x:v>
      </x:c>
      <x:c r="F56" s="7" t="n">
        <x:v>5.256360000000011</x:v>
      </x:c>
      <x:c r="G56" s="7" t="str">
        <x:v>SLDDRW/PDF agrupado: TT10_C05_FAB_008</x:v>
      </x:c>
    </x:row>
    <x:row r="57" ht="34" customHeight="1">
      <x:c r="B57" s="7" t="str">
        <x:v>TT10_D_POSTE_RECUP_N</x:v>
      </x:c>
      <x:c r="C57" s="7" t="str">
        <x:v>Acero estructural; grado sin definir</x:v>
      </x:c>
      <x:c r="D57" s="7" t="str">
        <x:v>ASTM A36</x:v>
      </x:c>
      <x:c r="E57" s="7" t="str">
        <x:v>Geometría conservada</x:v>
      </x:c>
      <x:c r="F57" s="7" t="n">
        <x:v>5.986409999999993</x:v>
      </x:c>
      <x:c r="G57" s="7" t="str">
        <x:v>SLDDRW/PDF agrupado: TT10_C05_FAB_008</x:v>
      </x:c>
    </x:row>
    <x:row r="58" ht="34" customHeight="1">
      <x:c r="B58" s="7" t="str">
        <x:v>TT10_D_POSTE_RECUP_P</x:v>
      </x:c>
      <x:c r="C58" s="7" t="str">
        <x:v>Acero estructural; grado sin definir</x:v>
      </x:c>
      <x:c r="D58" s="7" t="str">
        <x:v>ASTM A36</x:v>
      </x:c>
      <x:c r="E58" s="7" t="str">
        <x:v>Geometría conservada</x:v>
      </x:c>
      <x:c r="F58" s="7" t="n">
        <x:v>5.986409999999993</x:v>
      </x:c>
      <x:c r="G58" s="7" t="str">
        <x:v>SLDDRW/PDF agrupado: TT10_C05_FAB_008</x:v>
      </x:c>
    </x:row>
    <x:row r="59" ht="34" customHeight="1">
      <x:c r="B59" s="7" t="str">
        <x:v>TT10_D_RESORTE_FRENO_N</x:v>
      </x:c>
      <x:c r="C59" s="7" t="str">
        <x:v>Acero estructural; grado sin definir</x:v>
      </x:c>
      <x:c r="D59" s="7" t="str">
        <x:v>Acero de resorte OEM Svendborg; según suministro</x:v>
      </x:c>
      <x:c r="E59" s="7" t="str">
        <x:v>Geometría conservada</x:v>
      </x:c>
      <x:c r="F59" s="7" t="str">
        <x:v>n/d</x:v>
      </x:c>
      <x:c r="G59" s="7" t="str">
        <x:v>Conjunto / BOM; sin plano de fabricación</x:v>
      </x:c>
    </x:row>
    <x:row r="60" ht="34" customHeight="1">
      <x:c r="B60" s="7" t="str">
        <x:v>TT10_D_RESORTE_FRENO_P</x:v>
      </x:c>
      <x:c r="C60" s="7" t="str">
        <x:v>Acero estructural; grado sin definir</x:v>
      </x:c>
      <x:c r="D60" s="7" t="str">
        <x:v>Acero de resorte OEM Svendborg; según suministro</x:v>
      </x:c>
      <x:c r="E60" s="7" t="str">
        <x:v>Geometría conservada</x:v>
      </x:c>
      <x:c r="F60" s="7" t="str">
        <x:v>n/d</x:v>
      </x:c>
      <x:c r="G60" s="7" t="str">
        <x:v>Conjunto / BOM; sin plano de fabricación</x:v>
      </x:c>
    </x:row>
    <x:row r="61" ht="34" customHeight="1">
      <x:c r="B61" s="7" t="str">
        <x:v>TT10_D_ROD_SELECTOR</x:v>
      </x:c>
      <x:c r="C61" s="7" t="str">
        <x:v>Acero estructural; grado sin definir</x:v>
      </x:c>
      <x:c r="D61" s="7" t="str">
        <x:v>ASTM A36</x:v>
      </x:c>
      <x:c r="E61" s="7" t="str">
        <x:v>Geometría conservada</x:v>
      </x:c>
      <x:c r="F61" s="7" t="n">
        <x:v>2.004486909437664</x:v>
      </x:c>
      <x:c r="G61" s="7" t="str">
        <x:v>SLDDRW/PDF agrupado: TT10_C05_FAB_045</x:v>
      </x:c>
    </x:row>
    <x:row r="62" ht="34" customHeight="1">
      <x:c r="B62" s="7" t="str">
        <x:v>TT10_D_SENSOR_FRENO_N</x:v>
      </x:c>
      <x:c r="C62" s="7" t="str">
        <x:v>Acero estructural; grado sin definir</x:v>
      </x:c>
      <x:c r="D62" s="7" t="str">
        <x:v>Sensor comercial; materiales según referencia OEM</x:v>
      </x:c>
      <x:c r="E62" s="7" t="str">
        <x:v>Geometría conservada</x:v>
      </x:c>
      <x:c r="F62" s="7" t="str">
        <x:v>n/d</x:v>
      </x:c>
      <x:c r="G62" s="7" t="str">
        <x:v>Conjunto / BOM; sin plano de fabricación</x:v>
      </x:c>
    </x:row>
    <x:row r="63" ht="34" customHeight="1">
      <x:c r="B63" s="7" t="str">
        <x:v>TT10_D_SENSOR_FRENO_P</x:v>
      </x:c>
      <x:c r="C63" s="7" t="str">
        <x:v>Acero estructural; grado sin definir</x:v>
      </x:c>
      <x:c r="D63" s="7" t="str">
        <x:v>Sensor comercial; materiales según referencia OEM</x:v>
      </x:c>
      <x:c r="E63" s="7" t="str">
        <x:v>Geometría conservada</x:v>
      </x:c>
      <x:c r="F63" s="7" t="str">
        <x:v>n/d</x:v>
      </x:c>
      <x:c r="G63" s="7" t="str">
        <x:v>Conjunto / BOM; sin plano de fabricación</x:v>
      </x:c>
    </x:row>
    <x:row r="64" ht="34" customHeight="1">
      <x:c r="B64" s="7" t="str">
        <x:v>TT10_D_SOPORTE_FRENO_N</x:v>
      </x:c>
      <x:c r="C64" s="7" t="str">
        <x:v>Acero estructural; grado sin definir</x:v>
      </x:c>
      <x:c r="D64" s="7" t="str">
        <x:v>ASTM A36</x:v>
      </x:c>
      <x:c r="E64" s="7" t="str">
        <x:v>Geometría conservada</x:v>
      </x:c>
      <x:c r="F64" s="7" t="n">
        <x:v>24.837541545795883</x:v>
      </x:c>
      <x:c r="G64" s="7" t="str">
        <x:v>SLDDRW/PDF agrupado: TT10_C05_FAB_003</x:v>
      </x:c>
    </x:row>
    <x:row r="65" ht="34" customHeight="1">
      <x:c r="B65" s="7" t="str">
        <x:v>TT10_D_SOPORTE_FRENO_P</x:v>
      </x:c>
      <x:c r="C65" s="7" t="str">
        <x:v>Acero estructural; grado sin definir</x:v>
      </x:c>
      <x:c r="D65" s="7" t="str">
        <x:v>ASTM A36</x:v>
      </x:c>
      <x:c r="E65" s="7" t="str">
        <x:v>Geometría conservada</x:v>
      </x:c>
      <x:c r="F65" s="7" t="n">
        <x:v>24.837541545795883</x:v>
      </x:c>
      <x:c r="G65" s="7" t="str">
        <x:v>SLDDRW/PDF agrupado: TT10_C05_FAB_003</x:v>
      </x:c>
    </x:row>
    <x:row r="66" ht="34" customHeight="1">
      <x:c r="B66" s="7" t="str">
        <x:v>TT10_F486</x:v>
      </x:c>
      <x:c r="C66" s="7" t="str">
        <x:v>Acero estructural; grado por confirmar</x:v>
      </x:c>
      <x:c r="D66" s="7" t="str">
        <x:v>ASTM A36</x:v>
      </x:c>
      <x:c r="E66" s="7" t="str">
        <x:v>Oreja fija espesor40, Ø65 H8, mandrinar coaxialmente después de soldar</x:v>
      </x:c>
      <x:c r="F66" s="7" t="n">
        <x:v>30.358051526528772</x:v>
      </x:c>
      <x:c r="G66" s="7" t="str">
        <x:v>SLDDRW/PDF agrupado: TT10_C05_FAB_011</x:v>
      </x:c>
    </x:row>
    <x:row r="67" ht="34" customHeight="1">
      <x:c r="B67" s="7" t="str">
        <x:v>TT10_F501</x:v>
      </x:c>
      <x:c r="C67" s="7" t="str">
        <x:v>Acero estructural; grado por confirmar</x:v>
      </x:c>
      <x:c r="D67" s="7" t="str">
        <x:v>ASTM A36</x:v>
      </x:c>
      <x:c r="E67" s="7" t="str">
        <x:v>Oreja fija espesor40, Ø65 H8, mandrinar coaxialmente después de soldar</x:v>
      </x:c>
      <x:c r="F67" s="7" t="n">
        <x:v>30.358051526528772</x:v>
      </x:c>
      <x:c r="G67" s="7" t="str">
        <x:v>SLDDRW/PDF agrupado: TT10_C05_FAB_011</x:v>
      </x:c>
    </x:row>
    <x:row r="68" ht="34" customHeight="1">
      <x:c r="B68" s="7" t="str">
        <x:v>TT10_F576</x:v>
      </x:c>
      <x:c r="C68" s="7" t="str">
        <x:v>Acero estructural; grado por confirmar</x:v>
      </x:c>
      <x:c r="D68" s="7" t="str">
        <x:v>ASTM A36</x:v>
      </x:c>
      <x:c r="E68" s="7" t="str">
        <x:v>Oreja fija espesor40, Ø65 H8, mandrinar coaxialmente después de soldar</x:v>
      </x:c>
      <x:c r="F68" s="7" t="n">
        <x:v>30.358051526528772</x:v>
      </x:c>
      <x:c r="G68" s="7" t="str">
        <x:v>SLDDRW/PDF agrupado: TT10_C05_FAB_015</x:v>
      </x:c>
    </x:row>
    <x:row r="69" ht="34" customHeight="1">
      <x:c r="B69" s="7" t="str">
        <x:v>TT10_F586</x:v>
      </x:c>
      <x:c r="C69" s="7" t="str">
        <x:v>Acero estructural; grado por confirmar</x:v>
      </x:c>
      <x:c r="D69" s="7" t="str">
        <x:v>ASTM A36</x:v>
      </x:c>
      <x:c r="E69" s="7" t="str">
        <x:v>Oreja fija espesor40, Ø65 H8, mandrinar coaxialmente después de soldar</x:v>
      </x:c>
      <x:c r="F69" s="7" t="n">
        <x:v>30.358051526528772</x:v>
      </x:c>
      <x:c r="G69" s="7" t="str">
        <x:v>SLDDRW/PDF agrupado: TT10_C05_FAB_015</x:v>
      </x:c>
    </x:row>
    <x:row r="70" ht="34" customHeight="1">
      <x:c r="B70" s="7" t="str">
        <x:v>TT10_GUIA_N</x:v>
      </x:c>
      <x:c r="C70" s="7" t="str">
        <x:v>S355 propuesto; certificado requerido</x:v>
      </x:c>
      <x:c r="D70" s="7" t="str">
        <x:v>ASTM A36</x:v>
      </x:c>
      <x:c r="E70" s="7" t="str">
        <x:v>Guía con alojamiento Ø69 H7; casquillo69/65.5; fuera del camino resistente</x:v>
      </x:c>
      <x:c r="F70" s="7" t="n">
        <x:v>13.566663891939614</x:v>
      </x:c>
      <x:c r="G70" s="7" t="str">
        <x:v>SLDDRW/PDF agrupado: TT10_C05_FAB_018</x:v>
      </x:c>
    </x:row>
    <x:row r="71" ht="34" customHeight="1">
      <x:c r="B71" s="7" t="str">
        <x:v>TT10_GUIA_P</x:v>
      </x:c>
      <x:c r="C71" s="7" t="str">
        <x:v>S355 propuesto; certificado requerido</x:v>
      </x:c>
      <x:c r="D71" s="7" t="str">
        <x:v>ASTM A36</x:v>
      </x:c>
      <x:c r="E71" s="7" t="str">
        <x:v>Guía con alojamiento Ø69 H7; casquillo69/65.5; fuera del camino resistente</x:v>
      </x:c>
      <x:c r="F71" s="7" t="n">
        <x:v>13.566663891939614</x:v>
      </x:c>
      <x:c r="G71" s="7" t="str">
        <x:v>SLDDRW/PDF agrupado: TT10_C05_FAB_018</x:v>
      </x:c>
    </x:row>
    <x:row r="72" ht="34" customHeight="1">
      <x:c r="B72" s="7" t="str">
        <x:v>TT10_M156</x:v>
      </x:c>
      <x:c r="C72" s="7" t="str">
        <x:v>Acero estructural; grado por confirmar</x:v>
      </x:c>
      <x:c r="D72" s="7" t="str">
        <x:v>ASTM A36</x:v>
      </x:c>
      <x:c r="E72" s="7" t="str">
        <x:v>Oreja móvil espesor50, taladro Ø65.5 H9; radio de bloqueo900</x:v>
      </x:c>
      <x:c r="F72" s="7" t="n">
        <x:v>23.20869987032334</x:v>
      </x:c>
      <x:c r="G72" s="7" t="str">
        <x:v>SLDDRW/PDF agrupado: TT10_C05_FAB_056</x:v>
      </x:c>
    </x:row>
    <x:row r="73" ht="34" customHeight="1">
      <x:c r="B73" s="7" t="str">
        <x:v>TT10_M306</x:v>
      </x:c>
      <x:c r="C73" s="7" t="str">
        <x:v>Acero estructural; grado por confirmar</x:v>
      </x:c>
      <x:c r="D73" s="7" t="str">
        <x:v>ASTM A36</x:v>
      </x:c>
      <x:c r="E73" s="7" t="str">
        <x:v>Oreja móvil espesor50, taladro Ø65.5 H9; radio de bloqueo900</x:v>
      </x:c>
      <x:c r="F73" s="7" t="n">
        <x:v>23.208699870323336</x:v>
      </x:c>
      <x:c r="G73" s="7" t="str">
        <x:v>SLDDRW/PDF agrupado: TT10_C05_FAB_063</x:v>
      </x:c>
    </x:row>
    <x:row r="74" ht="34" customHeight="1">
      <x:c r="B74" s="7" t="str">
        <x:v>TT10_PE_PIN</x:v>
      </x:c>
      <x:c r="C74" s="7" t="str">
        <x:v>42CrMo4+QT; Rp0.2≥650MPa certificado</x:v>
      </x:c>
      <x:c r="D74" s="7" t="str">
        <x:v>AISI 4140 bonificado</x:v>
      </x:c>
      <x:c r="E74" s="7" t="str">
        <x:v>Pasador Ø65 f7 L330, cabeza90x15, R3, C2, dosM10x18</x:v>
      </x:c>
      <x:c r="F74" s="7" t="n">
        <x:v>9.32558797159712</x:v>
      </x:c>
      <x:c r="G74" s="7" t="str">
        <x:v>SLDDRW/PDF agrupado: TT10_C05_FAB_026</x:v>
      </x:c>
    </x:row>
  </x:sheetData>
  <x:pageMargins left="0.7" right="0.7" top="0.75" bottom="0.75" header="0.3" footer="0.3"/>
</x:worksheet>
</file>